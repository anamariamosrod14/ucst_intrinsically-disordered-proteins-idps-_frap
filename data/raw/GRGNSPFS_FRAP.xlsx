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esktop\Confocal\FRAP\01142026\"/>
    </mc:Choice>
  </mc:AlternateContent>
  <xr:revisionPtr revIDLastSave="0" documentId="13_ncr:1_{9954BC1C-6057-4488-A62D-588E1A3574F4}" xr6:coauthVersionLast="45" xr6:coauthVersionMax="45" xr10:uidLastSave="{00000000-0000-0000-0000-000000000000}"/>
  <bookViews>
    <workbookView xWindow="-108" yWindow="-108" windowWidth="23256" windowHeight="12720" activeTab="1" xr2:uid="{000AC02F-F030-4A8B-B423-D93603E248A4}"/>
  </bookViews>
  <sheets>
    <sheet name="FS_40kDa_1" sheetId="1" r:id="rId1"/>
    <sheet name="FS_40kDa_2" sheetId="7" r:id="rId2"/>
    <sheet name="FS_40kDa_3" sheetId="4" r:id="rId3"/>
    <sheet name="FS_250kDa_1" sheetId="5" r:id="rId4"/>
    <sheet name="FS_250kDa_2" sheetId="6" r:id="rId5"/>
    <sheet name="FS_250kDa_3" sheetId="8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6" i="8" l="1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I34" i="8"/>
  <c r="B34" i="8"/>
  <c r="I33" i="8"/>
  <c r="B33" i="8"/>
  <c r="I32" i="8"/>
  <c r="B32" i="8"/>
  <c r="I31" i="8"/>
  <c r="B31" i="8"/>
  <c r="I30" i="8"/>
  <c r="B30" i="8"/>
  <c r="I29" i="8"/>
  <c r="B29" i="8"/>
  <c r="I28" i="8"/>
  <c r="B28" i="8"/>
  <c r="I27" i="8"/>
  <c r="B27" i="8"/>
  <c r="I26" i="8"/>
  <c r="B26" i="8"/>
  <c r="I25" i="8"/>
  <c r="B25" i="8"/>
  <c r="I24" i="8"/>
  <c r="B24" i="8"/>
  <c r="I23" i="8"/>
  <c r="B23" i="8"/>
  <c r="I22" i="8"/>
  <c r="B22" i="8"/>
  <c r="I21" i="8"/>
  <c r="B21" i="8"/>
  <c r="I20" i="8"/>
  <c r="B20" i="8"/>
  <c r="I19" i="8"/>
  <c r="B19" i="8"/>
  <c r="J18" i="8"/>
  <c r="I18" i="8"/>
  <c r="B18" i="8"/>
  <c r="J17" i="8"/>
  <c r="I17" i="8"/>
  <c r="B17" i="8"/>
  <c r="J16" i="8"/>
  <c r="I16" i="8"/>
  <c r="B16" i="8"/>
  <c r="J15" i="8"/>
  <c r="I15" i="8"/>
  <c r="B15" i="8"/>
  <c r="J14" i="8"/>
  <c r="I14" i="8"/>
  <c r="B14" i="8"/>
  <c r="J13" i="8"/>
  <c r="I13" i="8"/>
  <c r="B13" i="8"/>
  <c r="J12" i="8"/>
  <c r="I12" i="8"/>
  <c r="B12" i="8"/>
  <c r="J11" i="8"/>
  <c r="I11" i="8"/>
  <c r="B11" i="8"/>
  <c r="J10" i="8"/>
  <c r="I10" i="8"/>
  <c r="B10" i="8"/>
  <c r="J9" i="8"/>
  <c r="I9" i="8"/>
  <c r="B9" i="8"/>
  <c r="J8" i="8"/>
  <c r="I8" i="8"/>
  <c r="B8" i="8"/>
  <c r="J7" i="8"/>
  <c r="I7" i="8"/>
  <c r="B7" i="8"/>
  <c r="J6" i="8"/>
  <c r="I6" i="8"/>
  <c r="B6" i="8"/>
  <c r="J5" i="8"/>
  <c r="I5" i="8"/>
  <c r="B5" i="8"/>
  <c r="J4" i="8"/>
  <c r="I4" i="8"/>
  <c r="B4" i="8"/>
  <c r="J3" i="8"/>
  <c r="I3" i="8"/>
  <c r="B3" i="8"/>
  <c r="J2" i="8"/>
  <c r="I2" i="8"/>
  <c r="H2" i="8"/>
  <c r="G2" i="8"/>
  <c r="J34" i="8" s="1"/>
  <c r="F2" i="8"/>
  <c r="B2" i="8"/>
  <c r="K76" i="8" l="1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I76" i="8"/>
  <c r="L76" i="8" s="1"/>
  <c r="I75" i="8"/>
  <c r="I74" i="8"/>
  <c r="I73" i="8"/>
  <c r="L73" i="8" s="1"/>
  <c r="I72" i="8"/>
  <c r="L72" i="8" s="1"/>
  <c r="I71" i="8"/>
  <c r="I70" i="8"/>
  <c r="I69" i="8"/>
  <c r="L69" i="8" s="1"/>
  <c r="I68" i="8"/>
  <c r="L68" i="8" s="1"/>
  <c r="I67" i="8"/>
  <c r="I66" i="8"/>
  <c r="I65" i="8"/>
  <c r="L65" i="8" s="1"/>
  <c r="I64" i="8"/>
  <c r="L64" i="8" s="1"/>
  <c r="I63" i="8"/>
  <c r="I62" i="8"/>
  <c r="I61" i="8"/>
  <c r="L61" i="8" s="1"/>
  <c r="I60" i="8"/>
  <c r="L60" i="8" s="1"/>
  <c r="I59" i="8"/>
  <c r="I58" i="8"/>
  <c r="I57" i="8"/>
  <c r="L57" i="8" s="1"/>
  <c r="I56" i="8"/>
  <c r="L56" i="8" s="1"/>
  <c r="I55" i="8"/>
  <c r="I54" i="8"/>
  <c r="I53" i="8"/>
  <c r="L53" i="8" s="1"/>
  <c r="I52" i="8"/>
  <c r="L52" i="8" s="1"/>
  <c r="I51" i="8"/>
  <c r="I50" i="8"/>
  <c r="I49" i="8"/>
  <c r="L49" i="8" s="1"/>
  <c r="I48" i="8"/>
  <c r="L48" i="8" s="1"/>
  <c r="I47" i="8"/>
  <c r="I46" i="8"/>
  <c r="I45" i="8"/>
  <c r="L45" i="8" s="1"/>
  <c r="I44" i="8"/>
  <c r="L44" i="8" s="1"/>
  <c r="I43" i="8"/>
  <c r="I42" i="8"/>
  <c r="I41" i="8"/>
  <c r="L41" i="8" s="1"/>
  <c r="I40" i="8"/>
  <c r="L40" i="8" s="1"/>
  <c r="I39" i="8"/>
  <c r="I38" i="8"/>
  <c r="I37" i="8"/>
  <c r="L37" i="8" s="1"/>
  <c r="I36" i="8"/>
  <c r="L36" i="8" s="1"/>
  <c r="I35" i="8"/>
  <c r="J19" i="8"/>
  <c r="J20" i="8"/>
  <c r="M20" i="8" s="1"/>
  <c r="J21" i="8"/>
  <c r="M21" i="8" s="1"/>
  <c r="J22" i="8"/>
  <c r="J23" i="8"/>
  <c r="J24" i="8"/>
  <c r="M24" i="8" s="1"/>
  <c r="J25" i="8"/>
  <c r="M25" i="8" s="1"/>
  <c r="J26" i="8"/>
  <c r="J27" i="8"/>
  <c r="J28" i="8"/>
  <c r="M28" i="8" s="1"/>
  <c r="J29" i="8"/>
  <c r="M29" i="8" s="1"/>
  <c r="J30" i="8"/>
  <c r="J31" i="8"/>
  <c r="J32" i="8"/>
  <c r="M32" i="8" s="1"/>
  <c r="J33" i="8"/>
  <c r="M33" i="8" s="1"/>
  <c r="J76" i="8"/>
  <c r="M76" i="8" s="1"/>
  <c r="J75" i="8"/>
  <c r="J74" i="8"/>
  <c r="J73" i="8"/>
  <c r="M73" i="8" s="1"/>
  <c r="J72" i="8"/>
  <c r="M72" i="8" s="1"/>
  <c r="J71" i="8"/>
  <c r="J70" i="8"/>
  <c r="J69" i="8"/>
  <c r="M69" i="8" s="1"/>
  <c r="J68" i="8"/>
  <c r="M68" i="8" s="1"/>
  <c r="J67" i="8"/>
  <c r="J66" i="8"/>
  <c r="J65" i="8"/>
  <c r="M65" i="8" s="1"/>
  <c r="J64" i="8"/>
  <c r="M64" i="8" s="1"/>
  <c r="J63" i="8"/>
  <c r="J62" i="8"/>
  <c r="J61" i="8"/>
  <c r="M61" i="8" s="1"/>
  <c r="J60" i="8"/>
  <c r="M60" i="8" s="1"/>
  <c r="J59" i="8"/>
  <c r="J58" i="8"/>
  <c r="J57" i="8"/>
  <c r="M57" i="8" s="1"/>
  <c r="J56" i="8"/>
  <c r="M56" i="8" s="1"/>
  <c r="J55" i="8"/>
  <c r="J54" i="8"/>
  <c r="J53" i="8"/>
  <c r="M53" i="8" s="1"/>
  <c r="J52" i="8"/>
  <c r="M52" i="8" s="1"/>
  <c r="J51" i="8"/>
  <c r="J50" i="8"/>
  <c r="J49" i="8"/>
  <c r="M49" i="8" s="1"/>
  <c r="J48" i="8"/>
  <c r="M48" i="8" s="1"/>
  <c r="J47" i="8"/>
  <c r="J46" i="8"/>
  <c r="J45" i="8"/>
  <c r="M45" i="8" s="1"/>
  <c r="J44" i="8"/>
  <c r="M44" i="8" s="1"/>
  <c r="J43" i="8"/>
  <c r="J42" i="8"/>
  <c r="J41" i="8"/>
  <c r="M41" i="8" s="1"/>
  <c r="J40" i="8"/>
  <c r="M40" i="8" s="1"/>
  <c r="J39" i="8"/>
  <c r="J38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J35" i="8"/>
  <c r="J36" i="8"/>
  <c r="M36" i="8" s="1"/>
  <c r="J37" i="8"/>
  <c r="M37" i="8" s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F2" i="7"/>
  <c r="J2" i="7"/>
  <c r="H2" i="7"/>
  <c r="G2" i="7"/>
  <c r="I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2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F2" i="6"/>
  <c r="H2" i="6"/>
  <c r="K5" i="6" s="1"/>
  <c r="G2" i="6"/>
  <c r="J2" i="6" s="1"/>
  <c r="I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2" i="6"/>
  <c r="K68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H2" i="5"/>
  <c r="K12" i="5" s="1"/>
  <c r="G2" i="5"/>
  <c r="J2" i="5" s="1"/>
  <c r="F2" i="5"/>
  <c r="I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2" i="5"/>
  <c r="K8" i="4"/>
  <c r="L8" i="4" s="1"/>
  <c r="K17" i="4"/>
  <c r="K22" i="4"/>
  <c r="M22" i="4" s="1"/>
  <c r="K28" i="4"/>
  <c r="L28" i="4" s="1"/>
  <c r="K33" i="4"/>
  <c r="K38" i="4"/>
  <c r="M38" i="4" s="1"/>
  <c r="K44" i="4"/>
  <c r="L44" i="4" s="1"/>
  <c r="K48" i="4"/>
  <c r="L48" i="4" s="1"/>
  <c r="K52" i="4"/>
  <c r="L52" i="4" s="1"/>
  <c r="K56" i="4"/>
  <c r="L56" i="4" s="1"/>
  <c r="K60" i="4"/>
  <c r="L60" i="4" s="1"/>
  <c r="K64" i="4"/>
  <c r="L64" i="4" s="1"/>
  <c r="K68" i="4"/>
  <c r="L68" i="4" s="1"/>
  <c r="K72" i="4"/>
  <c r="L72" i="4" s="1"/>
  <c r="K76" i="4"/>
  <c r="L76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F2" i="4"/>
  <c r="I2" i="4" s="1"/>
  <c r="H2" i="4"/>
  <c r="K4" i="4" s="1"/>
  <c r="G2" i="4"/>
  <c r="J2" i="4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2" i="4"/>
  <c r="M10" i="8" l="1"/>
  <c r="L10" i="8"/>
  <c r="M6" i="8"/>
  <c r="L6" i="8"/>
  <c r="M17" i="8"/>
  <c r="L17" i="8"/>
  <c r="M13" i="8"/>
  <c r="L13" i="8"/>
  <c r="M9" i="8"/>
  <c r="L9" i="8"/>
  <c r="M5" i="8"/>
  <c r="L5" i="8"/>
  <c r="M38" i="8"/>
  <c r="M42" i="8"/>
  <c r="M46" i="8"/>
  <c r="M50" i="8"/>
  <c r="M54" i="8"/>
  <c r="M58" i="8"/>
  <c r="M62" i="8"/>
  <c r="M66" i="8"/>
  <c r="M70" i="8"/>
  <c r="M74" i="8"/>
  <c r="M18" i="8"/>
  <c r="L18" i="8"/>
  <c r="M16" i="8"/>
  <c r="L16" i="8"/>
  <c r="M12" i="8"/>
  <c r="L12" i="8"/>
  <c r="L8" i="8"/>
  <c r="M8" i="8"/>
  <c r="M4" i="8"/>
  <c r="L4" i="8"/>
  <c r="M39" i="8"/>
  <c r="M43" i="8"/>
  <c r="M47" i="8"/>
  <c r="M51" i="8"/>
  <c r="M55" i="8"/>
  <c r="M59" i="8"/>
  <c r="M63" i="8"/>
  <c r="M67" i="8"/>
  <c r="M71" i="8"/>
  <c r="M75" i="8"/>
  <c r="M31" i="8"/>
  <c r="M27" i="8"/>
  <c r="M23" i="8"/>
  <c r="M19" i="8"/>
  <c r="L38" i="8"/>
  <c r="L42" i="8"/>
  <c r="L46" i="8"/>
  <c r="L50" i="8"/>
  <c r="L54" i="8"/>
  <c r="L58" i="8"/>
  <c r="L62" i="8"/>
  <c r="L66" i="8"/>
  <c r="L70" i="8"/>
  <c r="L74" i="8"/>
  <c r="M14" i="8"/>
  <c r="L14" i="8"/>
  <c r="L2" i="8"/>
  <c r="M2" i="8"/>
  <c r="M35" i="8"/>
  <c r="M15" i="8"/>
  <c r="L15" i="8"/>
  <c r="M11" i="8"/>
  <c r="L11" i="8"/>
  <c r="M7" i="8"/>
  <c r="L7" i="8"/>
  <c r="M3" i="8"/>
  <c r="L3" i="8"/>
  <c r="M30" i="8"/>
  <c r="M26" i="8"/>
  <c r="M22" i="8"/>
  <c r="L35" i="8"/>
  <c r="L39" i="8"/>
  <c r="L43" i="8"/>
  <c r="L47" i="8"/>
  <c r="L51" i="8"/>
  <c r="L55" i="8"/>
  <c r="L59" i="8"/>
  <c r="L63" i="8"/>
  <c r="L67" i="8"/>
  <c r="L71" i="8"/>
  <c r="L75" i="8"/>
  <c r="M34" i="8"/>
  <c r="K2" i="7"/>
  <c r="K3" i="7"/>
  <c r="K7" i="7"/>
  <c r="K11" i="7"/>
  <c r="K15" i="7"/>
  <c r="K19" i="7"/>
  <c r="K23" i="7"/>
  <c r="K27" i="7"/>
  <c r="K31" i="7"/>
  <c r="K35" i="7"/>
  <c r="K39" i="7"/>
  <c r="K43" i="7"/>
  <c r="K4" i="7"/>
  <c r="K8" i="7"/>
  <c r="K12" i="7"/>
  <c r="K16" i="7"/>
  <c r="K20" i="7"/>
  <c r="K24" i="7"/>
  <c r="K28" i="7"/>
  <c r="K32" i="7"/>
  <c r="K36" i="7"/>
  <c r="K40" i="7"/>
  <c r="K75" i="7"/>
  <c r="K71" i="7"/>
  <c r="K67" i="7"/>
  <c r="K63" i="7"/>
  <c r="K59" i="7"/>
  <c r="K55" i="7"/>
  <c r="K51" i="7"/>
  <c r="K47" i="7"/>
  <c r="K42" i="7"/>
  <c r="K34" i="7"/>
  <c r="K26" i="7"/>
  <c r="K18" i="7"/>
  <c r="K10" i="7"/>
  <c r="K74" i="7"/>
  <c r="K70" i="7"/>
  <c r="K66" i="7"/>
  <c r="K62" i="7"/>
  <c r="K58" i="7"/>
  <c r="K54" i="7"/>
  <c r="K50" i="7"/>
  <c r="K46" i="7"/>
  <c r="K41" i="7"/>
  <c r="K33" i="7"/>
  <c r="K25" i="7"/>
  <c r="K17" i="7"/>
  <c r="K9" i="7"/>
  <c r="L2" i="7"/>
  <c r="K73" i="7"/>
  <c r="K69" i="7"/>
  <c r="K65" i="7"/>
  <c r="K61" i="7"/>
  <c r="K57" i="7"/>
  <c r="K53" i="7"/>
  <c r="K49" i="7"/>
  <c r="K45" i="7"/>
  <c r="K38" i="7"/>
  <c r="K30" i="7"/>
  <c r="K22" i="7"/>
  <c r="K14" i="7"/>
  <c r="K6" i="7"/>
  <c r="K76" i="7"/>
  <c r="K72" i="7"/>
  <c r="K68" i="7"/>
  <c r="K64" i="7"/>
  <c r="K60" i="7"/>
  <c r="K56" i="7"/>
  <c r="K52" i="7"/>
  <c r="K48" i="7"/>
  <c r="K44" i="7"/>
  <c r="K37" i="7"/>
  <c r="K29" i="7"/>
  <c r="K21" i="7"/>
  <c r="K13" i="7"/>
  <c r="K5" i="7"/>
  <c r="L5" i="6"/>
  <c r="M5" i="6"/>
  <c r="K73" i="6"/>
  <c r="K69" i="6"/>
  <c r="K65" i="6"/>
  <c r="K61" i="6"/>
  <c r="K57" i="6"/>
  <c r="K53" i="6"/>
  <c r="K49" i="6"/>
  <c r="K45" i="6"/>
  <c r="K40" i="6"/>
  <c r="K34" i="6"/>
  <c r="K29" i="6"/>
  <c r="K24" i="6"/>
  <c r="K18" i="6"/>
  <c r="K13" i="6"/>
  <c r="K8" i="6"/>
  <c r="K74" i="6"/>
  <c r="K66" i="6"/>
  <c r="K58" i="6"/>
  <c r="K50" i="6"/>
  <c r="K36" i="6"/>
  <c r="K30" i="6"/>
  <c r="K20" i="6"/>
  <c r="K14" i="6"/>
  <c r="K76" i="6"/>
  <c r="K72" i="6"/>
  <c r="K68" i="6"/>
  <c r="K64" i="6"/>
  <c r="K60" i="6"/>
  <c r="K56" i="6"/>
  <c r="K52" i="6"/>
  <c r="K48" i="6"/>
  <c r="K44" i="6"/>
  <c r="K38" i="6"/>
  <c r="K33" i="6"/>
  <c r="K28" i="6"/>
  <c r="K22" i="6"/>
  <c r="K17" i="6"/>
  <c r="K12" i="6"/>
  <c r="K2" i="6"/>
  <c r="L2" i="6" s="1"/>
  <c r="K6" i="6"/>
  <c r="K3" i="6"/>
  <c r="K7" i="6"/>
  <c r="K11" i="6"/>
  <c r="K15" i="6"/>
  <c r="K19" i="6"/>
  <c r="K23" i="6"/>
  <c r="K27" i="6"/>
  <c r="K31" i="6"/>
  <c r="K35" i="6"/>
  <c r="K39" i="6"/>
  <c r="K43" i="6"/>
  <c r="K70" i="6"/>
  <c r="K62" i="6"/>
  <c r="K54" i="6"/>
  <c r="K46" i="6"/>
  <c r="K41" i="6"/>
  <c r="K25" i="6"/>
  <c r="K9" i="6"/>
  <c r="M2" i="6"/>
  <c r="K75" i="6"/>
  <c r="K71" i="6"/>
  <c r="K67" i="6"/>
  <c r="K63" i="6"/>
  <c r="K59" i="6"/>
  <c r="K55" i="6"/>
  <c r="K51" i="6"/>
  <c r="K47" i="6"/>
  <c r="K42" i="6"/>
  <c r="K37" i="6"/>
  <c r="K32" i="6"/>
  <c r="K26" i="6"/>
  <c r="K21" i="6"/>
  <c r="K16" i="6"/>
  <c r="K10" i="6"/>
  <c r="K4" i="6"/>
  <c r="K67" i="5"/>
  <c r="M67" i="5" s="1"/>
  <c r="K76" i="5"/>
  <c r="K75" i="5"/>
  <c r="M75" i="5" s="1"/>
  <c r="L4" i="4"/>
  <c r="M4" i="4"/>
  <c r="M60" i="4"/>
  <c r="M44" i="4"/>
  <c r="M2" i="4"/>
  <c r="K75" i="4"/>
  <c r="K71" i="4"/>
  <c r="K67" i="4"/>
  <c r="K63" i="4"/>
  <c r="K59" i="4"/>
  <c r="K55" i="4"/>
  <c r="K51" i="4"/>
  <c r="K47" i="4"/>
  <c r="K42" i="4"/>
  <c r="K37" i="4"/>
  <c r="K32" i="4"/>
  <c r="K26" i="4"/>
  <c r="K21" i="4"/>
  <c r="K16" i="4"/>
  <c r="M72" i="4"/>
  <c r="M56" i="4"/>
  <c r="M8" i="4"/>
  <c r="M33" i="4"/>
  <c r="L33" i="4"/>
  <c r="M17" i="4"/>
  <c r="L17" i="4"/>
  <c r="M76" i="4"/>
  <c r="M28" i="4"/>
  <c r="K2" i="4"/>
  <c r="K5" i="4"/>
  <c r="K9" i="4"/>
  <c r="K13" i="4"/>
  <c r="K6" i="4"/>
  <c r="K10" i="4"/>
  <c r="K3" i="4"/>
  <c r="K7" i="4"/>
  <c r="K11" i="4"/>
  <c r="K15" i="4"/>
  <c r="K19" i="4"/>
  <c r="K23" i="4"/>
  <c r="K27" i="4"/>
  <c r="K31" i="4"/>
  <c r="K35" i="4"/>
  <c r="K39" i="4"/>
  <c r="K43" i="4"/>
  <c r="K74" i="4"/>
  <c r="K70" i="4"/>
  <c r="K66" i="4"/>
  <c r="K62" i="4"/>
  <c r="K58" i="4"/>
  <c r="K54" i="4"/>
  <c r="K50" i="4"/>
  <c r="K46" i="4"/>
  <c r="K41" i="4"/>
  <c r="K36" i="4"/>
  <c r="K30" i="4"/>
  <c r="K25" i="4"/>
  <c r="K20" i="4"/>
  <c r="K14" i="4"/>
  <c r="M68" i="4"/>
  <c r="M52" i="4"/>
  <c r="K73" i="4"/>
  <c r="K69" i="4"/>
  <c r="K65" i="4"/>
  <c r="K61" i="4"/>
  <c r="K57" i="4"/>
  <c r="K53" i="4"/>
  <c r="K49" i="4"/>
  <c r="K45" i="4"/>
  <c r="K40" i="4"/>
  <c r="K34" i="4"/>
  <c r="K29" i="4"/>
  <c r="K24" i="4"/>
  <c r="K18" i="4"/>
  <c r="K12" i="4"/>
  <c r="L38" i="4"/>
  <c r="L22" i="4"/>
  <c r="M64" i="4"/>
  <c r="M48" i="4"/>
  <c r="M2" i="7"/>
  <c r="K72" i="5"/>
  <c r="K64" i="5"/>
  <c r="M64" i="5" s="1"/>
  <c r="K71" i="5"/>
  <c r="M71" i="5" s="1"/>
  <c r="K63" i="5"/>
  <c r="M63" i="5" s="1"/>
  <c r="M12" i="5"/>
  <c r="L12" i="5"/>
  <c r="K59" i="5"/>
  <c r="K55" i="5"/>
  <c r="K51" i="5"/>
  <c r="K47" i="5"/>
  <c r="K42" i="5"/>
  <c r="K37" i="5"/>
  <c r="K32" i="5"/>
  <c r="K26" i="5"/>
  <c r="K21" i="5"/>
  <c r="K13" i="5"/>
  <c r="L75" i="5"/>
  <c r="K74" i="5"/>
  <c r="K70" i="5"/>
  <c r="K66" i="5"/>
  <c r="K62" i="5"/>
  <c r="K58" i="5"/>
  <c r="K54" i="5"/>
  <c r="K50" i="5"/>
  <c r="K46" i="5"/>
  <c r="K41" i="5"/>
  <c r="K36" i="5"/>
  <c r="K30" i="5"/>
  <c r="K25" i="5"/>
  <c r="K20" i="5"/>
  <c r="L71" i="5"/>
  <c r="K2" i="5"/>
  <c r="L2" i="5" s="1"/>
  <c r="K4" i="5"/>
  <c r="K8" i="5"/>
  <c r="K6" i="5"/>
  <c r="K10" i="5"/>
  <c r="K14" i="5"/>
  <c r="K18" i="5"/>
  <c r="K3" i="5"/>
  <c r="K7" i="5"/>
  <c r="K11" i="5"/>
  <c r="K15" i="5"/>
  <c r="K19" i="5"/>
  <c r="K23" i="5"/>
  <c r="K27" i="5"/>
  <c r="K31" i="5"/>
  <c r="K35" i="5"/>
  <c r="K39" i="5"/>
  <c r="K43" i="5"/>
  <c r="K73" i="5"/>
  <c r="K69" i="5"/>
  <c r="K65" i="5"/>
  <c r="K61" i="5"/>
  <c r="K57" i="5"/>
  <c r="K53" i="5"/>
  <c r="K49" i="5"/>
  <c r="K45" i="5"/>
  <c r="K40" i="5"/>
  <c r="K34" i="5"/>
  <c r="K29" i="5"/>
  <c r="K24" i="5"/>
  <c r="K17" i="5"/>
  <c r="K9" i="5"/>
  <c r="L67" i="5"/>
  <c r="M76" i="5"/>
  <c r="L76" i="5"/>
  <c r="M72" i="5"/>
  <c r="L72" i="5"/>
  <c r="M68" i="5"/>
  <c r="L68" i="5"/>
  <c r="K60" i="5"/>
  <c r="K56" i="5"/>
  <c r="K52" i="5"/>
  <c r="K48" i="5"/>
  <c r="K44" i="5"/>
  <c r="K38" i="5"/>
  <c r="K33" i="5"/>
  <c r="K28" i="5"/>
  <c r="K22" i="5"/>
  <c r="K16" i="5"/>
  <c r="K5" i="5"/>
  <c r="L63" i="5"/>
  <c r="L2" i="4"/>
  <c r="R12" i="8" l="1"/>
  <c r="O12" i="8"/>
  <c r="R51" i="8"/>
  <c r="R7" i="8"/>
  <c r="R54" i="8"/>
  <c r="S63" i="8"/>
  <c r="R53" i="8"/>
  <c r="S62" i="8"/>
  <c r="R63" i="8"/>
  <c r="R47" i="8"/>
  <c r="S56" i="8"/>
  <c r="R31" i="8"/>
  <c r="R56" i="8"/>
  <c r="R22" i="8"/>
  <c r="R66" i="8"/>
  <c r="N12" i="8"/>
  <c r="R50" i="8"/>
  <c r="S19" i="8"/>
  <c r="S8" i="8"/>
  <c r="R16" i="8"/>
  <c r="R28" i="8"/>
  <c r="S18" i="8"/>
  <c r="R65" i="8"/>
  <c r="R49" i="8"/>
  <c r="S74" i="8"/>
  <c r="R9" i="8"/>
  <c r="R17" i="8"/>
  <c r="R29" i="8"/>
  <c r="R68" i="8"/>
  <c r="S10" i="8"/>
  <c r="R55" i="8"/>
  <c r="R39" i="8"/>
  <c r="R74" i="8"/>
  <c r="R58" i="8"/>
  <c r="R4" i="8"/>
  <c r="R20" i="8"/>
  <c r="R41" i="8"/>
  <c r="R5" i="8"/>
  <c r="R21" i="8"/>
  <c r="R67" i="8"/>
  <c r="R35" i="8"/>
  <c r="R15" i="8"/>
  <c r="R64" i="8"/>
  <c r="R70" i="8"/>
  <c r="R38" i="8"/>
  <c r="R24" i="8"/>
  <c r="R36" i="8"/>
  <c r="R69" i="8"/>
  <c r="R37" i="8"/>
  <c r="S32" i="8"/>
  <c r="R25" i="8"/>
  <c r="R76" i="8"/>
  <c r="R44" i="8"/>
  <c r="R10" i="8"/>
  <c r="R75" i="8"/>
  <c r="R59" i="8"/>
  <c r="R43" i="8"/>
  <c r="S52" i="8"/>
  <c r="R3" i="8"/>
  <c r="R11" i="8"/>
  <c r="R19" i="8"/>
  <c r="S35" i="8"/>
  <c r="R48" i="8"/>
  <c r="R2" i="8"/>
  <c r="R34" i="8"/>
  <c r="R62" i="8"/>
  <c r="R46" i="8"/>
  <c r="S71" i="8"/>
  <c r="R8" i="8"/>
  <c r="S16" i="8"/>
  <c r="R32" i="8"/>
  <c r="R30" i="8"/>
  <c r="R61" i="8"/>
  <c r="R45" i="8"/>
  <c r="S54" i="8"/>
  <c r="R33" i="8"/>
  <c r="R60" i="8"/>
  <c r="R6" i="8"/>
  <c r="R26" i="8"/>
  <c r="L5" i="7"/>
  <c r="M5" i="7"/>
  <c r="L37" i="7"/>
  <c r="M37" i="7"/>
  <c r="M56" i="7"/>
  <c r="L56" i="7"/>
  <c r="M72" i="7"/>
  <c r="L72" i="7"/>
  <c r="M22" i="7"/>
  <c r="L22" i="7"/>
  <c r="L49" i="7"/>
  <c r="M49" i="7"/>
  <c r="L65" i="7"/>
  <c r="M65" i="7"/>
  <c r="L9" i="7"/>
  <c r="M9" i="7"/>
  <c r="L41" i="7"/>
  <c r="M41" i="7"/>
  <c r="M58" i="7"/>
  <c r="L58" i="7"/>
  <c r="M74" i="7"/>
  <c r="L74" i="7"/>
  <c r="M34" i="7"/>
  <c r="L34" i="7"/>
  <c r="M55" i="7"/>
  <c r="L55" i="7"/>
  <c r="M71" i="7"/>
  <c r="L71" i="7"/>
  <c r="M32" i="7"/>
  <c r="L32" i="7"/>
  <c r="M16" i="7"/>
  <c r="L16" i="7"/>
  <c r="M43" i="7"/>
  <c r="L43" i="7"/>
  <c r="M27" i="7"/>
  <c r="L27" i="7"/>
  <c r="M11" i="7"/>
  <c r="L11" i="7"/>
  <c r="L13" i="7"/>
  <c r="M13" i="7"/>
  <c r="M44" i="7"/>
  <c r="L44" i="7"/>
  <c r="M60" i="7"/>
  <c r="L60" i="7"/>
  <c r="M76" i="7"/>
  <c r="L76" i="7"/>
  <c r="M30" i="7"/>
  <c r="L30" i="7"/>
  <c r="L53" i="7"/>
  <c r="M53" i="7"/>
  <c r="L69" i="7"/>
  <c r="M69" i="7"/>
  <c r="L17" i="7"/>
  <c r="M17" i="7"/>
  <c r="M46" i="7"/>
  <c r="L46" i="7"/>
  <c r="M62" i="7"/>
  <c r="L62" i="7"/>
  <c r="M10" i="7"/>
  <c r="L10" i="7"/>
  <c r="M42" i="7"/>
  <c r="L42" i="7"/>
  <c r="M59" i="7"/>
  <c r="L59" i="7"/>
  <c r="M75" i="7"/>
  <c r="L75" i="7"/>
  <c r="M28" i="7"/>
  <c r="L28" i="7"/>
  <c r="M12" i="7"/>
  <c r="L12" i="7"/>
  <c r="M39" i="7"/>
  <c r="L39" i="7"/>
  <c r="M23" i="7"/>
  <c r="L23" i="7"/>
  <c r="M7" i="7"/>
  <c r="L7" i="7"/>
  <c r="L21" i="7"/>
  <c r="M21" i="7"/>
  <c r="M48" i="7"/>
  <c r="L48" i="7"/>
  <c r="M64" i="7"/>
  <c r="L64" i="7"/>
  <c r="M6" i="7"/>
  <c r="L6" i="7"/>
  <c r="M38" i="7"/>
  <c r="L38" i="7"/>
  <c r="L57" i="7"/>
  <c r="M57" i="7"/>
  <c r="L73" i="7"/>
  <c r="M73" i="7"/>
  <c r="L25" i="7"/>
  <c r="M25" i="7"/>
  <c r="M50" i="7"/>
  <c r="L50" i="7"/>
  <c r="M66" i="7"/>
  <c r="L66" i="7"/>
  <c r="M18" i="7"/>
  <c r="L18" i="7"/>
  <c r="M47" i="7"/>
  <c r="L47" i="7"/>
  <c r="M63" i="7"/>
  <c r="L63" i="7"/>
  <c r="M40" i="7"/>
  <c r="L40" i="7"/>
  <c r="M24" i="7"/>
  <c r="L24" i="7"/>
  <c r="L8" i="7"/>
  <c r="M8" i="7"/>
  <c r="M35" i="7"/>
  <c r="L35" i="7"/>
  <c r="M19" i="7"/>
  <c r="L19" i="7"/>
  <c r="M3" i="7"/>
  <c r="L3" i="7"/>
  <c r="L29" i="7"/>
  <c r="M29" i="7"/>
  <c r="M52" i="7"/>
  <c r="L52" i="7"/>
  <c r="M68" i="7"/>
  <c r="L68" i="7"/>
  <c r="M14" i="7"/>
  <c r="L14" i="7"/>
  <c r="L45" i="7"/>
  <c r="M45" i="7"/>
  <c r="L61" i="7"/>
  <c r="M61" i="7"/>
  <c r="L33" i="7"/>
  <c r="M33" i="7"/>
  <c r="M54" i="7"/>
  <c r="L54" i="7"/>
  <c r="M70" i="7"/>
  <c r="L70" i="7"/>
  <c r="M26" i="7"/>
  <c r="L26" i="7"/>
  <c r="M51" i="7"/>
  <c r="L51" i="7"/>
  <c r="M67" i="7"/>
  <c r="L67" i="7"/>
  <c r="M36" i="7"/>
  <c r="L36" i="7"/>
  <c r="M20" i="7"/>
  <c r="L20" i="7"/>
  <c r="L4" i="7"/>
  <c r="M4" i="7"/>
  <c r="M31" i="7"/>
  <c r="L31" i="7"/>
  <c r="M15" i="7"/>
  <c r="L15" i="7"/>
  <c r="L21" i="6"/>
  <c r="M21" i="6"/>
  <c r="M42" i="6"/>
  <c r="L42" i="6"/>
  <c r="M59" i="6"/>
  <c r="L59" i="6"/>
  <c r="M75" i="6"/>
  <c r="L75" i="6"/>
  <c r="L41" i="6"/>
  <c r="M41" i="6"/>
  <c r="M70" i="6"/>
  <c r="L70" i="6"/>
  <c r="M31" i="6"/>
  <c r="L31" i="6"/>
  <c r="M15" i="6"/>
  <c r="L15" i="6"/>
  <c r="M6" i="6"/>
  <c r="L6" i="6"/>
  <c r="M22" i="6"/>
  <c r="L22" i="6"/>
  <c r="L44" i="6"/>
  <c r="M44" i="6"/>
  <c r="L60" i="6"/>
  <c r="M60" i="6"/>
  <c r="L76" i="6"/>
  <c r="M76" i="6"/>
  <c r="M30" i="6"/>
  <c r="L30" i="6"/>
  <c r="M66" i="6"/>
  <c r="L66" i="6"/>
  <c r="M18" i="6"/>
  <c r="L18" i="6"/>
  <c r="L40" i="6"/>
  <c r="M40" i="6"/>
  <c r="L57" i="6"/>
  <c r="M57" i="6"/>
  <c r="L73" i="6"/>
  <c r="M73" i="6"/>
  <c r="L16" i="6"/>
  <c r="M16" i="6"/>
  <c r="M55" i="6"/>
  <c r="L55" i="6"/>
  <c r="L25" i="6"/>
  <c r="M25" i="6"/>
  <c r="M35" i="6"/>
  <c r="L35" i="6"/>
  <c r="M3" i="6"/>
  <c r="L3" i="6"/>
  <c r="M38" i="6"/>
  <c r="L38" i="6"/>
  <c r="L72" i="6"/>
  <c r="M72" i="6"/>
  <c r="M58" i="6"/>
  <c r="L58" i="6"/>
  <c r="M34" i="6"/>
  <c r="L34" i="6"/>
  <c r="L53" i="6"/>
  <c r="M53" i="6"/>
  <c r="L4" i="6"/>
  <c r="M4" i="6"/>
  <c r="M26" i="6"/>
  <c r="L26" i="6"/>
  <c r="M47" i="6"/>
  <c r="L47" i="6"/>
  <c r="M63" i="6"/>
  <c r="L63" i="6"/>
  <c r="M46" i="6"/>
  <c r="L46" i="6"/>
  <c r="M43" i="6"/>
  <c r="L43" i="6"/>
  <c r="M27" i="6"/>
  <c r="L27" i="6"/>
  <c r="M11" i="6"/>
  <c r="L11" i="6"/>
  <c r="L28" i="6"/>
  <c r="M28" i="6"/>
  <c r="L48" i="6"/>
  <c r="M48" i="6"/>
  <c r="L64" i="6"/>
  <c r="M64" i="6"/>
  <c r="L36" i="6"/>
  <c r="M36" i="6"/>
  <c r="M74" i="6"/>
  <c r="L74" i="6"/>
  <c r="L24" i="6"/>
  <c r="M24" i="6"/>
  <c r="L45" i="6"/>
  <c r="M45" i="6"/>
  <c r="L61" i="6"/>
  <c r="M61" i="6"/>
  <c r="L37" i="6"/>
  <c r="M37" i="6"/>
  <c r="M71" i="6"/>
  <c r="L71" i="6"/>
  <c r="M62" i="6"/>
  <c r="L62" i="6"/>
  <c r="M19" i="6"/>
  <c r="L19" i="6"/>
  <c r="L17" i="6"/>
  <c r="M17" i="6"/>
  <c r="L56" i="6"/>
  <c r="M56" i="6"/>
  <c r="L20" i="6"/>
  <c r="M20" i="6"/>
  <c r="L13" i="6"/>
  <c r="M13" i="6"/>
  <c r="L69" i="6"/>
  <c r="M69" i="6"/>
  <c r="M10" i="6"/>
  <c r="L10" i="6"/>
  <c r="L32" i="6"/>
  <c r="M32" i="6"/>
  <c r="M51" i="6"/>
  <c r="L51" i="6"/>
  <c r="M67" i="6"/>
  <c r="L67" i="6"/>
  <c r="L9" i="6"/>
  <c r="M9" i="6"/>
  <c r="M54" i="6"/>
  <c r="L54" i="6"/>
  <c r="M39" i="6"/>
  <c r="L39" i="6"/>
  <c r="M23" i="6"/>
  <c r="L23" i="6"/>
  <c r="M7" i="6"/>
  <c r="L7" i="6"/>
  <c r="L12" i="6"/>
  <c r="M12" i="6"/>
  <c r="L33" i="6"/>
  <c r="M33" i="6"/>
  <c r="L52" i="6"/>
  <c r="M52" i="6"/>
  <c r="L68" i="6"/>
  <c r="M68" i="6"/>
  <c r="M14" i="6"/>
  <c r="L14" i="6"/>
  <c r="M50" i="6"/>
  <c r="L50" i="6"/>
  <c r="L8" i="6"/>
  <c r="M8" i="6"/>
  <c r="L29" i="6"/>
  <c r="M29" i="6"/>
  <c r="L49" i="6"/>
  <c r="M49" i="6"/>
  <c r="L65" i="6"/>
  <c r="M65" i="6"/>
  <c r="L64" i="5"/>
  <c r="L12" i="4"/>
  <c r="M12" i="4"/>
  <c r="M53" i="4"/>
  <c r="L53" i="4"/>
  <c r="L36" i="4"/>
  <c r="M36" i="4"/>
  <c r="M70" i="4"/>
  <c r="L70" i="4"/>
  <c r="L3" i="4"/>
  <c r="M3" i="4"/>
  <c r="M9" i="4"/>
  <c r="L9" i="4"/>
  <c r="M26" i="4"/>
  <c r="L26" i="4"/>
  <c r="L47" i="4"/>
  <c r="M47" i="4"/>
  <c r="M18" i="4"/>
  <c r="L18" i="4"/>
  <c r="L40" i="4"/>
  <c r="M40" i="4"/>
  <c r="M57" i="4"/>
  <c r="L57" i="4"/>
  <c r="M73" i="4"/>
  <c r="L73" i="4"/>
  <c r="L20" i="4"/>
  <c r="M20" i="4"/>
  <c r="M41" i="4"/>
  <c r="L41" i="4"/>
  <c r="M58" i="4"/>
  <c r="L58" i="4"/>
  <c r="M74" i="4"/>
  <c r="L74" i="4"/>
  <c r="L31" i="4"/>
  <c r="M31" i="4"/>
  <c r="L15" i="4"/>
  <c r="M15" i="4"/>
  <c r="M10" i="4"/>
  <c r="L10" i="4"/>
  <c r="M5" i="4"/>
  <c r="L5" i="4"/>
  <c r="L32" i="4"/>
  <c r="M32" i="4"/>
  <c r="L51" i="4"/>
  <c r="M51" i="4"/>
  <c r="L67" i="4"/>
  <c r="M67" i="4"/>
  <c r="M69" i="4"/>
  <c r="L69" i="4"/>
  <c r="L35" i="4"/>
  <c r="M35" i="4"/>
  <c r="L24" i="4"/>
  <c r="M24" i="4"/>
  <c r="M45" i="4"/>
  <c r="L45" i="4"/>
  <c r="M61" i="4"/>
  <c r="L61" i="4"/>
  <c r="M25" i="4"/>
  <c r="L25" i="4"/>
  <c r="M46" i="4"/>
  <c r="L46" i="4"/>
  <c r="M62" i="4"/>
  <c r="L62" i="4"/>
  <c r="L43" i="4"/>
  <c r="M43" i="4"/>
  <c r="L27" i="4"/>
  <c r="M27" i="4"/>
  <c r="L11" i="4"/>
  <c r="M11" i="4"/>
  <c r="M6" i="4"/>
  <c r="L6" i="4"/>
  <c r="L16" i="4"/>
  <c r="M16" i="4"/>
  <c r="M37" i="4"/>
  <c r="L37" i="4"/>
  <c r="L55" i="4"/>
  <c r="M55" i="4"/>
  <c r="L71" i="4"/>
  <c r="M71" i="4"/>
  <c r="M34" i="4"/>
  <c r="L34" i="4"/>
  <c r="M14" i="4"/>
  <c r="L14" i="4"/>
  <c r="M54" i="4"/>
  <c r="L54" i="4"/>
  <c r="L19" i="4"/>
  <c r="M19" i="4"/>
  <c r="L63" i="4"/>
  <c r="M63" i="4"/>
  <c r="M29" i="4"/>
  <c r="L29" i="4"/>
  <c r="M49" i="4"/>
  <c r="L49" i="4"/>
  <c r="M65" i="4"/>
  <c r="L65" i="4"/>
  <c r="M30" i="4"/>
  <c r="L30" i="4"/>
  <c r="M50" i="4"/>
  <c r="L50" i="4"/>
  <c r="M66" i="4"/>
  <c r="L66" i="4"/>
  <c r="L39" i="4"/>
  <c r="M39" i="4"/>
  <c r="L23" i="4"/>
  <c r="M23" i="4"/>
  <c r="L7" i="4"/>
  <c r="M7" i="4"/>
  <c r="M13" i="4"/>
  <c r="L13" i="4"/>
  <c r="M21" i="4"/>
  <c r="L21" i="4"/>
  <c r="M42" i="4"/>
  <c r="L42" i="4"/>
  <c r="L59" i="4"/>
  <c r="M59" i="4"/>
  <c r="L75" i="4"/>
  <c r="M75" i="4"/>
  <c r="M16" i="5"/>
  <c r="L16" i="5"/>
  <c r="L38" i="5"/>
  <c r="M38" i="5"/>
  <c r="M56" i="5"/>
  <c r="L56" i="5"/>
  <c r="M17" i="5"/>
  <c r="L17" i="5"/>
  <c r="M40" i="5"/>
  <c r="L40" i="5"/>
  <c r="M57" i="5"/>
  <c r="L57" i="5"/>
  <c r="M73" i="5"/>
  <c r="L73" i="5"/>
  <c r="L31" i="5"/>
  <c r="M31" i="5"/>
  <c r="L15" i="5"/>
  <c r="M15" i="5"/>
  <c r="L18" i="5"/>
  <c r="M18" i="5"/>
  <c r="M8" i="5"/>
  <c r="L8" i="5"/>
  <c r="M20" i="5"/>
  <c r="L20" i="5"/>
  <c r="M41" i="5"/>
  <c r="L41" i="5"/>
  <c r="L58" i="5"/>
  <c r="M58" i="5"/>
  <c r="L74" i="5"/>
  <c r="M74" i="5"/>
  <c r="M21" i="5"/>
  <c r="L21" i="5"/>
  <c r="L42" i="5"/>
  <c r="M42" i="5"/>
  <c r="L59" i="5"/>
  <c r="M59" i="5"/>
  <c r="L22" i="5"/>
  <c r="M22" i="5"/>
  <c r="M44" i="5"/>
  <c r="L44" i="5"/>
  <c r="M60" i="5"/>
  <c r="L60" i="5"/>
  <c r="M24" i="5"/>
  <c r="L24" i="5"/>
  <c r="M45" i="5"/>
  <c r="L45" i="5"/>
  <c r="M61" i="5"/>
  <c r="L61" i="5"/>
  <c r="L43" i="5"/>
  <c r="M43" i="5"/>
  <c r="L27" i="5"/>
  <c r="M27" i="5"/>
  <c r="L11" i="5"/>
  <c r="M11" i="5"/>
  <c r="L14" i="5"/>
  <c r="M14" i="5"/>
  <c r="M4" i="5"/>
  <c r="L4" i="5"/>
  <c r="M25" i="5"/>
  <c r="L25" i="5"/>
  <c r="L46" i="5"/>
  <c r="M46" i="5"/>
  <c r="L62" i="5"/>
  <c r="M62" i="5"/>
  <c r="M2" i="5"/>
  <c r="L26" i="5"/>
  <c r="M26" i="5"/>
  <c r="L47" i="5"/>
  <c r="M47" i="5"/>
  <c r="M28" i="5"/>
  <c r="L28" i="5"/>
  <c r="M48" i="5"/>
  <c r="L48" i="5"/>
  <c r="M29" i="5"/>
  <c r="L29" i="5"/>
  <c r="M49" i="5"/>
  <c r="L49" i="5"/>
  <c r="M65" i="5"/>
  <c r="L65" i="5"/>
  <c r="L39" i="5"/>
  <c r="M39" i="5"/>
  <c r="L23" i="5"/>
  <c r="M23" i="5"/>
  <c r="L7" i="5"/>
  <c r="M7" i="5"/>
  <c r="L10" i="5"/>
  <c r="M10" i="5"/>
  <c r="L30" i="5"/>
  <c r="M30" i="5"/>
  <c r="L50" i="5"/>
  <c r="M50" i="5"/>
  <c r="L66" i="5"/>
  <c r="M66" i="5"/>
  <c r="M32" i="5"/>
  <c r="L32" i="5"/>
  <c r="L51" i="5"/>
  <c r="M51" i="5"/>
  <c r="M5" i="5"/>
  <c r="L5" i="5"/>
  <c r="M33" i="5"/>
  <c r="L33" i="5"/>
  <c r="M52" i="5"/>
  <c r="L52" i="5"/>
  <c r="M9" i="5"/>
  <c r="L9" i="5"/>
  <c r="L34" i="5"/>
  <c r="M34" i="5"/>
  <c r="M53" i="5"/>
  <c r="L53" i="5"/>
  <c r="M69" i="5"/>
  <c r="L69" i="5"/>
  <c r="L35" i="5"/>
  <c r="M35" i="5"/>
  <c r="L19" i="5"/>
  <c r="M19" i="5"/>
  <c r="L3" i="5"/>
  <c r="M3" i="5"/>
  <c r="L6" i="5"/>
  <c r="M6" i="5"/>
  <c r="M36" i="5"/>
  <c r="L36" i="5"/>
  <c r="L54" i="5"/>
  <c r="M54" i="5"/>
  <c r="L70" i="5"/>
  <c r="M70" i="5"/>
  <c r="M13" i="5"/>
  <c r="L13" i="5"/>
  <c r="M37" i="5"/>
  <c r="L37" i="5"/>
  <c r="L55" i="5"/>
  <c r="M55" i="5"/>
  <c r="Q12" i="8" l="1"/>
  <c r="S49" i="8"/>
  <c r="S25" i="8"/>
  <c r="S44" i="8"/>
  <c r="S60" i="8"/>
  <c r="S41" i="8"/>
  <c r="S61" i="8"/>
  <c r="S48" i="8"/>
  <c r="S64" i="8"/>
  <c r="S76" i="8"/>
  <c r="S65" i="8"/>
  <c r="S37" i="8"/>
  <c r="S28" i="8"/>
  <c r="S36" i="8"/>
  <c r="S3" i="8"/>
  <c r="S17" i="8"/>
  <c r="S23" i="8"/>
  <c r="S68" i="8"/>
  <c r="S12" i="8"/>
  <c r="S50" i="8"/>
  <c r="S51" i="8"/>
  <c r="S11" i="8"/>
  <c r="S21" i="8"/>
  <c r="S20" i="8"/>
  <c r="S73" i="8"/>
  <c r="S43" i="8"/>
  <c r="S2" i="8"/>
  <c r="S15" i="8"/>
  <c r="S72" i="8"/>
  <c r="S34" i="8"/>
  <c r="S66" i="8"/>
  <c r="S67" i="8"/>
  <c r="S30" i="8"/>
  <c r="S33" i="8"/>
  <c r="S9" i="8"/>
  <c r="S24" i="8"/>
  <c r="S53" i="8"/>
  <c r="S39" i="8"/>
  <c r="S69" i="8"/>
  <c r="S26" i="8"/>
  <c r="S5" i="8"/>
  <c r="S47" i="8"/>
  <c r="S6" i="8"/>
  <c r="S27" i="8"/>
  <c r="S42" i="8"/>
  <c r="S59" i="8"/>
  <c r="P12" i="8"/>
  <c r="R40" i="8"/>
  <c r="R23" i="8"/>
  <c r="R72" i="8"/>
  <c r="S29" i="8"/>
  <c r="S7" i="8"/>
  <c r="S22" i="8"/>
  <c r="S57" i="8"/>
  <c r="R18" i="8"/>
  <c r="S14" i="8"/>
  <c r="R52" i="8"/>
  <c r="R57" i="8"/>
  <c r="R42" i="8"/>
  <c r="R71" i="8"/>
  <c r="S70" i="8"/>
  <c r="S38" i="8"/>
  <c r="S55" i="8"/>
  <c r="S46" i="8"/>
  <c r="S31" i="8"/>
  <c r="S58" i="8"/>
  <c r="S75" i="8"/>
  <c r="S40" i="8"/>
  <c r="S13" i="8"/>
  <c r="S4" i="8"/>
  <c r="R27" i="8"/>
  <c r="R13" i="8"/>
  <c r="R73" i="8"/>
  <c r="R14" i="8"/>
  <c r="S45" i="8"/>
  <c r="N12" i="7"/>
  <c r="R66" i="7" s="1"/>
  <c r="R6" i="7"/>
  <c r="R7" i="7"/>
  <c r="R28" i="7"/>
  <c r="R10" i="7"/>
  <c r="R60" i="7"/>
  <c r="R27" i="7"/>
  <c r="R71" i="7"/>
  <c r="R58" i="7"/>
  <c r="S49" i="7"/>
  <c r="S37" i="7"/>
  <c r="R26" i="7"/>
  <c r="S31" i="7"/>
  <c r="S67" i="7"/>
  <c r="S54" i="7"/>
  <c r="R14" i="7"/>
  <c r="S19" i="7"/>
  <c r="R8" i="7"/>
  <c r="S40" i="7"/>
  <c r="S66" i="7"/>
  <c r="O12" i="7"/>
  <c r="S25" i="7" s="1"/>
  <c r="R25" i="7"/>
  <c r="R57" i="7"/>
  <c r="S6" i="7"/>
  <c r="S48" i="7"/>
  <c r="S7" i="7"/>
  <c r="S28" i="7"/>
  <c r="S59" i="7"/>
  <c r="S10" i="7"/>
  <c r="R69" i="7"/>
  <c r="S30" i="7"/>
  <c r="S60" i="7"/>
  <c r="R13" i="7"/>
  <c r="S27" i="7"/>
  <c r="S16" i="7"/>
  <c r="S71" i="7"/>
  <c r="S34" i="7"/>
  <c r="S58" i="7"/>
  <c r="R9" i="7"/>
  <c r="R49" i="7"/>
  <c r="S72" i="7"/>
  <c r="R37" i="7"/>
  <c r="R31" i="7"/>
  <c r="R67" i="7"/>
  <c r="R54" i="7"/>
  <c r="R15" i="7"/>
  <c r="S4" i="7"/>
  <c r="R36" i="7"/>
  <c r="R51" i="7"/>
  <c r="R70" i="7"/>
  <c r="S33" i="7"/>
  <c r="R61" i="7"/>
  <c r="S14" i="7"/>
  <c r="S52" i="7"/>
  <c r="R3" i="7"/>
  <c r="R35" i="7"/>
  <c r="R24" i="7"/>
  <c r="R63" i="7"/>
  <c r="R18" i="7"/>
  <c r="R50" i="7"/>
  <c r="S73" i="7"/>
  <c r="R38" i="7"/>
  <c r="R64" i="7"/>
  <c r="S21" i="7"/>
  <c r="R23" i="7"/>
  <c r="R12" i="7"/>
  <c r="R75" i="7"/>
  <c r="R42" i="7"/>
  <c r="R62" i="7"/>
  <c r="S17" i="7"/>
  <c r="S53" i="7"/>
  <c r="R76" i="7"/>
  <c r="R44" i="7"/>
  <c r="R11" i="7"/>
  <c r="R43" i="7"/>
  <c r="R32" i="7"/>
  <c r="R55" i="7"/>
  <c r="R74" i="7"/>
  <c r="S41" i="7"/>
  <c r="S65" i="7"/>
  <c r="R22" i="7"/>
  <c r="R56" i="7"/>
  <c r="S5" i="7"/>
  <c r="S68" i="7"/>
  <c r="S15" i="7"/>
  <c r="R4" i="7"/>
  <c r="S36" i="7"/>
  <c r="S51" i="7"/>
  <c r="S70" i="7"/>
  <c r="R33" i="7"/>
  <c r="S45" i="7"/>
  <c r="R68" i="7"/>
  <c r="S29" i="7"/>
  <c r="S3" i="7"/>
  <c r="S35" i="7"/>
  <c r="S24" i="7"/>
  <c r="S63" i="7"/>
  <c r="S18" i="7"/>
  <c r="S50" i="7"/>
  <c r="R73" i="7"/>
  <c r="S38" i="7"/>
  <c r="S64" i="7"/>
  <c r="R21" i="7"/>
  <c r="S23" i="7"/>
  <c r="S12" i="7"/>
  <c r="S75" i="7"/>
  <c r="S42" i="7"/>
  <c r="S62" i="7"/>
  <c r="R17" i="7"/>
  <c r="R53" i="7"/>
  <c r="S76" i="7"/>
  <c r="S44" i="7"/>
  <c r="S11" i="7"/>
  <c r="S43" i="7"/>
  <c r="S32" i="7"/>
  <c r="S55" i="7"/>
  <c r="S74" i="7"/>
  <c r="R41" i="7"/>
  <c r="R65" i="7"/>
  <c r="S22" i="7"/>
  <c r="S56" i="7"/>
  <c r="R5" i="7"/>
  <c r="S47" i="6"/>
  <c r="R68" i="6"/>
  <c r="R9" i="6"/>
  <c r="R56" i="6"/>
  <c r="S24" i="6"/>
  <c r="R43" i="6"/>
  <c r="R58" i="6"/>
  <c r="S73" i="6"/>
  <c r="N12" i="6"/>
  <c r="S76" i="6"/>
  <c r="R31" i="6"/>
  <c r="S41" i="6"/>
  <c r="R50" i="6"/>
  <c r="R10" i="6"/>
  <c r="R19" i="6"/>
  <c r="S34" i="6"/>
  <c r="R60" i="6"/>
  <c r="S8" i="6"/>
  <c r="S2" i="6"/>
  <c r="R67" i="6"/>
  <c r="S32" i="6"/>
  <c r="R62" i="6"/>
  <c r="R24" i="6"/>
  <c r="R36" i="6"/>
  <c r="S63" i="6"/>
  <c r="R53" i="6"/>
  <c r="S38" i="6"/>
  <c r="R73" i="6"/>
  <c r="R40" i="6"/>
  <c r="O12" i="6"/>
  <c r="S56" i="6" s="1"/>
  <c r="R76" i="6"/>
  <c r="R44" i="6"/>
  <c r="S31" i="6"/>
  <c r="R41" i="6"/>
  <c r="S59" i="6"/>
  <c r="S29" i="6"/>
  <c r="R7" i="6"/>
  <c r="S9" i="6"/>
  <c r="R71" i="6"/>
  <c r="R28" i="6"/>
  <c r="R4" i="6"/>
  <c r="R72" i="6"/>
  <c r="R25" i="6"/>
  <c r="S30" i="6"/>
  <c r="S70" i="6"/>
  <c r="R49" i="6"/>
  <c r="R8" i="6"/>
  <c r="S14" i="6"/>
  <c r="R52" i="6"/>
  <c r="R12" i="6"/>
  <c r="S54" i="6"/>
  <c r="R32" i="6"/>
  <c r="R69" i="6"/>
  <c r="R20" i="6"/>
  <c r="R17" i="6"/>
  <c r="S62" i="6"/>
  <c r="R37" i="6"/>
  <c r="S45" i="6"/>
  <c r="R74" i="6"/>
  <c r="S64" i="6"/>
  <c r="S28" i="6"/>
  <c r="R27" i="6"/>
  <c r="R46" i="6"/>
  <c r="R47" i="6"/>
  <c r="S4" i="6"/>
  <c r="R34" i="6"/>
  <c r="R3" i="6"/>
  <c r="S25" i="6"/>
  <c r="S16" i="6"/>
  <c r="R18" i="6"/>
  <c r="R30" i="6"/>
  <c r="S60" i="6"/>
  <c r="R22" i="6"/>
  <c r="R15" i="6"/>
  <c r="R70" i="6"/>
  <c r="R75" i="6"/>
  <c r="R42" i="6"/>
  <c r="R2" i="6"/>
  <c r="S46" i="4"/>
  <c r="S58" i="4"/>
  <c r="S53" i="4"/>
  <c r="R39" i="4"/>
  <c r="S63" i="4"/>
  <c r="S37" i="4"/>
  <c r="R25" i="4"/>
  <c r="R67" i="4"/>
  <c r="R74" i="4"/>
  <c r="S26" i="4"/>
  <c r="S22" i="4"/>
  <c r="R11" i="4"/>
  <c r="S23" i="4"/>
  <c r="N12" i="4"/>
  <c r="R50" i="4" s="1"/>
  <c r="S65" i="4"/>
  <c r="S14" i="4"/>
  <c r="R27" i="4"/>
  <c r="R45" i="4"/>
  <c r="S69" i="4"/>
  <c r="R15" i="4"/>
  <c r="S74" i="4"/>
  <c r="R40" i="4"/>
  <c r="S47" i="4"/>
  <c r="R3" i="4"/>
  <c r="R12" i="4"/>
  <c r="R28" i="4"/>
  <c r="R64" i="4"/>
  <c r="R76" i="4"/>
  <c r="R72" i="4"/>
  <c r="R60" i="4"/>
  <c r="R56" i="4"/>
  <c r="R68" i="4"/>
  <c r="R44" i="4"/>
  <c r="R48" i="4"/>
  <c r="R52" i="4"/>
  <c r="R42" i="4"/>
  <c r="S39" i="4"/>
  <c r="R37" i="4"/>
  <c r="R43" i="4"/>
  <c r="R61" i="4"/>
  <c r="R31" i="4"/>
  <c r="R20" i="4"/>
  <c r="R13" i="4"/>
  <c r="R59" i="4"/>
  <c r="R23" i="4"/>
  <c r="S66" i="4"/>
  <c r="O12" i="4"/>
  <c r="S32" i="4" s="1"/>
  <c r="R49" i="4"/>
  <c r="R54" i="4"/>
  <c r="R34" i="4"/>
  <c r="R55" i="4"/>
  <c r="R16" i="4"/>
  <c r="S11" i="4"/>
  <c r="S43" i="4"/>
  <c r="R46" i="4"/>
  <c r="S45" i="4"/>
  <c r="S35" i="4"/>
  <c r="R51" i="4"/>
  <c r="R10" i="4"/>
  <c r="S31" i="4"/>
  <c r="R58" i="4"/>
  <c r="S20" i="4"/>
  <c r="R57" i="4"/>
  <c r="R18" i="4"/>
  <c r="R47" i="4"/>
  <c r="R9" i="4"/>
  <c r="R70" i="4"/>
  <c r="R53" i="4"/>
  <c r="S2" i="4"/>
  <c r="S28" i="5"/>
  <c r="S3" i="5"/>
  <c r="O12" i="5"/>
  <c r="S50" i="5" s="1"/>
  <c r="S30" i="5"/>
  <c r="S44" i="5"/>
  <c r="S16" i="5"/>
  <c r="N12" i="5"/>
  <c r="R69" i="5" s="1"/>
  <c r="S49" i="5"/>
  <c r="S22" i="5"/>
  <c r="S74" i="5"/>
  <c r="S38" i="5"/>
  <c r="R40" i="7" l="1"/>
  <c r="Q12" i="7"/>
  <c r="S2" i="7"/>
  <c r="S61" i="7"/>
  <c r="S20" i="7"/>
  <c r="R20" i="7"/>
  <c r="S9" i="7"/>
  <c r="R16" i="7"/>
  <c r="R30" i="7"/>
  <c r="R59" i="7"/>
  <c r="R48" i="7"/>
  <c r="S8" i="7"/>
  <c r="S69" i="7"/>
  <c r="P12" i="7"/>
  <c r="R2" i="7"/>
  <c r="R19" i="7"/>
  <c r="S46" i="7"/>
  <c r="S39" i="7"/>
  <c r="S47" i="7"/>
  <c r="R52" i="7"/>
  <c r="S26" i="7"/>
  <c r="R45" i="7"/>
  <c r="R72" i="7"/>
  <c r="R34" i="7"/>
  <c r="S13" i="7"/>
  <c r="R46" i="7"/>
  <c r="R39" i="7"/>
  <c r="S57" i="7"/>
  <c r="R47" i="7"/>
  <c r="R29" i="7"/>
  <c r="S23" i="6"/>
  <c r="S22" i="6"/>
  <c r="S74" i="6"/>
  <c r="S58" i="6"/>
  <c r="S43" i="6"/>
  <c r="S17" i="6"/>
  <c r="S12" i="6"/>
  <c r="S49" i="6"/>
  <c r="S18" i="6"/>
  <c r="S46" i="6"/>
  <c r="S65" i="6"/>
  <c r="P12" i="6"/>
  <c r="R5" i="6"/>
  <c r="R55" i="6"/>
  <c r="S53" i="6"/>
  <c r="R11" i="6"/>
  <c r="S61" i="6"/>
  <c r="R13" i="6"/>
  <c r="S39" i="6"/>
  <c r="S50" i="6"/>
  <c r="Q12" i="6"/>
  <c r="S5" i="6"/>
  <c r="S55" i="6"/>
  <c r="S11" i="6"/>
  <c r="R61" i="6"/>
  <c r="S20" i="6"/>
  <c r="R54" i="6"/>
  <c r="S52" i="6"/>
  <c r="S75" i="6"/>
  <c r="R16" i="6"/>
  <c r="R64" i="6"/>
  <c r="R51" i="6"/>
  <c r="S21" i="6"/>
  <c r="R6" i="6"/>
  <c r="R66" i="6"/>
  <c r="R35" i="6"/>
  <c r="R26" i="6"/>
  <c r="S48" i="6"/>
  <c r="S71" i="6"/>
  <c r="S10" i="6"/>
  <c r="S7" i="6"/>
  <c r="R29" i="6"/>
  <c r="R39" i="6"/>
  <c r="S57" i="6"/>
  <c r="S72" i="6"/>
  <c r="S67" i="6"/>
  <c r="S42" i="6"/>
  <c r="R57" i="6"/>
  <c r="S27" i="6"/>
  <c r="S13" i="6"/>
  <c r="R21" i="6"/>
  <c r="S6" i="6"/>
  <c r="S66" i="6"/>
  <c r="S35" i="6"/>
  <c r="S26" i="6"/>
  <c r="R48" i="6"/>
  <c r="S37" i="6"/>
  <c r="S69" i="6"/>
  <c r="R23" i="6"/>
  <c r="R14" i="6"/>
  <c r="S15" i="6"/>
  <c r="S3" i="6"/>
  <c r="R45" i="6"/>
  <c r="S33" i="6"/>
  <c r="R59" i="6"/>
  <c r="S44" i="6"/>
  <c r="S40" i="6"/>
  <c r="R38" i="6"/>
  <c r="R63" i="6"/>
  <c r="S36" i="6"/>
  <c r="S19" i="6"/>
  <c r="S51" i="6"/>
  <c r="R33" i="6"/>
  <c r="R65" i="6"/>
  <c r="S68" i="6"/>
  <c r="S10" i="5"/>
  <c r="S40" i="5"/>
  <c r="S17" i="5"/>
  <c r="S4" i="5"/>
  <c r="S66" i="5"/>
  <c r="S29" i="5"/>
  <c r="R73" i="5"/>
  <c r="S27" i="5"/>
  <c r="S5" i="5"/>
  <c r="S57" i="5"/>
  <c r="S2" i="5"/>
  <c r="S15" i="5"/>
  <c r="S14" i="5"/>
  <c r="S53" i="5"/>
  <c r="S21" i="5"/>
  <c r="S48" i="5"/>
  <c r="S35" i="5"/>
  <c r="S41" i="5"/>
  <c r="S6" i="4"/>
  <c r="R19" i="4"/>
  <c r="R30" i="4"/>
  <c r="R21" i="4"/>
  <c r="S34" i="4"/>
  <c r="S12" i="4"/>
  <c r="S40" i="4"/>
  <c r="S15" i="4"/>
  <c r="R69" i="4"/>
  <c r="R62" i="4"/>
  <c r="R71" i="4"/>
  <c r="R29" i="4"/>
  <c r="R7" i="4"/>
  <c r="S70" i="4"/>
  <c r="S10" i="4"/>
  <c r="S71" i="4"/>
  <c r="S30" i="4"/>
  <c r="S13" i="4"/>
  <c r="S59" i="4"/>
  <c r="S67" i="4"/>
  <c r="S54" i="4"/>
  <c r="R8" i="4"/>
  <c r="R36" i="4"/>
  <c r="S73" i="4"/>
  <c r="S5" i="4"/>
  <c r="S25" i="4"/>
  <c r="S16" i="4"/>
  <c r="R63" i="4"/>
  <c r="R66" i="4"/>
  <c r="S18" i="4"/>
  <c r="S7" i="4"/>
  <c r="S36" i="4"/>
  <c r="R73" i="4"/>
  <c r="R5" i="4"/>
  <c r="R24" i="4"/>
  <c r="S27" i="4"/>
  <c r="R14" i="4"/>
  <c r="R65" i="4"/>
  <c r="S42" i="4"/>
  <c r="R26" i="4"/>
  <c r="Q12" i="4"/>
  <c r="S33" i="4"/>
  <c r="S44" i="4"/>
  <c r="S52" i="4"/>
  <c r="S60" i="4"/>
  <c r="S56" i="4"/>
  <c r="S72" i="4"/>
  <c r="S4" i="4"/>
  <c r="S68" i="4"/>
  <c r="S64" i="4"/>
  <c r="S48" i="4"/>
  <c r="S28" i="4"/>
  <c r="S17" i="4"/>
  <c r="S76" i="4"/>
  <c r="S8" i="4"/>
  <c r="S21" i="4"/>
  <c r="S9" i="4"/>
  <c r="S49" i="4"/>
  <c r="S41" i="4"/>
  <c r="S51" i="4"/>
  <c r="S62" i="4"/>
  <c r="S55" i="4"/>
  <c r="S29" i="4"/>
  <c r="P12" i="4"/>
  <c r="R38" i="4"/>
  <c r="R4" i="4"/>
  <c r="R17" i="4"/>
  <c r="R33" i="4"/>
  <c r="R22" i="4"/>
  <c r="R2" i="4"/>
  <c r="R35" i="4"/>
  <c r="S38" i="4"/>
  <c r="S3" i="4"/>
  <c r="R41" i="4"/>
  <c r="R32" i="4"/>
  <c r="S61" i="4"/>
  <c r="R6" i="4"/>
  <c r="S19" i="4"/>
  <c r="S50" i="4"/>
  <c r="R75" i="4"/>
  <c r="S57" i="4"/>
  <c r="S24" i="4"/>
  <c r="S75" i="4"/>
  <c r="R58" i="5"/>
  <c r="R32" i="5"/>
  <c r="R8" i="5"/>
  <c r="R60" i="5"/>
  <c r="R25" i="5"/>
  <c r="R7" i="5"/>
  <c r="R13" i="5"/>
  <c r="S37" i="5"/>
  <c r="R44" i="5"/>
  <c r="S69" i="5"/>
  <c r="S60" i="5"/>
  <c r="S34" i="5"/>
  <c r="R28" i="5"/>
  <c r="R17" i="5"/>
  <c r="R35" i="5"/>
  <c r="R20" i="5"/>
  <c r="R50" i="5"/>
  <c r="R40" i="5"/>
  <c r="R41" i="5"/>
  <c r="R24" i="5"/>
  <c r="R47" i="5"/>
  <c r="R30" i="5"/>
  <c r="S52" i="5"/>
  <c r="S55" i="5"/>
  <c r="S20" i="5"/>
  <c r="S45" i="5"/>
  <c r="S39" i="5"/>
  <c r="R5" i="5"/>
  <c r="S13" i="5"/>
  <c r="R4" i="5"/>
  <c r="S70" i="5"/>
  <c r="R14" i="5"/>
  <c r="R54" i="5"/>
  <c r="R46" i="5"/>
  <c r="R49" i="5"/>
  <c r="R52" i="5"/>
  <c r="R57" i="5"/>
  <c r="S58" i="5"/>
  <c r="R45" i="5"/>
  <c r="S46" i="5"/>
  <c r="S65" i="5"/>
  <c r="S51" i="5"/>
  <c r="R19" i="5"/>
  <c r="R37" i="5"/>
  <c r="S73" i="5"/>
  <c r="R74" i="5"/>
  <c r="S24" i="5"/>
  <c r="S25" i="5"/>
  <c r="R29" i="5"/>
  <c r="P12" i="5"/>
  <c r="R2" i="5"/>
  <c r="R76" i="5"/>
  <c r="R72" i="5"/>
  <c r="R71" i="5"/>
  <c r="R67" i="5"/>
  <c r="R63" i="5"/>
  <c r="R75" i="5"/>
  <c r="R68" i="5"/>
  <c r="R64" i="5"/>
  <c r="R12" i="5"/>
  <c r="R3" i="5"/>
  <c r="R31" i="5"/>
  <c r="R43" i="5"/>
  <c r="Q12" i="5"/>
  <c r="S71" i="5"/>
  <c r="S67" i="5"/>
  <c r="S63" i="5"/>
  <c r="S75" i="5"/>
  <c r="S68" i="5"/>
  <c r="S12" i="5"/>
  <c r="S76" i="5"/>
  <c r="S64" i="5"/>
  <c r="S72" i="5"/>
  <c r="R9" i="5"/>
  <c r="S36" i="5"/>
  <c r="R16" i="5"/>
  <c r="S31" i="5"/>
  <c r="R21" i="5"/>
  <c r="S43" i="5"/>
  <c r="R26" i="5"/>
  <c r="R23" i="5"/>
  <c r="S33" i="5"/>
  <c r="R6" i="5"/>
  <c r="R55" i="5"/>
  <c r="R15" i="5"/>
  <c r="R42" i="5"/>
  <c r="S61" i="5"/>
  <c r="R62" i="5"/>
  <c r="R65" i="5"/>
  <c r="S32" i="5"/>
  <c r="S19" i="5"/>
  <c r="S42" i="5"/>
  <c r="R61" i="5"/>
  <c r="S62" i="5"/>
  <c r="R39" i="5"/>
  <c r="R66" i="5"/>
  <c r="S9" i="5"/>
  <c r="S54" i="5"/>
  <c r="S56" i="5"/>
  <c r="R18" i="5"/>
  <c r="R59" i="5"/>
  <c r="R11" i="5"/>
  <c r="S47" i="5"/>
  <c r="S7" i="5"/>
  <c r="R51" i="5"/>
  <c r="R53" i="5"/>
  <c r="R70" i="5"/>
  <c r="R56" i="5"/>
  <c r="S18" i="5"/>
  <c r="S59" i="5"/>
  <c r="S11" i="5"/>
  <c r="R48" i="5"/>
  <c r="R10" i="5"/>
  <c r="R34" i="5"/>
  <c r="R36" i="5"/>
  <c r="R38" i="5"/>
  <c r="S8" i="5"/>
  <c r="R22" i="5"/>
  <c r="R27" i="5"/>
  <c r="S26" i="5"/>
  <c r="S23" i="5"/>
  <c r="R33" i="5"/>
  <c r="S6" i="5"/>
  <c r="K6" i="1" l="1"/>
  <c r="L6" i="1" s="1"/>
  <c r="K10" i="1"/>
  <c r="M10" i="1" s="1"/>
  <c r="K14" i="1"/>
  <c r="L14" i="1" s="1"/>
  <c r="K18" i="1"/>
  <c r="L18" i="1" s="1"/>
  <c r="K22" i="1"/>
  <c r="L22" i="1" s="1"/>
  <c r="K26" i="1"/>
  <c r="L26" i="1" s="1"/>
  <c r="K30" i="1"/>
  <c r="L30" i="1" s="1"/>
  <c r="K34" i="1"/>
  <c r="L34" i="1" s="1"/>
  <c r="K38" i="1"/>
  <c r="L38" i="1" s="1"/>
  <c r="K42" i="1"/>
  <c r="M42" i="1" s="1"/>
  <c r="K46" i="1"/>
  <c r="L46" i="1" s="1"/>
  <c r="K50" i="1"/>
  <c r="L50" i="1" s="1"/>
  <c r="K54" i="1"/>
  <c r="M54" i="1" s="1"/>
  <c r="K58" i="1"/>
  <c r="L58" i="1" s="1"/>
  <c r="K62" i="1"/>
  <c r="L62" i="1" s="1"/>
  <c r="K66" i="1"/>
  <c r="M66" i="1" s="1"/>
  <c r="K70" i="1"/>
  <c r="L70" i="1" s="1"/>
  <c r="K74" i="1"/>
  <c r="M7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H2" i="1"/>
  <c r="K2" i="1" s="1"/>
  <c r="G2" i="1"/>
  <c r="J2" i="1" s="1"/>
  <c r="F2" i="1"/>
  <c r="I2" i="1" s="1"/>
  <c r="M70" i="1" l="1"/>
  <c r="M62" i="1"/>
  <c r="M58" i="1"/>
  <c r="M50" i="1"/>
  <c r="M46" i="1"/>
  <c r="M38" i="1"/>
  <c r="M34" i="1"/>
  <c r="M30" i="1"/>
  <c r="M26" i="1"/>
  <c r="M22" i="1"/>
  <c r="M18" i="1"/>
  <c r="M14" i="1"/>
  <c r="M6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L74" i="1"/>
  <c r="L66" i="1"/>
  <c r="L54" i="1"/>
  <c r="L42" i="1"/>
  <c r="L10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  <c r="L2" i="1"/>
  <c r="M2" i="1"/>
  <c r="M7" i="1" l="1"/>
  <c r="L7" i="1"/>
  <c r="M39" i="1"/>
  <c r="L39" i="1"/>
  <c r="L8" i="1"/>
  <c r="M8" i="1"/>
  <c r="M40" i="1"/>
  <c r="L40" i="1"/>
  <c r="M72" i="1"/>
  <c r="L72" i="1"/>
  <c r="L29" i="1"/>
  <c r="M29" i="1"/>
  <c r="L61" i="1"/>
  <c r="M61" i="1"/>
  <c r="M11" i="1"/>
  <c r="L11" i="1"/>
  <c r="M27" i="1"/>
  <c r="L27" i="1"/>
  <c r="M43" i="1"/>
  <c r="L43" i="1"/>
  <c r="M59" i="1"/>
  <c r="L59" i="1"/>
  <c r="M75" i="1"/>
  <c r="L75" i="1"/>
  <c r="M12" i="1"/>
  <c r="L12" i="1"/>
  <c r="M28" i="1"/>
  <c r="L28" i="1"/>
  <c r="L44" i="1"/>
  <c r="M44" i="1"/>
  <c r="L60" i="1"/>
  <c r="M60" i="1"/>
  <c r="M76" i="1"/>
  <c r="L76" i="1"/>
  <c r="L17" i="1"/>
  <c r="M17" i="1"/>
  <c r="L33" i="1"/>
  <c r="M33" i="1"/>
  <c r="L49" i="1"/>
  <c r="M49" i="1"/>
  <c r="L65" i="1"/>
  <c r="M65" i="1"/>
  <c r="M23" i="1"/>
  <c r="L23" i="1"/>
  <c r="M55" i="1"/>
  <c r="L55" i="1"/>
  <c r="M71" i="1"/>
  <c r="L71" i="1"/>
  <c r="L24" i="1"/>
  <c r="M24" i="1"/>
  <c r="M56" i="1"/>
  <c r="L56" i="1"/>
  <c r="L13" i="1"/>
  <c r="M13" i="1"/>
  <c r="L45" i="1"/>
  <c r="M45" i="1"/>
  <c r="M15" i="1"/>
  <c r="L15" i="1"/>
  <c r="M31" i="1"/>
  <c r="L31" i="1"/>
  <c r="M47" i="1"/>
  <c r="L47" i="1"/>
  <c r="M63" i="1"/>
  <c r="L63" i="1"/>
  <c r="L16" i="1"/>
  <c r="M16" i="1"/>
  <c r="M32" i="1"/>
  <c r="L32" i="1"/>
  <c r="M48" i="1"/>
  <c r="L48" i="1"/>
  <c r="M64" i="1"/>
  <c r="L64" i="1"/>
  <c r="L5" i="1"/>
  <c r="M5" i="1"/>
  <c r="L21" i="1"/>
  <c r="M21" i="1"/>
  <c r="L37" i="1"/>
  <c r="M37" i="1"/>
  <c r="L53" i="1"/>
  <c r="M53" i="1"/>
  <c r="L69" i="1"/>
  <c r="M69" i="1"/>
  <c r="M3" i="1"/>
  <c r="L3" i="1"/>
  <c r="M19" i="1"/>
  <c r="L19" i="1"/>
  <c r="M35" i="1"/>
  <c r="L35" i="1"/>
  <c r="M51" i="1"/>
  <c r="L51" i="1"/>
  <c r="M67" i="1"/>
  <c r="L67" i="1"/>
  <c r="N12" i="1" s="1"/>
  <c r="M4" i="1"/>
  <c r="L4" i="1"/>
  <c r="M20" i="1"/>
  <c r="L20" i="1"/>
  <c r="L36" i="1"/>
  <c r="M36" i="1"/>
  <c r="L52" i="1"/>
  <c r="M52" i="1"/>
  <c r="L68" i="1"/>
  <c r="M68" i="1"/>
  <c r="L9" i="1"/>
  <c r="M9" i="1"/>
  <c r="L25" i="1"/>
  <c r="M25" i="1"/>
  <c r="L41" i="1"/>
  <c r="M41" i="1"/>
  <c r="L57" i="1"/>
  <c r="M57" i="1"/>
  <c r="L73" i="1"/>
  <c r="M7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  <c r="P12" i="1" l="1"/>
  <c r="R74" i="1"/>
  <c r="R10" i="1"/>
  <c r="R42" i="1"/>
  <c r="R66" i="1"/>
  <c r="R2" i="1"/>
  <c r="R4" i="1"/>
  <c r="R21" i="1"/>
  <c r="R65" i="1"/>
  <c r="R25" i="1"/>
  <c r="R36" i="1"/>
  <c r="R51" i="1"/>
  <c r="R24" i="1"/>
  <c r="R31" i="1"/>
  <c r="R28" i="1"/>
  <c r="R27" i="1"/>
  <c r="R72" i="1"/>
  <c r="R20" i="1"/>
  <c r="R69" i="1"/>
  <c r="R37" i="1"/>
  <c r="R5" i="1"/>
  <c r="R16" i="1"/>
  <c r="R56" i="1"/>
  <c r="R71" i="1"/>
  <c r="R23" i="1"/>
  <c r="R49" i="1"/>
  <c r="R17" i="1"/>
  <c r="R60" i="1"/>
  <c r="R61" i="1"/>
  <c r="R8" i="1"/>
  <c r="R7" i="1"/>
  <c r="O12" i="1"/>
  <c r="S13" i="1" s="1"/>
  <c r="R53" i="1"/>
  <c r="R55" i="1"/>
  <c r="R33" i="1"/>
  <c r="R44" i="1"/>
  <c r="R29" i="1"/>
  <c r="R39" i="1"/>
  <c r="R57" i="1"/>
  <c r="R68" i="1"/>
  <c r="R19" i="1"/>
  <c r="R48" i="1"/>
  <c r="R63" i="1"/>
  <c r="R13" i="1"/>
  <c r="R59" i="1"/>
  <c r="R73" i="1"/>
  <c r="R41" i="1"/>
  <c r="R9" i="1"/>
  <c r="R52" i="1"/>
  <c r="R67" i="1"/>
  <c r="R35" i="1"/>
  <c r="R3" i="1"/>
  <c r="R64" i="1"/>
  <c r="R32" i="1"/>
  <c r="R47" i="1"/>
  <c r="R15" i="1"/>
  <c r="R45" i="1"/>
  <c r="R76" i="1"/>
  <c r="R12" i="1"/>
  <c r="R50" i="1"/>
  <c r="R14" i="1"/>
  <c r="R38" i="1"/>
  <c r="R62" i="1"/>
  <c r="R18" i="1"/>
  <c r="R26" i="1"/>
  <c r="R34" i="1"/>
  <c r="R22" i="1"/>
  <c r="R30" i="1"/>
  <c r="R46" i="1"/>
  <c r="R70" i="1"/>
  <c r="R6" i="1"/>
  <c r="R58" i="1"/>
  <c r="R75" i="1"/>
  <c r="R43" i="1"/>
  <c r="R11" i="1"/>
  <c r="R40" i="1"/>
  <c r="R54" i="1"/>
  <c r="S65" i="1" l="1"/>
  <c r="S71" i="1"/>
  <c r="S29" i="1"/>
  <c r="S49" i="1"/>
  <c r="S5" i="1"/>
  <c r="S53" i="1"/>
  <c r="S62" i="1"/>
  <c r="S43" i="1"/>
  <c r="Q12" i="1"/>
  <c r="S50" i="1"/>
  <c r="S18" i="1"/>
  <c r="S38" i="1"/>
  <c r="S70" i="1"/>
  <c r="S31" i="1"/>
  <c r="S19" i="1"/>
  <c r="S9" i="1"/>
  <c r="S17" i="1"/>
  <c r="S8" i="1"/>
  <c r="S75" i="1"/>
  <c r="S66" i="1"/>
  <c r="S64" i="1"/>
  <c r="S68" i="1"/>
  <c r="S44" i="1"/>
  <c r="S23" i="1"/>
  <c r="S21" i="1"/>
  <c r="S4" i="1"/>
  <c r="S32" i="1"/>
  <c r="S67" i="1"/>
  <c r="S27" i="1"/>
  <c r="S63" i="1"/>
  <c r="S51" i="1"/>
  <c r="S41" i="1"/>
  <c r="S2" i="1"/>
  <c r="S55" i="1"/>
  <c r="S61" i="1"/>
  <c r="S16" i="1"/>
  <c r="S54" i="1"/>
  <c r="S42" i="1"/>
  <c r="S24" i="1"/>
  <c r="S57" i="1"/>
  <c r="S26" i="1"/>
  <c r="S36" i="1"/>
  <c r="S72" i="1"/>
  <c r="S59" i="1"/>
  <c r="S73" i="1"/>
  <c r="S6" i="1"/>
  <c r="S60" i="1"/>
  <c r="S37" i="1"/>
  <c r="S22" i="1"/>
  <c r="S10" i="1"/>
  <c r="S12" i="1"/>
  <c r="S15" i="1"/>
  <c r="S35" i="1"/>
  <c r="S7" i="1"/>
  <c r="S46" i="1"/>
  <c r="S33" i="1"/>
  <c r="S56" i="1"/>
  <c r="S34" i="1"/>
  <c r="S20" i="1"/>
  <c r="S69" i="1"/>
  <c r="S11" i="1"/>
  <c r="S3" i="1"/>
  <c r="S25" i="1"/>
  <c r="S28" i="1"/>
  <c r="S14" i="1"/>
  <c r="S45" i="1"/>
  <c r="S48" i="1"/>
  <c r="S58" i="1"/>
  <c r="S52" i="1"/>
  <c r="S39" i="1"/>
  <c r="S30" i="1"/>
  <c r="S40" i="1"/>
  <c r="S74" i="1"/>
  <c r="S76" i="1"/>
  <c r="S47" i="1"/>
</calcChain>
</file>

<file path=xl/sharedStrings.xml><?xml version="1.0" encoding="utf-8"?>
<sst xmlns="http://schemas.openxmlformats.org/spreadsheetml/2006/main" count="90" uniqueCount="17">
  <si>
    <t>Time [s]</t>
  </si>
  <si>
    <t>Intensity Region 2</t>
  </si>
  <si>
    <t>Adjusted time [s]</t>
  </si>
  <si>
    <t>Average Region 1</t>
  </si>
  <si>
    <t>Average Region 2</t>
  </si>
  <si>
    <t>Average Region 3</t>
  </si>
  <si>
    <t>Normalized Region 1</t>
  </si>
  <si>
    <t>Normalized Region 2</t>
  </si>
  <si>
    <t>Normalized Region 3</t>
  </si>
  <si>
    <t>Normalized 2 Region 1</t>
  </si>
  <si>
    <t>Normalized 2 Region 2</t>
  </si>
  <si>
    <t>R(t) Region 1</t>
  </si>
  <si>
    <t>R(t) Region 2</t>
  </si>
  <si>
    <t xml:space="preserve">Intensity Region 1 </t>
  </si>
  <si>
    <t xml:space="preserve">Intensity Region 3 </t>
  </si>
  <si>
    <t>Intensity Region 1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</si>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</sst>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FS_40kDa_1!$R$1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FS_40kDa_1!$B$2:$B$98</c:f>
              <c:numCache>
                <c:formatCode>General</c:formatCode>
                <c:ptCount val="97"/>
                <c:pt idx="0">
                  <c:v>-8.4109999999999996</c:v>
                </c:pt>
                <c:pt idx="1">
                  <c:v>-7.9078999999999997</c:v>
                </c:pt>
                <c:pt idx="2">
                  <c:v>-7.4082999999999997</c:v>
                </c:pt>
                <c:pt idx="3">
                  <c:v>-6.9077999999999999</c:v>
                </c:pt>
                <c:pt idx="4">
                  <c:v>-6.4083999999999994</c:v>
                </c:pt>
                <c:pt idx="5">
                  <c:v>-5.9083999999999994</c:v>
                </c:pt>
                <c:pt idx="6">
                  <c:v>-5.4083999999999994</c:v>
                </c:pt>
                <c:pt idx="7">
                  <c:v>-4.908199999999999</c:v>
                </c:pt>
                <c:pt idx="8">
                  <c:v>-4.4085999999999999</c:v>
                </c:pt>
                <c:pt idx="9">
                  <c:v>-3.9083999999999994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5.0029000000000003</c:v>
                </c:pt>
                <c:pt idx="21">
                  <c:v>5.5025000000000013</c:v>
                </c:pt>
                <c:pt idx="22">
                  <c:v>6.0027000000000008</c:v>
                </c:pt>
                <c:pt idx="23">
                  <c:v>6.5029000000000003</c:v>
                </c:pt>
                <c:pt idx="24">
                  <c:v>7.0029000000000003</c:v>
                </c:pt>
                <c:pt idx="25">
                  <c:v>7.5029000000000003</c:v>
                </c:pt>
                <c:pt idx="26">
                  <c:v>8.0031000000000017</c:v>
                </c:pt>
                <c:pt idx="27">
                  <c:v>8.502699999999999</c:v>
                </c:pt>
                <c:pt idx="28">
                  <c:v>9.0029000000000021</c:v>
                </c:pt>
                <c:pt idx="29">
                  <c:v>9.5029000000000021</c:v>
                </c:pt>
                <c:pt idx="30">
                  <c:v>10.003000000000002</c:v>
                </c:pt>
                <c:pt idx="31">
                  <c:v>10.5024</c:v>
                </c:pt>
                <c:pt idx="32">
                  <c:v>11.003200000000001</c:v>
                </c:pt>
                <c:pt idx="33">
                  <c:v>11.502799999999999</c:v>
                </c:pt>
                <c:pt idx="34">
                  <c:v>12.003000000000002</c:v>
                </c:pt>
                <c:pt idx="35">
                  <c:v>12.5024</c:v>
                </c:pt>
                <c:pt idx="36">
                  <c:v>13.003000000000002</c:v>
                </c:pt>
                <c:pt idx="37">
                  <c:v>13.5024</c:v>
                </c:pt>
                <c:pt idx="38">
                  <c:v>14.003200000000001</c:v>
                </c:pt>
                <c:pt idx="39">
                  <c:v>14.502799999999999</c:v>
                </c:pt>
                <c:pt idx="40">
                  <c:v>15.003000000000002</c:v>
                </c:pt>
                <c:pt idx="41">
                  <c:v>15.5024</c:v>
                </c:pt>
                <c:pt idx="42">
                  <c:v>16.003100000000003</c:v>
                </c:pt>
                <c:pt idx="43">
                  <c:v>16.502499999999998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18.002900000000004</c:v>
                </c:pt>
                <c:pt idx="47">
                  <c:v>18.502900000000004</c:v>
                </c:pt>
                <c:pt idx="48">
                  <c:v>19.003</c:v>
                </c:pt>
                <c:pt idx="49">
                  <c:v>19.502400000000002</c:v>
                </c:pt>
                <c:pt idx="50">
                  <c:v>20.0032</c:v>
                </c:pt>
                <c:pt idx="51">
                  <c:v>20.502400000000002</c:v>
                </c:pt>
                <c:pt idx="52">
                  <c:v>21.0032</c:v>
                </c:pt>
                <c:pt idx="53">
                  <c:v>21.502600000000001</c:v>
                </c:pt>
                <c:pt idx="54">
                  <c:v>22.002699999999997</c:v>
                </c:pt>
                <c:pt idx="55">
                  <c:v>22.502900000000004</c:v>
                </c:pt>
                <c:pt idx="56">
                  <c:v>23.003100000000003</c:v>
                </c:pt>
                <c:pt idx="57">
                  <c:v>23.502699999999997</c:v>
                </c:pt>
                <c:pt idx="58">
                  <c:v>24.002899999999997</c:v>
                </c:pt>
                <c:pt idx="59">
                  <c:v>24.502899999999997</c:v>
                </c:pt>
                <c:pt idx="60">
                  <c:v>25.002899999999997</c:v>
                </c:pt>
                <c:pt idx="61">
                  <c:v>25.502899999999997</c:v>
                </c:pt>
                <c:pt idx="62">
                  <c:v>26.003</c:v>
                </c:pt>
                <c:pt idx="63">
                  <c:v>26.502499999999998</c:v>
                </c:pt>
                <c:pt idx="64">
                  <c:v>27.002699999999997</c:v>
                </c:pt>
                <c:pt idx="65">
                  <c:v>27.502800000000001</c:v>
                </c:pt>
                <c:pt idx="66">
                  <c:v>28.002800000000001</c:v>
                </c:pt>
                <c:pt idx="67">
                  <c:v>28.502400000000002</c:v>
                </c:pt>
                <c:pt idx="68">
                  <c:v>29.002800000000001</c:v>
                </c:pt>
                <c:pt idx="69">
                  <c:v>29.502899999999997</c:v>
                </c:pt>
                <c:pt idx="70">
                  <c:v>30.002899999999997</c:v>
                </c:pt>
                <c:pt idx="71">
                  <c:v>30.502499999999998</c:v>
                </c:pt>
                <c:pt idx="72">
                  <c:v>31.002699999999997</c:v>
                </c:pt>
                <c:pt idx="73">
                  <c:v>31.502699999999997</c:v>
                </c:pt>
                <c:pt idx="74">
                  <c:v>32.002699999999997</c:v>
                </c:pt>
              </c:numCache>
            </c:numRef>
          </c:xVal>
          <c:yVal>
            <c:numRef>
              <c:f>FS_40kDa_1!$R$2:$R$98</c:f>
              <c:numCache>
                <c:formatCode>General</c:formatCode>
                <c:ptCount val="97"/>
                <c:pt idx="0">
                  <c:v>1.5948512796262457</c:v>
                </c:pt>
                <c:pt idx="1">
                  <c:v>1.5659207587537998</c:v>
                </c:pt>
                <c:pt idx="2">
                  <c:v>1.5553421382072339</c:v>
                </c:pt>
                <c:pt idx="3">
                  <c:v>1.5221310582962864</c:v>
                </c:pt>
                <c:pt idx="4">
                  <c:v>1.5154511899080474</c:v>
                </c:pt>
                <c:pt idx="5">
                  <c:v>1.5053950654550494</c:v>
                </c:pt>
                <c:pt idx="6">
                  <c:v>1.5672356964470562</c:v>
                </c:pt>
                <c:pt idx="7">
                  <c:v>1.6285692145558488</c:v>
                </c:pt>
                <c:pt idx="8">
                  <c:v>1.6608510052120788</c:v>
                </c:pt>
                <c:pt idx="9">
                  <c:v>1.6895427731935273</c:v>
                </c:pt>
                <c:pt idx="10">
                  <c:v>0</c:v>
                </c:pt>
                <c:pt idx="11">
                  <c:v>0.26741840900447333</c:v>
                </c:pt>
                <c:pt idx="12">
                  <c:v>0.43055635269720655</c:v>
                </c:pt>
                <c:pt idx="13">
                  <c:v>0.5091005761814249</c:v>
                </c:pt>
                <c:pt idx="14">
                  <c:v>0.6787048280107203</c:v>
                </c:pt>
                <c:pt idx="15">
                  <c:v>0.81114167883110067</c:v>
                </c:pt>
                <c:pt idx="16">
                  <c:v>0.79553341811821099</c:v>
                </c:pt>
                <c:pt idx="17">
                  <c:v>0.87179269698919526</c:v>
                </c:pt>
                <c:pt idx="18">
                  <c:v>0.93611023879499911</c:v>
                </c:pt>
                <c:pt idx="19">
                  <c:v>0.93257800807458102</c:v>
                </c:pt>
                <c:pt idx="20">
                  <c:v>0.96036094575063735</c:v>
                </c:pt>
                <c:pt idx="21">
                  <c:v>0.96288577400100206</c:v>
                </c:pt>
                <c:pt idx="22">
                  <c:v>1.0209080422702388</c:v>
                </c:pt>
                <c:pt idx="23">
                  <c:v>0.9691985461828343</c:v>
                </c:pt>
                <c:pt idx="24">
                  <c:v>0.9951636710206746</c:v>
                </c:pt>
                <c:pt idx="25">
                  <c:v>0.96348254412528689</c:v>
                </c:pt>
                <c:pt idx="26">
                  <c:v>0.99737060668428934</c:v>
                </c:pt>
                <c:pt idx="27">
                  <c:v>1.0401247644321654</c:v>
                </c:pt>
                <c:pt idx="28">
                  <c:v>0.99904558423013035</c:v>
                </c:pt>
                <c:pt idx="29">
                  <c:v>1.018300082838691</c:v>
                </c:pt>
                <c:pt idx="30">
                  <c:v>0.96631125650862215</c:v>
                </c:pt>
                <c:pt idx="31">
                  <c:v>1.0034358318182908</c:v>
                </c:pt>
                <c:pt idx="32">
                  <c:v>1.003443167719634</c:v>
                </c:pt>
                <c:pt idx="33">
                  <c:v>1.0218305169366098</c:v>
                </c:pt>
                <c:pt idx="34">
                  <c:v>0.98497617610005972</c:v>
                </c:pt>
                <c:pt idx="35">
                  <c:v>0.9624267078260923</c:v>
                </c:pt>
                <c:pt idx="36">
                  <c:v>0.98320291721903363</c:v>
                </c:pt>
                <c:pt idx="37">
                  <c:v>0.96159514571543203</c:v>
                </c:pt>
                <c:pt idx="38">
                  <c:v>0.95347965058633632</c:v>
                </c:pt>
                <c:pt idx="39">
                  <c:v>0.95999288120927095</c:v>
                </c:pt>
                <c:pt idx="40">
                  <c:v>0.88470176862543415</c:v>
                </c:pt>
                <c:pt idx="41">
                  <c:v>0.98389704773939735</c:v>
                </c:pt>
                <c:pt idx="42">
                  <c:v>0.96671179507088512</c:v>
                </c:pt>
                <c:pt idx="43">
                  <c:v>0.98322632846589952</c:v>
                </c:pt>
                <c:pt idx="44">
                  <c:v>0.96563159379986852</c:v>
                </c:pt>
                <c:pt idx="45">
                  <c:v>0.94760133033708427</c:v>
                </c:pt>
                <c:pt idx="46">
                  <c:v>0.99638807623432935</c:v>
                </c:pt>
                <c:pt idx="47">
                  <c:v>0.99963739577684574</c:v>
                </c:pt>
                <c:pt idx="48">
                  <c:v>0.98520077858426391</c:v>
                </c:pt>
                <c:pt idx="49">
                  <c:v>0.96790595846294936</c:v>
                </c:pt>
                <c:pt idx="50">
                  <c:v>0.9910721488263915</c:v>
                </c:pt>
                <c:pt idx="51">
                  <c:v>0.95391342551798119</c:v>
                </c:pt>
                <c:pt idx="52">
                  <c:v>0.95408261851368015</c:v>
                </c:pt>
                <c:pt idx="53">
                  <c:v>0.96544540853654193</c:v>
                </c:pt>
                <c:pt idx="54">
                  <c:v>0.97773383497809363</c:v>
                </c:pt>
                <c:pt idx="55">
                  <c:v>0.9763959455341199</c:v>
                </c:pt>
                <c:pt idx="56">
                  <c:v>1.0642674222944843</c:v>
                </c:pt>
                <c:pt idx="57">
                  <c:v>0.96606510205330898</c:v>
                </c:pt>
                <c:pt idx="58">
                  <c:v>1.001955843733173</c:v>
                </c:pt>
                <c:pt idx="59">
                  <c:v>0.97272694196160769</c:v>
                </c:pt>
                <c:pt idx="60">
                  <c:v>1.0186396817929411</c:v>
                </c:pt>
                <c:pt idx="61">
                  <c:v>1.0291531779500831</c:v>
                </c:pt>
                <c:pt idx="62">
                  <c:v>0.98085458207175702</c:v>
                </c:pt>
                <c:pt idx="63">
                  <c:v>0.99276334847809866</c:v>
                </c:pt>
                <c:pt idx="64">
                  <c:v>1.0728214077621829</c:v>
                </c:pt>
                <c:pt idx="65">
                  <c:v>0.95307342470715584</c:v>
                </c:pt>
                <c:pt idx="66">
                  <c:v>1.0389138374519757</c:v>
                </c:pt>
                <c:pt idx="67">
                  <c:v>0.98778043806939242</c:v>
                </c:pt>
                <c:pt idx="68">
                  <c:v>1.050215051651576</c:v>
                </c:pt>
                <c:pt idx="69">
                  <c:v>1.0684520568256586</c:v>
                </c:pt>
                <c:pt idx="70">
                  <c:v>1.037297975785928</c:v>
                </c:pt>
                <c:pt idx="71">
                  <c:v>0.9549772782378958</c:v>
                </c:pt>
                <c:pt idx="72">
                  <c:v>1.0312025830094853</c:v>
                </c:pt>
                <c:pt idx="73">
                  <c:v>0.96240742551596403</c:v>
                </c:pt>
                <c:pt idx="74">
                  <c:v>0.84285852098279346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A-450E-AC3B-E7FC5B3F5D9D}"/>
            </c:ext>
          </c:extLst>
        </c:ser>
        <c:ser>
          <c:idx val="1"/>
          <c:order val="1"/>
          <c:tx>
            <c:strRef>
              <c:f>FS_40kDa_1!$S$1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FS_40kDa_1!$B$2:$B$98</c:f>
              <c:numCache>
                <c:formatCode>General</c:formatCode>
                <c:ptCount val="97"/>
                <c:pt idx="0">
                  <c:v>-8.4109999999999996</c:v>
                </c:pt>
                <c:pt idx="1">
                  <c:v>-7.9078999999999997</c:v>
                </c:pt>
                <c:pt idx="2">
                  <c:v>-7.4082999999999997</c:v>
                </c:pt>
                <c:pt idx="3">
                  <c:v>-6.9077999999999999</c:v>
                </c:pt>
                <c:pt idx="4">
                  <c:v>-6.4083999999999994</c:v>
                </c:pt>
                <c:pt idx="5">
                  <c:v>-5.9083999999999994</c:v>
                </c:pt>
                <c:pt idx="6">
                  <c:v>-5.4083999999999994</c:v>
                </c:pt>
                <c:pt idx="7">
                  <c:v>-4.908199999999999</c:v>
                </c:pt>
                <c:pt idx="8">
                  <c:v>-4.4085999999999999</c:v>
                </c:pt>
                <c:pt idx="9">
                  <c:v>-3.9083999999999994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4.0027000000000008</c:v>
                </c:pt>
                <c:pt idx="19">
                  <c:v>4.5027000000000008</c:v>
                </c:pt>
                <c:pt idx="20">
                  <c:v>5.0029000000000003</c:v>
                </c:pt>
                <c:pt idx="21">
                  <c:v>5.5025000000000013</c:v>
                </c:pt>
                <c:pt idx="22">
                  <c:v>6.0027000000000008</c:v>
                </c:pt>
                <c:pt idx="23">
                  <c:v>6.5029000000000003</c:v>
                </c:pt>
                <c:pt idx="24">
                  <c:v>7.0029000000000003</c:v>
                </c:pt>
                <c:pt idx="25">
                  <c:v>7.5029000000000003</c:v>
                </c:pt>
                <c:pt idx="26">
                  <c:v>8.0031000000000017</c:v>
                </c:pt>
                <c:pt idx="27">
                  <c:v>8.502699999999999</c:v>
                </c:pt>
                <c:pt idx="28">
                  <c:v>9.0029000000000021</c:v>
                </c:pt>
                <c:pt idx="29">
                  <c:v>9.5029000000000021</c:v>
                </c:pt>
                <c:pt idx="30">
                  <c:v>10.003000000000002</c:v>
                </c:pt>
                <c:pt idx="31">
                  <c:v>10.5024</c:v>
                </c:pt>
                <c:pt idx="32">
                  <c:v>11.003200000000001</c:v>
                </c:pt>
                <c:pt idx="33">
                  <c:v>11.502799999999999</c:v>
                </c:pt>
                <c:pt idx="34">
                  <c:v>12.003000000000002</c:v>
                </c:pt>
                <c:pt idx="35">
                  <c:v>12.5024</c:v>
                </c:pt>
                <c:pt idx="36">
                  <c:v>13.003000000000002</c:v>
                </c:pt>
                <c:pt idx="37">
                  <c:v>13.5024</c:v>
                </c:pt>
                <c:pt idx="38">
                  <c:v>14.003200000000001</c:v>
                </c:pt>
                <c:pt idx="39">
                  <c:v>14.502799999999999</c:v>
                </c:pt>
                <c:pt idx="40">
                  <c:v>15.003000000000002</c:v>
                </c:pt>
                <c:pt idx="41">
                  <c:v>15.5024</c:v>
                </c:pt>
                <c:pt idx="42">
                  <c:v>16.003100000000003</c:v>
                </c:pt>
                <c:pt idx="43">
                  <c:v>16.502499999999998</c:v>
                </c:pt>
                <c:pt idx="44">
                  <c:v>17.002699999999997</c:v>
                </c:pt>
                <c:pt idx="45">
                  <c:v>17.502900000000004</c:v>
                </c:pt>
                <c:pt idx="46">
                  <c:v>18.002900000000004</c:v>
                </c:pt>
                <c:pt idx="47">
                  <c:v>18.502900000000004</c:v>
                </c:pt>
                <c:pt idx="48">
                  <c:v>19.003</c:v>
                </c:pt>
                <c:pt idx="49">
                  <c:v>19.502400000000002</c:v>
                </c:pt>
                <c:pt idx="50">
                  <c:v>20.0032</c:v>
                </c:pt>
                <c:pt idx="51">
                  <c:v>20.502400000000002</c:v>
                </c:pt>
                <c:pt idx="52">
                  <c:v>21.0032</c:v>
                </c:pt>
                <c:pt idx="53">
                  <c:v>21.502600000000001</c:v>
                </c:pt>
                <c:pt idx="54">
                  <c:v>22.002699999999997</c:v>
                </c:pt>
                <c:pt idx="55">
                  <c:v>22.502900000000004</c:v>
                </c:pt>
                <c:pt idx="56">
                  <c:v>23.003100000000003</c:v>
                </c:pt>
                <c:pt idx="57">
                  <c:v>23.502699999999997</c:v>
                </c:pt>
                <c:pt idx="58">
                  <c:v>24.002899999999997</c:v>
                </c:pt>
                <c:pt idx="59">
                  <c:v>24.502899999999997</c:v>
                </c:pt>
                <c:pt idx="60">
                  <c:v>25.002899999999997</c:v>
                </c:pt>
                <c:pt idx="61">
                  <c:v>25.502899999999997</c:v>
                </c:pt>
                <c:pt idx="62">
                  <c:v>26.003</c:v>
                </c:pt>
                <c:pt idx="63">
                  <c:v>26.502499999999998</c:v>
                </c:pt>
                <c:pt idx="64">
                  <c:v>27.002699999999997</c:v>
                </c:pt>
                <c:pt idx="65">
                  <c:v>27.502800000000001</c:v>
                </c:pt>
                <c:pt idx="66">
                  <c:v>28.002800000000001</c:v>
                </c:pt>
                <c:pt idx="67">
                  <c:v>28.502400000000002</c:v>
                </c:pt>
                <c:pt idx="68">
                  <c:v>29.002800000000001</c:v>
                </c:pt>
                <c:pt idx="69">
                  <c:v>29.502899999999997</c:v>
                </c:pt>
                <c:pt idx="70">
                  <c:v>30.002899999999997</c:v>
                </c:pt>
                <c:pt idx="71">
                  <c:v>30.502499999999998</c:v>
                </c:pt>
                <c:pt idx="72">
                  <c:v>31.002699999999997</c:v>
                </c:pt>
                <c:pt idx="73">
                  <c:v>31.502699999999997</c:v>
                </c:pt>
                <c:pt idx="74">
                  <c:v>32.002699999999997</c:v>
                </c:pt>
              </c:numCache>
            </c:numRef>
          </c:xVal>
          <c:yVal>
            <c:numRef>
              <c:f>FS_40kDa_1!$S$2:$S$98</c:f>
              <c:numCache>
                <c:formatCode>General</c:formatCode>
                <c:ptCount val="97"/>
                <c:pt idx="0">
                  <c:v>2.6146504867092748</c:v>
                </c:pt>
                <c:pt idx="1">
                  <c:v>2.515898602379897</c:v>
                </c:pt>
                <c:pt idx="2">
                  <c:v>2.4481490830876962</c:v>
                </c:pt>
                <c:pt idx="3">
                  <c:v>2.5052514622226068</c:v>
                </c:pt>
                <c:pt idx="4">
                  <c:v>2.1418406987647414</c:v>
                </c:pt>
                <c:pt idx="5">
                  <c:v>2.2849310342795977</c:v>
                </c:pt>
                <c:pt idx="6">
                  <c:v>2.1503672271001797</c:v>
                </c:pt>
                <c:pt idx="7">
                  <c:v>2.03322344717655</c:v>
                </c:pt>
                <c:pt idx="8">
                  <c:v>2.5040223071228032</c:v>
                </c:pt>
                <c:pt idx="9">
                  <c:v>2.8405066708731597</c:v>
                </c:pt>
                <c:pt idx="10">
                  <c:v>0</c:v>
                </c:pt>
                <c:pt idx="11">
                  <c:v>0.18601059932778974</c:v>
                </c:pt>
                <c:pt idx="12">
                  <c:v>0.2448723862031259</c:v>
                </c:pt>
                <c:pt idx="13">
                  <c:v>0.40527056735900879</c:v>
                </c:pt>
                <c:pt idx="14">
                  <c:v>0.43458000416419856</c:v>
                </c:pt>
                <c:pt idx="15">
                  <c:v>0.43515274983756119</c:v>
                </c:pt>
                <c:pt idx="16">
                  <c:v>0.53525376993248253</c:v>
                </c:pt>
                <c:pt idx="17">
                  <c:v>0.62259314309405112</c:v>
                </c:pt>
                <c:pt idx="18">
                  <c:v>0.59417313879149913</c:v>
                </c:pt>
                <c:pt idx="19">
                  <c:v>0.60533032617865046</c:v>
                </c:pt>
                <c:pt idx="20">
                  <c:v>0.72016531686997642</c:v>
                </c:pt>
                <c:pt idx="21">
                  <c:v>0.63877760991396881</c:v>
                </c:pt>
                <c:pt idx="22">
                  <c:v>0.56410866403382443</c:v>
                </c:pt>
                <c:pt idx="23">
                  <c:v>0.57025630092808255</c:v>
                </c:pt>
                <c:pt idx="24">
                  <c:v>0.7626150049466438</c:v>
                </c:pt>
                <c:pt idx="25">
                  <c:v>0.80520815137523138</c:v>
                </c:pt>
                <c:pt idx="26">
                  <c:v>0.70593188000716056</c:v>
                </c:pt>
                <c:pt idx="27">
                  <c:v>0.57880098363511001</c:v>
                </c:pt>
                <c:pt idx="28">
                  <c:v>0.63727777093524296</c:v>
                </c:pt>
                <c:pt idx="29">
                  <c:v>0.71408134118510436</c:v>
                </c:pt>
                <c:pt idx="30">
                  <c:v>0.67599088313701816</c:v>
                </c:pt>
                <c:pt idx="31">
                  <c:v>0.69337335247215726</c:v>
                </c:pt>
                <c:pt idx="32">
                  <c:v>0.46707437161317927</c:v>
                </c:pt>
                <c:pt idx="33">
                  <c:v>0.68236007085847616</c:v>
                </c:pt>
                <c:pt idx="34">
                  <c:v>0.57129604470165307</c:v>
                </c:pt>
                <c:pt idx="35">
                  <c:v>0.81524418782037311</c:v>
                </c:pt>
                <c:pt idx="36">
                  <c:v>0.54496578558889075</c:v>
                </c:pt>
                <c:pt idx="37">
                  <c:v>0.64999881517489022</c:v>
                </c:pt>
                <c:pt idx="38">
                  <c:v>0.79308718246992338</c:v>
                </c:pt>
                <c:pt idx="39">
                  <c:v>0.82121129497975587</c:v>
                </c:pt>
                <c:pt idx="40">
                  <c:v>0.95309273011027751</c:v>
                </c:pt>
                <c:pt idx="41">
                  <c:v>0.65692161929467652</c:v>
                </c:pt>
                <c:pt idx="42">
                  <c:v>0.91235897882575001</c:v>
                </c:pt>
                <c:pt idx="43">
                  <c:v>0.97075968653684552</c:v>
                </c:pt>
                <c:pt idx="44">
                  <c:v>0.93491236183370274</c:v>
                </c:pt>
                <c:pt idx="45">
                  <c:v>1.0024726374390966</c:v>
                </c:pt>
                <c:pt idx="46">
                  <c:v>0.75115187278200179</c:v>
                </c:pt>
                <c:pt idx="47">
                  <c:v>0.90409539491474256</c:v>
                </c:pt>
                <c:pt idx="48">
                  <c:v>0.70758317925976677</c:v>
                </c:pt>
                <c:pt idx="49">
                  <c:v>0.99474081620349364</c:v>
                </c:pt>
                <c:pt idx="50">
                  <c:v>0.89075744406590096</c:v>
                </c:pt>
                <c:pt idx="51">
                  <c:v>0.64601604855165473</c:v>
                </c:pt>
                <c:pt idx="52">
                  <c:v>1.0576543943561938</c:v>
                </c:pt>
                <c:pt idx="53">
                  <c:v>0.93368693831089211</c:v>
                </c:pt>
                <c:pt idx="54">
                  <c:v>1.0790077712848798</c:v>
                </c:pt>
                <c:pt idx="55">
                  <c:v>0.72463515955768687</c:v>
                </c:pt>
                <c:pt idx="56">
                  <c:v>0.86883703173516991</c:v>
                </c:pt>
                <c:pt idx="57">
                  <c:v>1.0314198840735134</c:v>
                </c:pt>
                <c:pt idx="58">
                  <c:v>0.93954025670456254</c:v>
                </c:pt>
                <c:pt idx="59">
                  <c:v>0.99380615390727389</c:v>
                </c:pt>
                <c:pt idx="60">
                  <c:v>1.0116702645067503</c:v>
                </c:pt>
                <c:pt idx="61">
                  <c:v>0.97147588776549565</c:v>
                </c:pt>
                <c:pt idx="62">
                  <c:v>1.101805465517999</c:v>
                </c:pt>
                <c:pt idx="63">
                  <c:v>0.97720787313650459</c:v>
                </c:pt>
                <c:pt idx="64">
                  <c:v>0.94576986504415517</c:v>
                </c:pt>
                <c:pt idx="65">
                  <c:v>1.084081394130515</c:v>
                </c:pt>
                <c:pt idx="66">
                  <c:v>1.0186689775334046</c:v>
                </c:pt>
                <c:pt idx="67">
                  <c:v>1.0560732416332601</c:v>
                </c:pt>
                <c:pt idx="68">
                  <c:v>1.0898297600941209</c:v>
                </c:pt>
                <c:pt idx="69">
                  <c:v>0.97652709496490853</c:v>
                </c:pt>
                <c:pt idx="70">
                  <c:v>0.92203709585240379</c:v>
                </c:pt>
                <c:pt idx="71">
                  <c:v>1.0256129162309531</c:v>
                </c:pt>
                <c:pt idx="72">
                  <c:v>0.94273474475698593</c:v>
                </c:pt>
                <c:pt idx="73">
                  <c:v>0.92447368468444668</c:v>
                </c:pt>
                <c:pt idx="74">
                  <c:v>1.0141912250748537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9A-450E-AC3B-E7FC5B3F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27000"/>
        <c:axId val="606227984"/>
      </c:scatterChart>
      <c:valAx>
        <c:axId val="6062270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27984"/>
        <c:crosses val="autoZero"/>
        <c:crossBetween val="midCat"/>
      </c:valAx>
      <c:valAx>
        <c:axId val="606227984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27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FS_40kDa_2!$R$1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FS_40kDa_2!$B$2:$B$76</c:f>
              <c:numCache>
                <c:formatCode>General</c:formatCode>
                <c:ptCount val="75"/>
                <c:pt idx="0">
                  <c:v>-9.3445999999999998</c:v>
                </c:pt>
                <c:pt idx="1">
                  <c:v>-8.8414999999999999</c:v>
                </c:pt>
                <c:pt idx="2">
                  <c:v>-8.341899999999999</c:v>
                </c:pt>
                <c:pt idx="3">
                  <c:v>-7.8416999999999994</c:v>
                </c:pt>
                <c:pt idx="4">
                  <c:v>-7.3421000000000003</c:v>
                </c:pt>
                <c:pt idx="5">
                  <c:v>-6.8418999999999999</c:v>
                </c:pt>
                <c:pt idx="6">
                  <c:v>-6.3418999999999999</c:v>
                </c:pt>
                <c:pt idx="7">
                  <c:v>-5.8417999999999992</c:v>
                </c:pt>
                <c:pt idx="8">
                  <c:v>-5.3418000000000001</c:v>
                </c:pt>
                <c:pt idx="9">
                  <c:v>-4.8418000000000001</c:v>
                </c:pt>
                <c:pt idx="10">
                  <c:v>0</c:v>
                </c:pt>
                <c:pt idx="11">
                  <c:v>0.5024999999999995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3.0030000000000001</c:v>
                </c:pt>
                <c:pt idx="17">
                  <c:v>3.5023999999999997</c:v>
                </c:pt>
                <c:pt idx="18">
                  <c:v>4.002600000000001</c:v>
                </c:pt>
                <c:pt idx="19">
                  <c:v>4.5028000000000006</c:v>
                </c:pt>
                <c:pt idx="20">
                  <c:v>5.0029000000000003</c:v>
                </c:pt>
                <c:pt idx="21">
                  <c:v>5.5029000000000003</c:v>
                </c:pt>
                <c:pt idx="22">
                  <c:v>6.0029000000000003</c:v>
                </c:pt>
                <c:pt idx="23">
                  <c:v>6.5023</c:v>
                </c:pt>
                <c:pt idx="24">
                  <c:v>7.0030999999999999</c:v>
                </c:pt>
                <c:pt idx="25">
                  <c:v>7.5027000000000008</c:v>
                </c:pt>
                <c:pt idx="26">
                  <c:v>8.0029000000000003</c:v>
                </c:pt>
                <c:pt idx="27">
                  <c:v>8.5025000000000013</c:v>
                </c:pt>
                <c:pt idx="28">
                  <c:v>9.0027000000000008</c:v>
                </c:pt>
                <c:pt idx="29">
                  <c:v>9.5029000000000003</c:v>
                </c:pt>
                <c:pt idx="30">
                  <c:v>10.0029</c:v>
                </c:pt>
                <c:pt idx="31">
                  <c:v>10.502300000000002</c:v>
                </c:pt>
                <c:pt idx="32">
                  <c:v>11.0032</c:v>
                </c:pt>
                <c:pt idx="33">
                  <c:v>11.502700000000001</c:v>
                </c:pt>
                <c:pt idx="34">
                  <c:v>12.0029</c:v>
                </c:pt>
                <c:pt idx="35">
                  <c:v>12.502300000000002</c:v>
                </c:pt>
                <c:pt idx="36">
                  <c:v>13.003</c:v>
                </c:pt>
                <c:pt idx="37">
                  <c:v>13.502400000000002</c:v>
                </c:pt>
                <c:pt idx="38">
                  <c:v>14.0032</c:v>
                </c:pt>
                <c:pt idx="39">
                  <c:v>14.502800000000001</c:v>
                </c:pt>
                <c:pt idx="40">
                  <c:v>15.003</c:v>
                </c:pt>
                <c:pt idx="41">
                  <c:v>15.502400000000002</c:v>
                </c:pt>
                <c:pt idx="42">
                  <c:v>16.0031</c:v>
                </c:pt>
                <c:pt idx="43">
                  <c:v>16.502500000000001</c:v>
                </c:pt>
                <c:pt idx="44">
                  <c:v>17.002700000000001</c:v>
                </c:pt>
                <c:pt idx="45">
                  <c:v>17.5029</c:v>
                </c:pt>
                <c:pt idx="46">
                  <c:v>18.0031</c:v>
                </c:pt>
                <c:pt idx="47">
                  <c:v>18.502500000000001</c:v>
                </c:pt>
                <c:pt idx="48">
                  <c:v>19.0031</c:v>
                </c:pt>
                <c:pt idx="49">
                  <c:v>19.502500000000001</c:v>
                </c:pt>
                <c:pt idx="50">
                  <c:v>20.002700000000001</c:v>
                </c:pt>
                <c:pt idx="51">
                  <c:v>20.502600000000001</c:v>
                </c:pt>
                <c:pt idx="52">
                  <c:v>21.002800000000001</c:v>
                </c:pt>
                <c:pt idx="53">
                  <c:v>21.502300000000002</c:v>
                </c:pt>
                <c:pt idx="54">
                  <c:v>22.0032</c:v>
                </c:pt>
                <c:pt idx="55">
                  <c:v>22.502600000000001</c:v>
                </c:pt>
                <c:pt idx="56">
                  <c:v>23.003</c:v>
                </c:pt>
                <c:pt idx="57">
                  <c:v>23.502400000000002</c:v>
                </c:pt>
                <c:pt idx="58">
                  <c:v>24.002600000000001</c:v>
                </c:pt>
                <c:pt idx="59">
                  <c:v>24.502800000000001</c:v>
                </c:pt>
                <c:pt idx="60">
                  <c:v>25.003</c:v>
                </c:pt>
                <c:pt idx="61">
                  <c:v>25.502600000000001</c:v>
                </c:pt>
                <c:pt idx="62">
                  <c:v>26.002800000000001</c:v>
                </c:pt>
                <c:pt idx="63">
                  <c:v>26.502899999999997</c:v>
                </c:pt>
                <c:pt idx="64">
                  <c:v>27.002899999999997</c:v>
                </c:pt>
                <c:pt idx="65">
                  <c:v>27.502899999999997</c:v>
                </c:pt>
                <c:pt idx="66">
                  <c:v>28.002899999999997</c:v>
                </c:pt>
                <c:pt idx="67">
                  <c:v>28.502299999999998</c:v>
                </c:pt>
                <c:pt idx="68">
                  <c:v>29.0032</c:v>
                </c:pt>
                <c:pt idx="69">
                  <c:v>29.502699999999997</c:v>
                </c:pt>
                <c:pt idx="70">
                  <c:v>30.002899999999997</c:v>
                </c:pt>
                <c:pt idx="71">
                  <c:v>30.502400000000002</c:v>
                </c:pt>
                <c:pt idx="72">
                  <c:v>31.0032</c:v>
                </c:pt>
                <c:pt idx="73">
                  <c:v>31.502800000000001</c:v>
                </c:pt>
                <c:pt idx="74">
                  <c:v>32.003</c:v>
                </c:pt>
              </c:numCache>
            </c:numRef>
          </c:xVal>
          <c:yVal>
            <c:numRef>
              <c:f>FS_40kDa_2!$R$2:$R$76</c:f>
              <c:numCache>
                <c:formatCode>General</c:formatCode>
                <c:ptCount val="75"/>
                <c:pt idx="0">
                  <c:v>1.1099050591501571</c:v>
                </c:pt>
                <c:pt idx="1">
                  <c:v>1.1038008613311714</c:v>
                </c:pt>
                <c:pt idx="2">
                  <c:v>1.122989412692234</c:v>
                </c:pt>
                <c:pt idx="3">
                  <c:v>1.1206447013237717</c:v>
                </c:pt>
                <c:pt idx="4">
                  <c:v>1.0995441278751412</c:v>
                </c:pt>
                <c:pt idx="5">
                  <c:v>1.1306678730960993</c:v>
                </c:pt>
                <c:pt idx="6">
                  <c:v>1.0502646670083506</c:v>
                </c:pt>
                <c:pt idx="7">
                  <c:v>1.1055783728507231</c:v>
                </c:pt>
                <c:pt idx="8">
                  <c:v>1.0946655792959763</c:v>
                </c:pt>
                <c:pt idx="9">
                  <c:v>1.1366580830174289</c:v>
                </c:pt>
                <c:pt idx="10">
                  <c:v>0</c:v>
                </c:pt>
                <c:pt idx="11">
                  <c:v>0.16496823090955612</c:v>
                </c:pt>
                <c:pt idx="12">
                  <c:v>0.31888500859948221</c:v>
                </c:pt>
                <c:pt idx="13">
                  <c:v>0.3923958196799065</c:v>
                </c:pt>
                <c:pt idx="14">
                  <c:v>0.49533237343871189</c:v>
                </c:pt>
                <c:pt idx="15">
                  <c:v>0.49796154029730544</c:v>
                </c:pt>
                <c:pt idx="16">
                  <c:v>0.52837811525835432</c:v>
                </c:pt>
                <c:pt idx="17">
                  <c:v>0.56756672534808039</c:v>
                </c:pt>
                <c:pt idx="18">
                  <c:v>0.64139108304546677</c:v>
                </c:pt>
                <c:pt idx="19">
                  <c:v>0.65268559450124131</c:v>
                </c:pt>
                <c:pt idx="20">
                  <c:v>0.67870342613259171</c:v>
                </c:pt>
                <c:pt idx="21">
                  <c:v>0.67870382404244989</c:v>
                </c:pt>
                <c:pt idx="22">
                  <c:v>0.7011853913240691</c:v>
                </c:pt>
                <c:pt idx="23">
                  <c:v>0.73877657024594401</c:v>
                </c:pt>
                <c:pt idx="24">
                  <c:v>0.74387944337154166</c:v>
                </c:pt>
                <c:pt idx="25">
                  <c:v>0.783575471561471</c:v>
                </c:pt>
                <c:pt idx="26">
                  <c:v>0.73437403977402682</c:v>
                </c:pt>
                <c:pt idx="27">
                  <c:v>0.76199756128820084</c:v>
                </c:pt>
                <c:pt idx="28">
                  <c:v>0.81941463478151588</c:v>
                </c:pt>
                <c:pt idx="29">
                  <c:v>0.77671802740807805</c:v>
                </c:pt>
                <c:pt idx="30">
                  <c:v>0.82653308937426639</c:v>
                </c:pt>
                <c:pt idx="31">
                  <c:v>0.84127685541498698</c:v>
                </c:pt>
                <c:pt idx="32">
                  <c:v>0.82207730084751629</c:v>
                </c:pt>
                <c:pt idx="33">
                  <c:v>0.86099652279199845</c:v>
                </c:pt>
                <c:pt idx="34">
                  <c:v>0.85940712354735915</c:v>
                </c:pt>
                <c:pt idx="35">
                  <c:v>0.88580610315290553</c:v>
                </c:pt>
                <c:pt idx="36">
                  <c:v>0.88064865599909159</c:v>
                </c:pt>
                <c:pt idx="37">
                  <c:v>0.89448235949137933</c:v>
                </c:pt>
                <c:pt idx="38">
                  <c:v>0.91764835108223808</c:v>
                </c:pt>
                <c:pt idx="39">
                  <c:v>0.91388670609274147</c:v>
                </c:pt>
                <c:pt idx="40">
                  <c:v>0.83570928131259348</c:v>
                </c:pt>
                <c:pt idx="41">
                  <c:v>0.90237537084513486</c:v>
                </c:pt>
                <c:pt idx="42">
                  <c:v>0.88775160896351435</c:v>
                </c:pt>
                <c:pt idx="43">
                  <c:v>0.92273539286661688</c:v>
                </c:pt>
                <c:pt idx="44">
                  <c:v>0.96583811165919564</c:v>
                </c:pt>
                <c:pt idx="45">
                  <c:v>0.98996391925114458</c:v>
                </c:pt>
                <c:pt idx="46">
                  <c:v>0.9283068982949304</c:v>
                </c:pt>
                <c:pt idx="47">
                  <c:v>0.97448738045214378</c:v>
                </c:pt>
                <c:pt idx="48">
                  <c:v>0.96417994526142625</c:v>
                </c:pt>
                <c:pt idx="49">
                  <c:v>0.93824171643523624</c:v>
                </c:pt>
                <c:pt idx="50">
                  <c:v>0.96641040401197864</c:v>
                </c:pt>
                <c:pt idx="51">
                  <c:v>0.93932304864705729</c:v>
                </c:pt>
                <c:pt idx="52">
                  <c:v>0.98692523669525012</c:v>
                </c:pt>
                <c:pt idx="53">
                  <c:v>0.92777536169312835</c:v>
                </c:pt>
                <c:pt idx="54">
                  <c:v>0.93843493753854068</c:v>
                </c:pt>
                <c:pt idx="55">
                  <c:v>0.97734578169013242</c:v>
                </c:pt>
                <c:pt idx="56">
                  <c:v>0.92592756584850244</c:v>
                </c:pt>
                <c:pt idx="57">
                  <c:v>0.96543340143136969</c:v>
                </c:pt>
                <c:pt idx="58">
                  <c:v>0.96235983527419511</c:v>
                </c:pt>
                <c:pt idx="59">
                  <c:v>0.96442230808540019</c:v>
                </c:pt>
                <c:pt idx="60">
                  <c:v>0.96850515757793021</c:v>
                </c:pt>
                <c:pt idx="61">
                  <c:v>0.92496000264376521</c:v>
                </c:pt>
                <c:pt idx="62">
                  <c:v>0.96818056883470949</c:v>
                </c:pt>
                <c:pt idx="63">
                  <c:v>0.9326867008561861</c:v>
                </c:pt>
                <c:pt idx="64">
                  <c:v>0.97593169086378506</c:v>
                </c:pt>
                <c:pt idx="65">
                  <c:v>1.0004019738536343</c:v>
                </c:pt>
                <c:pt idx="66">
                  <c:v>0.97332202650589894</c:v>
                </c:pt>
                <c:pt idx="67">
                  <c:v>1.0003472645149833</c:v>
                </c:pt>
                <c:pt idx="68">
                  <c:v>0.98991345840810585</c:v>
                </c:pt>
                <c:pt idx="69">
                  <c:v>0.99335839645253476</c:v>
                </c:pt>
                <c:pt idx="70">
                  <c:v>1.0269647306806795</c:v>
                </c:pt>
                <c:pt idx="71">
                  <c:v>1.0394696200659779</c:v>
                </c:pt>
                <c:pt idx="72">
                  <c:v>1.0011969732759676</c:v>
                </c:pt>
                <c:pt idx="73">
                  <c:v>0.98784610386275462</c:v>
                </c:pt>
                <c:pt idx="74">
                  <c:v>1.0112477615156796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70-46E3-A7A1-51BAC4A1FFDB}"/>
            </c:ext>
          </c:extLst>
        </c:ser>
        <c:ser>
          <c:idx val="1"/>
          <c:order val="1"/>
          <c:tx>
            <c:strRef>
              <c:f>FS_40kDa_2!$S$1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FS_40kDa_2!$B$2:$B$76</c:f>
              <c:numCache>
                <c:formatCode>General</c:formatCode>
                <c:ptCount val="75"/>
                <c:pt idx="0">
                  <c:v>-9.3445999999999998</c:v>
                </c:pt>
                <c:pt idx="1">
                  <c:v>-8.8414999999999999</c:v>
                </c:pt>
                <c:pt idx="2">
                  <c:v>-8.341899999999999</c:v>
                </c:pt>
                <c:pt idx="3">
                  <c:v>-7.8416999999999994</c:v>
                </c:pt>
                <c:pt idx="4">
                  <c:v>-7.3421000000000003</c:v>
                </c:pt>
                <c:pt idx="5">
                  <c:v>-6.8418999999999999</c:v>
                </c:pt>
                <c:pt idx="6">
                  <c:v>-6.3418999999999999</c:v>
                </c:pt>
                <c:pt idx="7">
                  <c:v>-5.8417999999999992</c:v>
                </c:pt>
                <c:pt idx="8">
                  <c:v>-5.3418000000000001</c:v>
                </c:pt>
                <c:pt idx="9">
                  <c:v>-4.8418000000000001</c:v>
                </c:pt>
                <c:pt idx="10">
                  <c:v>0</c:v>
                </c:pt>
                <c:pt idx="11">
                  <c:v>0.5024999999999995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3.0030000000000001</c:v>
                </c:pt>
                <c:pt idx="17">
                  <c:v>3.5023999999999997</c:v>
                </c:pt>
                <c:pt idx="18">
                  <c:v>4.002600000000001</c:v>
                </c:pt>
                <c:pt idx="19">
                  <c:v>4.5028000000000006</c:v>
                </c:pt>
                <c:pt idx="20">
                  <c:v>5.0029000000000003</c:v>
                </c:pt>
                <c:pt idx="21">
                  <c:v>5.5029000000000003</c:v>
                </c:pt>
                <c:pt idx="22">
                  <c:v>6.0029000000000003</c:v>
                </c:pt>
                <c:pt idx="23">
                  <c:v>6.5023</c:v>
                </c:pt>
                <c:pt idx="24">
                  <c:v>7.0030999999999999</c:v>
                </c:pt>
                <c:pt idx="25">
                  <c:v>7.5027000000000008</c:v>
                </c:pt>
                <c:pt idx="26">
                  <c:v>8.0029000000000003</c:v>
                </c:pt>
                <c:pt idx="27">
                  <c:v>8.5025000000000013</c:v>
                </c:pt>
                <c:pt idx="28">
                  <c:v>9.0027000000000008</c:v>
                </c:pt>
                <c:pt idx="29">
                  <c:v>9.5029000000000003</c:v>
                </c:pt>
                <c:pt idx="30">
                  <c:v>10.0029</c:v>
                </c:pt>
                <c:pt idx="31">
                  <c:v>10.502300000000002</c:v>
                </c:pt>
                <c:pt idx="32">
                  <c:v>11.0032</c:v>
                </c:pt>
                <c:pt idx="33">
                  <c:v>11.502700000000001</c:v>
                </c:pt>
                <c:pt idx="34">
                  <c:v>12.0029</c:v>
                </c:pt>
                <c:pt idx="35">
                  <c:v>12.502300000000002</c:v>
                </c:pt>
                <c:pt idx="36">
                  <c:v>13.003</c:v>
                </c:pt>
                <c:pt idx="37">
                  <c:v>13.502400000000002</c:v>
                </c:pt>
                <c:pt idx="38">
                  <c:v>14.0032</c:v>
                </c:pt>
                <c:pt idx="39">
                  <c:v>14.502800000000001</c:v>
                </c:pt>
                <c:pt idx="40">
                  <c:v>15.003</c:v>
                </c:pt>
                <c:pt idx="41">
                  <c:v>15.502400000000002</c:v>
                </c:pt>
                <c:pt idx="42">
                  <c:v>16.0031</c:v>
                </c:pt>
                <c:pt idx="43">
                  <c:v>16.502500000000001</c:v>
                </c:pt>
                <c:pt idx="44">
                  <c:v>17.002700000000001</c:v>
                </c:pt>
                <c:pt idx="45">
                  <c:v>17.5029</c:v>
                </c:pt>
                <c:pt idx="46">
                  <c:v>18.0031</c:v>
                </c:pt>
                <c:pt idx="47">
                  <c:v>18.502500000000001</c:v>
                </c:pt>
                <c:pt idx="48">
                  <c:v>19.0031</c:v>
                </c:pt>
                <c:pt idx="49">
                  <c:v>19.502500000000001</c:v>
                </c:pt>
                <c:pt idx="50">
                  <c:v>20.002700000000001</c:v>
                </c:pt>
                <c:pt idx="51">
                  <c:v>20.502600000000001</c:v>
                </c:pt>
                <c:pt idx="52">
                  <c:v>21.002800000000001</c:v>
                </c:pt>
                <c:pt idx="53">
                  <c:v>21.502300000000002</c:v>
                </c:pt>
                <c:pt idx="54">
                  <c:v>22.0032</c:v>
                </c:pt>
                <c:pt idx="55">
                  <c:v>22.502600000000001</c:v>
                </c:pt>
                <c:pt idx="56">
                  <c:v>23.003</c:v>
                </c:pt>
                <c:pt idx="57">
                  <c:v>23.502400000000002</c:v>
                </c:pt>
                <c:pt idx="58">
                  <c:v>24.002600000000001</c:v>
                </c:pt>
                <c:pt idx="59">
                  <c:v>24.502800000000001</c:v>
                </c:pt>
                <c:pt idx="60">
                  <c:v>25.003</c:v>
                </c:pt>
                <c:pt idx="61">
                  <c:v>25.502600000000001</c:v>
                </c:pt>
                <c:pt idx="62">
                  <c:v>26.002800000000001</c:v>
                </c:pt>
                <c:pt idx="63">
                  <c:v>26.502899999999997</c:v>
                </c:pt>
                <c:pt idx="64">
                  <c:v>27.002899999999997</c:v>
                </c:pt>
                <c:pt idx="65">
                  <c:v>27.502899999999997</c:v>
                </c:pt>
                <c:pt idx="66">
                  <c:v>28.002899999999997</c:v>
                </c:pt>
                <c:pt idx="67">
                  <c:v>28.502299999999998</c:v>
                </c:pt>
                <c:pt idx="68">
                  <c:v>29.0032</c:v>
                </c:pt>
                <c:pt idx="69">
                  <c:v>29.502699999999997</c:v>
                </c:pt>
                <c:pt idx="70">
                  <c:v>30.002899999999997</c:v>
                </c:pt>
                <c:pt idx="71">
                  <c:v>30.502400000000002</c:v>
                </c:pt>
                <c:pt idx="72">
                  <c:v>31.0032</c:v>
                </c:pt>
                <c:pt idx="73">
                  <c:v>31.502800000000001</c:v>
                </c:pt>
                <c:pt idx="74">
                  <c:v>32.003</c:v>
                </c:pt>
              </c:numCache>
            </c:numRef>
          </c:xVal>
          <c:yVal>
            <c:numRef>
              <c:f>FS_40kDa_2!$S$2:$S$76</c:f>
              <c:numCache>
                <c:formatCode>General</c:formatCode>
                <c:ptCount val="75"/>
                <c:pt idx="0">
                  <c:v>2.577106134137952</c:v>
                </c:pt>
                <c:pt idx="1">
                  <c:v>2.4179515779780663</c:v>
                </c:pt>
                <c:pt idx="2">
                  <c:v>2.50966313809541</c:v>
                </c:pt>
                <c:pt idx="3">
                  <c:v>2.5446982595931229</c:v>
                </c:pt>
                <c:pt idx="4">
                  <c:v>2.4494436326305173</c:v>
                </c:pt>
                <c:pt idx="5">
                  <c:v>2.6854188346666823</c:v>
                </c:pt>
                <c:pt idx="6">
                  <c:v>2.4198540263475463</c:v>
                </c:pt>
                <c:pt idx="7">
                  <c:v>2.4554493072128118</c:v>
                </c:pt>
                <c:pt idx="8">
                  <c:v>2.4632837729144859</c:v>
                </c:pt>
                <c:pt idx="9">
                  <c:v>2.5217922506314907</c:v>
                </c:pt>
                <c:pt idx="10">
                  <c:v>0</c:v>
                </c:pt>
                <c:pt idx="11">
                  <c:v>0.1993361370914625</c:v>
                </c:pt>
                <c:pt idx="12">
                  <c:v>0.305129707917632</c:v>
                </c:pt>
                <c:pt idx="13">
                  <c:v>0.41047106787706422</c:v>
                </c:pt>
                <c:pt idx="14">
                  <c:v>0.56940355504132167</c:v>
                </c:pt>
                <c:pt idx="15">
                  <c:v>0.58343704850336486</c:v>
                </c:pt>
                <c:pt idx="16">
                  <c:v>0.55771005232763726</c:v>
                </c:pt>
                <c:pt idx="17">
                  <c:v>0.59826461311373225</c:v>
                </c:pt>
                <c:pt idx="18">
                  <c:v>0.73507301850023476</c:v>
                </c:pt>
                <c:pt idx="19">
                  <c:v>0.72599084435126682</c:v>
                </c:pt>
                <c:pt idx="20">
                  <c:v>0.67129402653832526</c:v>
                </c:pt>
                <c:pt idx="21">
                  <c:v>0.74345733779611611</c:v>
                </c:pt>
                <c:pt idx="22">
                  <c:v>0.68665164380333277</c:v>
                </c:pt>
                <c:pt idx="23">
                  <c:v>0.78715622663375895</c:v>
                </c:pt>
                <c:pt idx="24">
                  <c:v>0.74831968455009712</c:v>
                </c:pt>
                <c:pt idx="25">
                  <c:v>0.78968486656332904</c:v>
                </c:pt>
                <c:pt idx="26">
                  <c:v>0.81123663435542503</c:v>
                </c:pt>
                <c:pt idx="27">
                  <c:v>0.84381138701995584</c:v>
                </c:pt>
                <c:pt idx="28">
                  <c:v>0.88752138691017302</c:v>
                </c:pt>
                <c:pt idx="29">
                  <c:v>0.82442824685270866</c:v>
                </c:pt>
                <c:pt idx="30">
                  <c:v>0.79652276954705603</c:v>
                </c:pt>
                <c:pt idx="31">
                  <c:v>0.92950572332102099</c:v>
                </c:pt>
                <c:pt idx="32">
                  <c:v>0.87038601532853777</c:v>
                </c:pt>
                <c:pt idx="33">
                  <c:v>0.89358452476563699</c:v>
                </c:pt>
                <c:pt idx="34">
                  <c:v>0.91428860068988471</c:v>
                </c:pt>
                <c:pt idx="35">
                  <c:v>0.95768362683841313</c:v>
                </c:pt>
                <c:pt idx="36">
                  <c:v>0.97027048142917283</c:v>
                </c:pt>
                <c:pt idx="37">
                  <c:v>1.0011964670231022</c:v>
                </c:pt>
                <c:pt idx="38">
                  <c:v>0.94186300637725084</c:v>
                </c:pt>
                <c:pt idx="39">
                  <c:v>0.93156437474108134</c:v>
                </c:pt>
                <c:pt idx="40">
                  <c:v>0.86269713987766494</c:v>
                </c:pt>
                <c:pt idx="41">
                  <c:v>0.86279553412502386</c:v>
                </c:pt>
                <c:pt idx="42">
                  <c:v>0.91477028337566901</c:v>
                </c:pt>
                <c:pt idx="43">
                  <c:v>0.98309864855909623</c:v>
                </c:pt>
                <c:pt idx="44">
                  <c:v>1.029005655360868</c:v>
                </c:pt>
                <c:pt idx="45">
                  <c:v>0.98331337043173306</c:v>
                </c:pt>
                <c:pt idx="46">
                  <c:v>0.91714943553299388</c:v>
                </c:pt>
                <c:pt idx="47">
                  <c:v>0.91033002295845344</c:v>
                </c:pt>
                <c:pt idx="48">
                  <c:v>0.84803967093858112</c:v>
                </c:pt>
                <c:pt idx="49">
                  <c:v>0.89544275252040206</c:v>
                </c:pt>
                <c:pt idx="50">
                  <c:v>0.99325611253057877</c:v>
                </c:pt>
                <c:pt idx="51">
                  <c:v>0.92008089727405284</c:v>
                </c:pt>
                <c:pt idx="52">
                  <c:v>0.94831838891676157</c:v>
                </c:pt>
                <c:pt idx="53">
                  <c:v>1.042468524947771</c:v>
                </c:pt>
                <c:pt idx="54">
                  <c:v>0.96351454489560306</c:v>
                </c:pt>
                <c:pt idx="55">
                  <c:v>1.0621688846248443</c:v>
                </c:pt>
                <c:pt idx="56">
                  <c:v>0.93024541638306191</c:v>
                </c:pt>
                <c:pt idx="57">
                  <c:v>0.92733823672676152</c:v>
                </c:pt>
                <c:pt idx="58">
                  <c:v>0.98150804308630568</c:v>
                </c:pt>
                <c:pt idx="59">
                  <c:v>1.0183297333435297</c:v>
                </c:pt>
                <c:pt idx="60">
                  <c:v>1.047108643770978</c:v>
                </c:pt>
                <c:pt idx="61">
                  <c:v>0.96253211135411698</c:v>
                </c:pt>
                <c:pt idx="62">
                  <c:v>0.98001229514936405</c:v>
                </c:pt>
                <c:pt idx="63">
                  <c:v>0.93434938636090825</c:v>
                </c:pt>
                <c:pt idx="64">
                  <c:v>1.0310937244180292</c:v>
                </c:pt>
                <c:pt idx="65">
                  <c:v>0.96472176141145216</c:v>
                </c:pt>
                <c:pt idx="66">
                  <c:v>0.95256830326929121</c:v>
                </c:pt>
                <c:pt idx="67">
                  <c:v>1.0447344971142127</c:v>
                </c:pt>
                <c:pt idx="68">
                  <c:v>1.0268569268135548</c:v>
                </c:pt>
                <c:pt idx="69">
                  <c:v>0.9403545659471535</c:v>
                </c:pt>
                <c:pt idx="70">
                  <c:v>1.0378874506594256</c:v>
                </c:pt>
                <c:pt idx="71">
                  <c:v>0.98793648306398441</c:v>
                </c:pt>
                <c:pt idx="72">
                  <c:v>1.0543322949923728</c:v>
                </c:pt>
                <c:pt idx="73">
                  <c:v>0.95938310397018278</c:v>
                </c:pt>
                <c:pt idx="74">
                  <c:v>1.0001308883403428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70-46E3-A7A1-51BAC4A1F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499720"/>
        <c:axId val="869500704"/>
      </c:scatterChart>
      <c:valAx>
        <c:axId val="8694997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500704"/>
        <c:crosses val="autoZero"/>
        <c:crossBetween val="midCat"/>
      </c:valAx>
      <c:valAx>
        <c:axId val="869500704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499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[1]FS_250kDa_4!$R$1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[1]FS_250kDa_4!$B$2:$B$76</c:f>
              <c:numCache>
                <c:formatCode>General</c:formatCode>
                <c:ptCount val="75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[1]FS_250kDa_4!$R$2:$R$76</c:f>
              <c:numCache>
                <c:formatCode>General</c:formatCode>
                <c:ptCount val="75"/>
                <c:pt idx="0">
                  <c:v>3.2557079575848409</c:v>
                </c:pt>
                <c:pt idx="1">
                  <c:v>3.4419408570854597</c:v>
                </c:pt>
                <c:pt idx="2">
                  <c:v>3.1899971944536727</c:v>
                </c:pt>
                <c:pt idx="3">
                  <c:v>3.2192090507333981</c:v>
                </c:pt>
                <c:pt idx="4">
                  <c:v>3.1438050993383699</c:v>
                </c:pt>
                <c:pt idx="5">
                  <c:v>3.1167831176616785</c:v>
                </c:pt>
                <c:pt idx="6">
                  <c:v>3.1765604748284586</c:v>
                </c:pt>
                <c:pt idx="7">
                  <c:v>3.1529748038661314</c:v>
                </c:pt>
                <c:pt idx="8">
                  <c:v>3.127597854845225</c:v>
                </c:pt>
                <c:pt idx="9">
                  <c:v>3.0291644692529291</c:v>
                </c:pt>
                <c:pt idx="10">
                  <c:v>0</c:v>
                </c:pt>
                <c:pt idx="11">
                  <c:v>0.27743117061706296</c:v>
                </c:pt>
                <c:pt idx="12">
                  <c:v>0.38640428254148512</c:v>
                </c:pt>
                <c:pt idx="13">
                  <c:v>0.42663480452154984</c:v>
                </c:pt>
                <c:pt idx="14">
                  <c:v>0.45643866912944586</c:v>
                </c:pt>
                <c:pt idx="15">
                  <c:v>0.48919092900358369</c:v>
                </c:pt>
                <c:pt idx="16">
                  <c:v>0.50002006190857862</c:v>
                </c:pt>
                <c:pt idx="17">
                  <c:v>0.61953855125537016</c:v>
                </c:pt>
                <c:pt idx="18">
                  <c:v>0.64975571210659255</c:v>
                </c:pt>
                <c:pt idx="19">
                  <c:v>0.64108052419671568</c:v>
                </c:pt>
                <c:pt idx="20">
                  <c:v>0.71500017527354398</c:v>
                </c:pt>
                <c:pt idx="21">
                  <c:v>0.70727325321454126</c:v>
                </c:pt>
                <c:pt idx="22">
                  <c:v>0.79821006764727875</c:v>
                </c:pt>
                <c:pt idx="23">
                  <c:v>0.91901434072175636</c:v>
                </c:pt>
                <c:pt idx="24">
                  <c:v>0.93599479773964867</c:v>
                </c:pt>
                <c:pt idx="25">
                  <c:v>0.97307975670568625</c:v>
                </c:pt>
                <c:pt idx="26">
                  <c:v>0.91672340864606616</c:v>
                </c:pt>
                <c:pt idx="27">
                  <c:v>0.95075031798116605</c:v>
                </c:pt>
                <c:pt idx="28">
                  <c:v>1.0002922932984371</c:v>
                </c:pt>
                <c:pt idx="29">
                  <c:v>0.92384689129084485</c:v>
                </c:pt>
                <c:pt idx="30">
                  <c:v>0.87652912706250363</c:v>
                </c:pt>
                <c:pt idx="31">
                  <c:v>0.9336532847603487</c:v>
                </c:pt>
                <c:pt idx="32">
                  <c:v>0.99849720129859754</c:v>
                </c:pt>
                <c:pt idx="33">
                  <c:v>1.0041465332197717</c:v>
                </c:pt>
                <c:pt idx="34">
                  <c:v>0.90731715263741997</c:v>
                </c:pt>
                <c:pt idx="35">
                  <c:v>1.0319931746952944</c:v>
                </c:pt>
                <c:pt idx="36">
                  <c:v>1.0062487896797465</c:v>
                </c:pt>
                <c:pt idx="37">
                  <c:v>0.93965199675119537</c:v>
                </c:pt>
                <c:pt idx="38">
                  <c:v>0.91855429681707879</c:v>
                </c:pt>
                <c:pt idx="39">
                  <c:v>0.9512742063815488</c:v>
                </c:pt>
                <c:pt idx="40">
                  <c:v>0.92099862220542617</c:v>
                </c:pt>
                <c:pt idx="41">
                  <c:v>0.9188649195605747</c:v>
                </c:pt>
                <c:pt idx="42">
                  <c:v>0.9506940717994814</c:v>
                </c:pt>
                <c:pt idx="43">
                  <c:v>0.93614665479323456</c:v>
                </c:pt>
                <c:pt idx="44">
                  <c:v>1.0358293401191196</c:v>
                </c:pt>
                <c:pt idx="45">
                  <c:v>1.0270430752013877</c:v>
                </c:pt>
                <c:pt idx="46">
                  <c:v>0.92987714730804005</c:v>
                </c:pt>
                <c:pt idx="47">
                  <c:v>0.94401226244766379</c:v>
                </c:pt>
                <c:pt idx="48">
                  <c:v>0.96930148206494493</c:v>
                </c:pt>
                <c:pt idx="49">
                  <c:v>0.99646845075742663</c:v>
                </c:pt>
                <c:pt idx="50">
                  <c:v>1.0258210466552689</c:v>
                </c:pt>
                <c:pt idx="51">
                  <c:v>1.0051168389247955</c:v>
                </c:pt>
                <c:pt idx="52">
                  <c:v>0.98190303467998286</c:v>
                </c:pt>
                <c:pt idx="53">
                  <c:v>0.99934851140133063</c:v>
                </c:pt>
                <c:pt idx="54">
                  <c:v>0.98437344626591172</c:v>
                </c:pt>
                <c:pt idx="55">
                  <c:v>0.93864293659435727</c:v>
                </c:pt>
                <c:pt idx="56">
                  <c:v>0.9357832504213075</c:v>
                </c:pt>
                <c:pt idx="57">
                  <c:v>0.98959952527356743</c:v>
                </c:pt>
                <c:pt idx="58">
                  <c:v>1.0301637203460776</c:v>
                </c:pt>
                <c:pt idx="59">
                  <c:v>1.0583651027406349</c:v>
                </c:pt>
                <c:pt idx="60">
                  <c:v>0.99185927499753779</c:v>
                </c:pt>
                <c:pt idx="61">
                  <c:v>0.95729282959258355</c:v>
                </c:pt>
                <c:pt idx="62">
                  <c:v>0.95139315773630284</c:v>
                </c:pt>
                <c:pt idx="63">
                  <c:v>0.96756745251968268</c:v>
                </c:pt>
                <c:pt idx="64">
                  <c:v>0.98341075821414536</c:v>
                </c:pt>
                <c:pt idx="65">
                  <c:v>0.98297037717477398</c:v>
                </c:pt>
                <c:pt idx="66">
                  <c:v>1.0525376243816678</c:v>
                </c:pt>
                <c:pt idx="67">
                  <c:v>0.99723728259575961</c:v>
                </c:pt>
                <c:pt idx="68">
                  <c:v>1.0041265662910346</c:v>
                </c:pt>
                <c:pt idx="69">
                  <c:v>1.0578149657534226</c:v>
                </c:pt>
                <c:pt idx="70">
                  <c:v>0.98030645293619045</c:v>
                </c:pt>
                <c:pt idx="71">
                  <c:v>0.92304575677104495</c:v>
                </c:pt>
                <c:pt idx="72">
                  <c:v>1.0357944688905003</c:v>
                </c:pt>
                <c:pt idx="73">
                  <c:v>1.0064776134531663</c:v>
                </c:pt>
                <c:pt idx="74">
                  <c:v>0.97627813353829818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EB-4C16-8B08-E37450A0D0E8}"/>
            </c:ext>
          </c:extLst>
        </c:ser>
        <c:ser>
          <c:idx val="1"/>
          <c:order val="1"/>
          <c:tx>
            <c:strRef>
              <c:f>[1]FS_250kDa_4!$S$1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[1]FS_250kDa_4!$B$2:$B$76</c:f>
              <c:numCache>
                <c:formatCode>General</c:formatCode>
                <c:ptCount val="75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[1]FS_250kDa_4!$S$2:$S$76</c:f>
              <c:numCache>
                <c:formatCode>General</c:formatCode>
                <c:ptCount val="75"/>
                <c:pt idx="0">
                  <c:v>1.5254489945980785</c:v>
                </c:pt>
                <c:pt idx="1">
                  <c:v>1.5712947379063835</c:v>
                </c:pt>
                <c:pt idx="2">
                  <c:v>1.6089342044735164</c:v>
                </c:pt>
                <c:pt idx="3">
                  <c:v>1.5818786888873819</c:v>
                </c:pt>
                <c:pt idx="4">
                  <c:v>1.6216327948603066</c:v>
                </c:pt>
                <c:pt idx="5">
                  <c:v>1.5819373708393796</c:v>
                </c:pt>
                <c:pt idx="6">
                  <c:v>1.6453657777613409</c:v>
                </c:pt>
                <c:pt idx="7">
                  <c:v>1.6098091209612015</c:v>
                </c:pt>
                <c:pt idx="8">
                  <c:v>1.7327286041517604</c:v>
                </c:pt>
                <c:pt idx="9">
                  <c:v>1.5388690994694203</c:v>
                </c:pt>
                <c:pt idx="10">
                  <c:v>0</c:v>
                </c:pt>
                <c:pt idx="11">
                  <c:v>0.1685592352016563</c:v>
                </c:pt>
                <c:pt idx="12">
                  <c:v>0.25200193422494704</c:v>
                </c:pt>
                <c:pt idx="13">
                  <c:v>0.21859397030014474</c:v>
                </c:pt>
                <c:pt idx="14">
                  <c:v>0.30997808150074441</c:v>
                </c:pt>
                <c:pt idx="15">
                  <c:v>0.33100780428251225</c:v>
                </c:pt>
                <c:pt idx="16">
                  <c:v>0.30916919105566482</c:v>
                </c:pt>
                <c:pt idx="17">
                  <c:v>0.43122463488755686</c:v>
                </c:pt>
                <c:pt idx="18">
                  <c:v>0.44480586805005934</c:v>
                </c:pt>
                <c:pt idx="19">
                  <c:v>0.45053485408074778</c:v>
                </c:pt>
                <c:pt idx="20">
                  <c:v>0.49613143440166851</c:v>
                </c:pt>
                <c:pt idx="21">
                  <c:v>0.49272202012660704</c:v>
                </c:pt>
                <c:pt idx="22">
                  <c:v>0.56523213777697845</c:v>
                </c:pt>
                <c:pt idx="23">
                  <c:v>0.62212956809333542</c:v>
                </c:pt>
                <c:pt idx="24">
                  <c:v>0.69295358564185094</c:v>
                </c:pt>
                <c:pt idx="25">
                  <c:v>0.69167227838906542</c:v>
                </c:pt>
                <c:pt idx="26">
                  <c:v>0.67567668860274133</c:v>
                </c:pt>
                <c:pt idx="27">
                  <c:v>0.73614414142571538</c:v>
                </c:pt>
                <c:pt idx="28">
                  <c:v>0.69250490174719903</c:v>
                </c:pt>
                <c:pt idx="29">
                  <c:v>0.74484033374485159</c:v>
                </c:pt>
                <c:pt idx="30">
                  <c:v>0.716393596555568</c:v>
                </c:pt>
                <c:pt idx="31">
                  <c:v>0.74763024423171198</c:v>
                </c:pt>
                <c:pt idx="32">
                  <c:v>0.84883509564385973</c:v>
                </c:pt>
                <c:pt idx="33">
                  <c:v>0.80000916924967302</c:v>
                </c:pt>
                <c:pt idx="34">
                  <c:v>0.84540183031529847</c:v>
                </c:pt>
                <c:pt idx="35">
                  <c:v>0.89541153648982996</c:v>
                </c:pt>
                <c:pt idx="36">
                  <c:v>0.83755781818840114</c:v>
                </c:pt>
                <c:pt idx="37">
                  <c:v>0.877369909842726</c:v>
                </c:pt>
                <c:pt idx="38">
                  <c:v>0.8586337587149192</c:v>
                </c:pt>
                <c:pt idx="39">
                  <c:v>0.80171984816618458</c:v>
                </c:pt>
                <c:pt idx="40">
                  <c:v>0.85626606464831545</c:v>
                </c:pt>
                <c:pt idx="41">
                  <c:v>0.83487548586992677</c:v>
                </c:pt>
                <c:pt idx="42">
                  <c:v>0.82870228462520068</c:v>
                </c:pt>
                <c:pt idx="43">
                  <c:v>0.85515612818347697</c:v>
                </c:pt>
                <c:pt idx="44">
                  <c:v>0.97149123200360354</c:v>
                </c:pt>
                <c:pt idx="45">
                  <c:v>0.9774730593066161</c:v>
                </c:pt>
                <c:pt idx="46">
                  <c:v>0.87620436562773496</c:v>
                </c:pt>
                <c:pt idx="47">
                  <c:v>0.87833584299553769</c:v>
                </c:pt>
                <c:pt idx="48">
                  <c:v>0.91259104540029934</c:v>
                </c:pt>
                <c:pt idx="49">
                  <c:v>0.92375281356978778</c:v>
                </c:pt>
                <c:pt idx="50">
                  <c:v>0.925471060759397</c:v>
                </c:pt>
                <c:pt idx="51">
                  <c:v>0.94523925317205471</c:v>
                </c:pt>
                <c:pt idx="52">
                  <c:v>0.94330352884818269</c:v>
                </c:pt>
                <c:pt idx="53">
                  <c:v>0.9546483977816933</c:v>
                </c:pt>
                <c:pt idx="54">
                  <c:v>0.87893155286341829</c:v>
                </c:pt>
                <c:pt idx="55">
                  <c:v>0.92531876821447046</c:v>
                </c:pt>
                <c:pt idx="56">
                  <c:v>0.94831628619814901</c:v>
                </c:pt>
                <c:pt idx="57">
                  <c:v>0.90790789602077659</c:v>
                </c:pt>
                <c:pt idx="58">
                  <c:v>0.96478030551323202</c:v>
                </c:pt>
                <c:pt idx="59">
                  <c:v>0.91147035434602186</c:v>
                </c:pt>
                <c:pt idx="60">
                  <c:v>0.9829321666864036</c:v>
                </c:pt>
                <c:pt idx="61">
                  <c:v>0.90923105236090673</c:v>
                </c:pt>
                <c:pt idx="62">
                  <c:v>0.87127201604429005</c:v>
                </c:pt>
                <c:pt idx="63">
                  <c:v>0.85891437836766182</c:v>
                </c:pt>
                <c:pt idx="64">
                  <c:v>0.95089545754930915</c:v>
                </c:pt>
                <c:pt idx="65">
                  <c:v>0.98133199262313686</c:v>
                </c:pt>
                <c:pt idx="66">
                  <c:v>0.94316128528468313</c:v>
                </c:pt>
                <c:pt idx="67">
                  <c:v>0.97240982626882</c:v>
                </c:pt>
                <c:pt idx="68">
                  <c:v>1.0170749534501644</c:v>
                </c:pt>
                <c:pt idx="69">
                  <c:v>1.1116969821134777</c:v>
                </c:pt>
                <c:pt idx="70">
                  <c:v>0.94685917387497709</c:v>
                </c:pt>
                <c:pt idx="71">
                  <c:v>0.95598990079257407</c:v>
                </c:pt>
                <c:pt idx="72">
                  <c:v>1.0114345411249723</c:v>
                </c:pt>
                <c:pt idx="73">
                  <c:v>1.0735790847081492</c:v>
                </c:pt>
                <c:pt idx="74">
                  <c:v>1.0355668022097348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EB-4C16-8B08-E37450A0D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304528"/>
        <c:axId val="661305184"/>
      </c:scatterChart>
      <c:valAx>
        <c:axId val="66130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05184"/>
        <c:crosses val="autoZero"/>
        <c:crossBetween val="midCat"/>
      </c:valAx>
      <c:valAx>
        <c:axId val="6613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0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[2]Hoja5!$R$1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[2]Hoja5!$B$2:$B$101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[2]Hoja5!$R$2:$R$101</c:f>
              <c:numCache>
                <c:formatCode>General</c:formatCode>
                <c:ptCount val="100"/>
                <c:pt idx="0">
                  <c:v>3.2557079575848409</c:v>
                </c:pt>
                <c:pt idx="1">
                  <c:v>3.4419408570854597</c:v>
                </c:pt>
                <c:pt idx="2">
                  <c:v>3.1899971944536727</c:v>
                </c:pt>
                <c:pt idx="3">
                  <c:v>3.2192090507333981</c:v>
                </c:pt>
                <c:pt idx="4">
                  <c:v>3.1438050993383699</c:v>
                </c:pt>
                <c:pt idx="5">
                  <c:v>3.1167831176616785</c:v>
                </c:pt>
                <c:pt idx="6">
                  <c:v>3.1765604748284586</c:v>
                </c:pt>
                <c:pt idx="7">
                  <c:v>3.1529748038661314</c:v>
                </c:pt>
                <c:pt idx="8">
                  <c:v>3.127597854845225</c:v>
                </c:pt>
                <c:pt idx="9">
                  <c:v>3.0291644692529291</c:v>
                </c:pt>
                <c:pt idx="10">
                  <c:v>0</c:v>
                </c:pt>
                <c:pt idx="11">
                  <c:v>0.27743117061706296</c:v>
                </c:pt>
                <c:pt idx="12">
                  <c:v>0.38640428254148512</c:v>
                </c:pt>
                <c:pt idx="13">
                  <c:v>0.42663480452154984</c:v>
                </c:pt>
                <c:pt idx="14">
                  <c:v>0.45643866912944586</c:v>
                </c:pt>
                <c:pt idx="15">
                  <c:v>0.48919092900358369</c:v>
                </c:pt>
                <c:pt idx="16">
                  <c:v>0.50002006190857862</c:v>
                </c:pt>
                <c:pt idx="17">
                  <c:v>0.61953855125537016</c:v>
                </c:pt>
                <c:pt idx="18">
                  <c:v>0.64975571210659255</c:v>
                </c:pt>
                <c:pt idx="19">
                  <c:v>0.64108052419671568</c:v>
                </c:pt>
                <c:pt idx="20">
                  <c:v>0.71500017527354398</c:v>
                </c:pt>
                <c:pt idx="21">
                  <c:v>0.70727325321454126</c:v>
                </c:pt>
                <c:pt idx="22">
                  <c:v>0.79821006764727875</c:v>
                </c:pt>
                <c:pt idx="23">
                  <c:v>0.91901434072175636</c:v>
                </c:pt>
                <c:pt idx="24">
                  <c:v>0.93599479773964867</c:v>
                </c:pt>
                <c:pt idx="25">
                  <c:v>0.97307975670568625</c:v>
                </c:pt>
                <c:pt idx="26">
                  <c:v>0.91672340864606616</c:v>
                </c:pt>
                <c:pt idx="27">
                  <c:v>0.95075031798116605</c:v>
                </c:pt>
                <c:pt idx="28">
                  <c:v>1.0002922932984371</c:v>
                </c:pt>
                <c:pt idx="29">
                  <c:v>0.92384689129084485</c:v>
                </c:pt>
                <c:pt idx="30">
                  <c:v>0.87652912706250363</c:v>
                </c:pt>
                <c:pt idx="31">
                  <c:v>0.9336532847603487</c:v>
                </c:pt>
                <c:pt idx="32">
                  <c:v>0.99849720129859754</c:v>
                </c:pt>
                <c:pt idx="33">
                  <c:v>1.0041465332197717</c:v>
                </c:pt>
                <c:pt idx="34">
                  <c:v>0.90731715263741997</c:v>
                </c:pt>
                <c:pt idx="35">
                  <c:v>1.0319931746952944</c:v>
                </c:pt>
                <c:pt idx="36">
                  <c:v>1.0062487896797465</c:v>
                </c:pt>
                <c:pt idx="37">
                  <c:v>0.93965199675119537</c:v>
                </c:pt>
                <c:pt idx="38">
                  <c:v>0.91855429681707879</c:v>
                </c:pt>
                <c:pt idx="39">
                  <c:v>0.9512742063815488</c:v>
                </c:pt>
                <c:pt idx="40">
                  <c:v>0.92099862220542617</c:v>
                </c:pt>
                <c:pt idx="41">
                  <c:v>0.9188649195605747</c:v>
                </c:pt>
                <c:pt idx="42">
                  <c:v>0.9506940717994814</c:v>
                </c:pt>
                <c:pt idx="43">
                  <c:v>0.93614665479323456</c:v>
                </c:pt>
                <c:pt idx="44">
                  <c:v>1.0358293401191196</c:v>
                </c:pt>
                <c:pt idx="45">
                  <c:v>1.0270430752013877</c:v>
                </c:pt>
                <c:pt idx="46">
                  <c:v>0.92987714730804005</c:v>
                </c:pt>
                <c:pt idx="47">
                  <c:v>0.94401226244766379</c:v>
                </c:pt>
                <c:pt idx="48">
                  <c:v>0.96930148206494493</c:v>
                </c:pt>
                <c:pt idx="49">
                  <c:v>0.99646845075742663</c:v>
                </c:pt>
                <c:pt idx="50">
                  <c:v>1.0258210466552689</c:v>
                </c:pt>
                <c:pt idx="51">
                  <c:v>1.0051168389247955</c:v>
                </c:pt>
                <c:pt idx="52">
                  <c:v>0.98190303467998286</c:v>
                </c:pt>
                <c:pt idx="53">
                  <c:v>0.99934851140133063</c:v>
                </c:pt>
                <c:pt idx="54">
                  <c:v>0.98437344626591172</c:v>
                </c:pt>
                <c:pt idx="55">
                  <c:v>0.93864293659435727</c:v>
                </c:pt>
                <c:pt idx="56">
                  <c:v>0.9357832504213075</c:v>
                </c:pt>
                <c:pt idx="57">
                  <c:v>0.98959952527356743</c:v>
                </c:pt>
                <c:pt idx="58">
                  <c:v>1.0301637203460776</c:v>
                </c:pt>
                <c:pt idx="59">
                  <c:v>1.0583651027406349</c:v>
                </c:pt>
                <c:pt idx="60">
                  <c:v>0.99185927499753779</c:v>
                </c:pt>
                <c:pt idx="61">
                  <c:v>0.95729282959258355</c:v>
                </c:pt>
                <c:pt idx="62">
                  <c:v>0.95139315773630284</c:v>
                </c:pt>
                <c:pt idx="63">
                  <c:v>0.96756745251968268</c:v>
                </c:pt>
                <c:pt idx="64">
                  <c:v>0.98341075821414536</c:v>
                </c:pt>
                <c:pt idx="65">
                  <c:v>0.98297037717477398</c:v>
                </c:pt>
                <c:pt idx="66">
                  <c:v>1.0525376243816678</c:v>
                </c:pt>
                <c:pt idx="67">
                  <c:v>0.99723728259575961</c:v>
                </c:pt>
                <c:pt idx="68">
                  <c:v>1.0041265662910346</c:v>
                </c:pt>
                <c:pt idx="69">
                  <c:v>1.0578149657534226</c:v>
                </c:pt>
                <c:pt idx="70">
                  <c:v>0.98030645293619045</c:v>
                </c:pt>
                <c:pt idx="71">
                  <c:v>0.92304575677104495</c:v>
                </c:pt>
                <c:pt idx="72">
                  <c:v>1.0357944688905003</c:v>
                </c:pt>
                <c:pt idx="73">
                  <c:v>1.0064776134531663</c:v>
                </c:pt>
                <c:pt idx="74">
                  <c:v>0.97627813353829818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C-498A-B460-56AFA4E37D2E}"/>
            </c:ext>
          </c:extLst>
        </c:ser>
        <c:ser>
          <c:idx val="1"/>
          <c:order val="1"/>
          <c:tx>
            <c:strRef>
              <c:f>[2]Hoja5!$S$1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[2]Hoja5!$B$2:$B$101</c:f>
              <c:numCache>
                <c:formatCode>General</c:formatCode>
                <c:ptCount val="100"/>
                <c:pt idx="0">
                  <c:v>-7.5107999999999997</c:v>
                </c:pt>
                <c:pt idx="1">
                  <c:v>-7.0076999999999998</c:v>
                </c:pt>
                <c:pt idx="2">
                  <c:v>-6.5080999999999998</c:v>
                </c:pt>
                <c:pt idx="3">
                  <c:v>-6.0078999999999994</c:v>
                </c:pt>
                <c:pt idx="4">
                  <c:v>-5.5079999999999991</c:v>
                </c:pt>
                <c:pt idx="5">
                  <c:v>-5.0077999999999996</c:v>
                </c:pt>
                <c:pt idx="6">
                  <c:v>-4.5079999999999991</c:v>
                </c:pt>
                <c:pt idx="7">
                  <c:v>-4.0077999999999996</c:v>
                </c:pt>
                <c:pt idx="8">
                  <c:v>-3.5081999999999995</c:v>
                </c:pt>
                <c:pt idx="9">
                  <c:v>-3.008</c:v>
                </c:pt>
                <c:pt idx="10">
                  <c:v>0</c:v>
                </c:pt>
                <c:pt idx="11">
                  <c:v>0.50260000000000105</c:v>
                </c:pt>
                <c:pt idx="12">
                  <c:v>1.0031999999999996</c:v>
                </c:pt>
                <c:pt idx="13">
                  <c:v>1.502600000000001</c:v>
                </c:pt>
                <c:pt idx="14">
                  <c:v>2.0028000000000006</c:v>
                </c:pt>
                <c:pt idx="15">
                  <c:v>2.5023999999999997</c:v>
                </c:pt>
                <c:pt idx="16">
                  <c:v>3.0031999999999996</c:v>
                </c:pt>
                <c:pt idx="17">
                  <c:v>3.502600000000001</c:v>
                </c:pt>
                <c:pt idx="18">
                  <c:v>4.002600000000001</c:v>
                </c:pt>
                <c:pt idx="19">
                  <c:v>4.5027000000000008</c:v>
                </c:pt>
                <c:pt idx="20">
                  <c:v>5.0027000000000008</c:v>
                </c:pt>
                <c:pt idx="21">
                  <c:v>5.5027000000000008</c:v>
                </c:pt>
                <c:pt idx="22">
                  <c:v>6.0029000000000003</c:v>
                </c:pt>
                <c:pt idx="23">
                  <c:v>6.5024999999999995</c:v>
                </c:pt>
                <c:pt idx="24">
                  <c:v>7.0027000000000008</c:v>
                </c:pt>
                <c:pt idx="25">
                  <c:v>7.5027000000000008</c:v>
                </c:pt>
                <c:pt idx="26">
                  <c:v>8.0028000000000006</c:v>
                </c:pt>
                <c:pt idx="27">
                  <c:v>8.5028000000000006</c:v>
                </c:pt>
                <c:pt idx="28">
                  <c:v>9.0028000000000006</c:v>
                </c:pt>
                <c:pt idx="29">
                  <c:v>9.5028000000000006</c:v>
                </c:pt>
                <c:pt idx="30">
                  <c:v>10.003</c:v>
                </c:pt>
                <c:pt idx="31">
                  <c:v>10.502500000000001</c:v>
                </c:pt>
                <c:pt idx="32">
                  <c:v>11.0031</c:v>
                </c:pt>
                <c:pt idx="33">
                  <c:v>11.502500000000001</c:v>
                </c:pt>
                <c:pt idx="34">
                  <c:v>12.002700000000001</c:v>
                </c:pt>
                <c:pt idx="35">
                  <c:v>12.5029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14.002800000000001</c:v>
                </c:pt>
                <c:pt idx="39">
                  <c:v>14.502800000000001</c:v>
                </c:pt>
                <c:pt idx="40">
                  <c:v>15.0029</c:v>
                </c:pt>
                <c:pt idx="41">
                  <c:v>15.5029</c:v>
                </c:pt>
                <c:pt idx="42">
                  <c:v>16.0031</c:v>
                </c:pt>
                <c:pt idx="43">
                  <c:v>16.502700000000001</c:v>
                </c:pt>
                <c:pt idx="44">
                  <c:v>17.0031</c:v>
                </c:pt>
                <c:pt idx="45">
                  <c:v>17.502500000000001</c:v>
                </c:pt>
                <c:pt idx="46">
                  <c:v>18.0032</c:v>
                </c:pt>
                <c:pt idx="47">
                  <c:v>18.502600000000001</c:v>
                </c:pt>
                <c:pt idx="48">
                  <c:v>19.002800000000001</c:v>
                </c:pt>
                <c:pt idx="49">
                  <c:v>19.502600000000001</c:v>
                </c:pt>
                <c:pt idx="50">
                  <c:v>20.002800000000001</c:v>
                </c:pt>
                <c:pt idx="51">
                  <c:v>20.502400000000002</c:v>
                </c:pt>
                <c:pt idx="52">
                  <c:v>21.0029</c:v>
                </c:pt>
                <c:pt idx="53">
                  <c:v>21.5029</c:v>
                </c:pt>
                <c:pt idx="54">
                  <c:v>22.0029</c:v>
                </c:pt>
                <c:pt idx="55">
                  <c:v>22.502300000000002</c:v>
                </c:pt>
                <c:pt idx="56">
                  <c:v>23.0032</c:v>
                </c:pt>
                <c:pt idx="57">
                  <c:v>23.502700000000001</c:v>
                </c:pt>
                <c:pt idx="58">
                  <c:v>24.0029</c:v>
                </c:pt>
                <c:pt idx="59">
                  <c:v>24.502399999999998</c:v>
                </c:pt>
                <c:pt idx="60">
                  <c:v>25.003000000000004</c:v>
                </c:pt>
                <c:pt idx="61">
                  <c:v>25.502399999999998</c:v>
                </c:pt>
                <c:pt idx="62">
                  <c:v>26.003200000000003</c:v>
                </c:pt>
                <c:pt idx="63">
                  <c:v>26.502799999999997</c:v>
                </c:pt>
                <c:pt idx="64">
                  <c:v>27.002700000000001</c:v>
                </c:pt>
                <c:pt idx="65">
                  <c:v>27.502700000000001</c:v>
                </c:pt>
                <c:pt idx="66">
                  <c:v>28.002700000000001</c:v>
                </c:pt>
                <c:pt idx="67">
                  <c:v>28.502700000000001</c:v>
                </c:pt>
                <c:pt idx="68">
                  <c:v>29.002799999999997</c:v>
                </c:pt>
                <c:pt idx="69">
                  <c:v>29.502799999999997</c:v>
                </c:pt>
                <c:pt idx="70">
                  <c:v>30.002799999999997</c:v>
                </c:pt>
                <c:pt idx="71">
                  <c:v>30.502799999999997</c:v>
                </c:pt>
                <c:pt idx="72">
                  <c:v>31.0029</c:v>
                </c:pt>
                <c:pt idx="73">
                  <c:v>31.5029</c:v>
                </c:pt>
                <c:pt idx="74">
                  <c:v>32.002899999999997</c:v>
                </c:pt>
              </c:numCache>
            </c:numRef>
          </c:xVal>
          <c:yVal>
            <c:numRef>
              <c:f>[2]Hoja5!$S$2:$S$101</c:f>
              <c:numCache>
                <c:formatCode>General</c:formatCode>
                <c:ptCount val="100"/>
                <c:pt idx="0">
                  <c:v>1.5254489945980785</c:v>
                </c:pt>
                <c:pt idx="1">
                  <c:v>1.5712947379063835</c:v>
                </c:pt>
                <c:pt idx="2">
                  <c:v>1.6089342044735164</c:v>
                </c:pt>
                <c:pt idx="3">
                  <c:v>1.5818786888873819</c:v>
                </c:pt>
                <c:pt idx="4">
                  <c:v>1.6216327948603066</c:v>
                </c:pt>
                <c:pt idx="5">
                  <c:v>1.5819373708393796</c:v>
                </c:pt>
                <c:pt idx="6">
                  <c:v>1.6453657777613409</c:v>
                </c:pt>
                <c:pt idx="7">
                  <c:v>1.6098091209612015</c:v>
                </c:pt>
                <c:pt idx="8">
                  <c:v>1.7327286041517604</c:v>
                </c:pt>
                <c:pt idx="9">
                  <c:v>1.5388690994694203</c:v>
                </c:pt>
                <c:pt idx="10">
                  <c:v>0</c:v>
                </c:pt>
                <c:pt idx="11">
                  <c:v>0.1685592352016563</c:v>
                </c:pt>
                <c:pt idx="12">
                  <c:v>0.25200193422494704</c:v>
                </c:pt>
                <c:pt idx="13">
                  <c:v>0.21859397030014474</c:v>
                </c:pt>
                <c:pt idx="14">
                  <c:v>0.30997808150074441</c:v>
                </c:pt>
                <c:pt idx="15">
                  <c:v>0.33100780428251225</c:v>
                </c:pt>
                <c:pt idx="16">
                  <c:v>0.30916919105566482</c:v>
                </c:pt>
                <c:pt idx="17">
                  <c:v>0.43122463488755686</c:v>
                </c:pt>
                <c:pt idx="18">
                  <c:v>0.44480586805005934</c:v>
                </c:pt>
                <c:pt idx="19">
                  <c:v>0.45053485408074778</c:v>
                </c:pt>
                <c:pt idx="20">
                  <c:v>0.49613143440166851</c:v>
                </c:pt>
                <c:pt idx="21">
                  <c:v>0.49272202012660704</c:v>
                </c:pt>
                <c:pt idx="22">
                  <c:v>0.56523213777697845</c:v>
                </c:pt>
                <c:pt idx="23">
                  <c:v>0.62212956809333542</c:v>
                </c:pt>
                <c:pt idx="24">
                  <c:v>0.69295358564185094</c:v>
                </c:pt>
                <c:pt idx="25">
                  <c:v>0.69167227838906542</c:v>
                </c:pt>
                <c:pt idx="26">
                  <c:v>0.67567668860274133</c:v>
                </c:pt>
                <c:pt idx="27">
                  <c:v>0.73614414142571538</c:v>
                </c:pt>
                <c:pt idx="28">
                  <c:v>0.69250490174719903</c:v>
                </c:pt>
                <c:pt idx="29">
                  <c:v>0.74484033374485159</c:v>
                </c:pt>
                <c:pt idx="30">
                  <c:v>0.716393596555568</c:v>
                </c:pt>
                <c:pt idx="31">
                  <c:v>0.74763024423171198</c:v>
                </c:pt>
                <c:pt idx="32">
                  <c:v>0.84883509564385973</c:v>
                </c:pt>
                <c:pt idx="33">
                  <c:v>0.80000916924967302</c:v>
                </c:pt>
                <c:pt idx="34">
                  <c:v>0.84540183031529847</c:v>
                </c:pt>
                <c:pt idx="35">
                  <c:v>0.89541153648982996</c:v>
                </c:pt>
                <c:pt idx="36">
                  <c:v>0.83755781818840114</c:v>
                </c:pt>
                <c:pt idx="37">
                  <c:v>0.877369909842726</c:v>
                </c:pt>
                <c:pt idx="38">
                  <c:v>0.8586337587149192</c:v>
                </c:pt>
                <c:pt idx="39">
                  <c:v>0.80171984816618458</c:v>
                </c:pt>
                <c:pt idx="40">
                  <c:v>0.85626606464831545</c:v>
                </c:pt>
                <c:pt idx="41">
                  <c:v>0.83487548586992677</c:v>
                </c:pt>
                <c:pt idx="42">
                  <c:v>0.82870228462520068</c:v>
                </c:pt>
                <c:pt idx="43">
                  <c:v>0.85515612818347697</c:v>
                </c:pt>
                <c:pt idx="44">
                  <c:v>0.97149123200360354</c:v>
                </c:pt>
                <c:pt idx="45">
                  <c:v>0.9774730593066161</c:v>
                </c:pt>
                <c:pt idx="46">
                  <c:v>0.87620436562773496</c:v>
                </c:pt>
                <c:pt idx="47">
                  <c:v>0.87833584299553769</c:v>
                </c:pt>
                <c:pt idx="48">
                  <c:v>0.91259104540029934</c:v>
                </c:pt>
                <c:pt idx="49">
                  <c:v>0.92375281356978778</c:v>
                </c:pt>
                <c:pt idx="50">
                  <c:v>0.925471060759397</c:v>
                </c:pt>
                <c:pt idx="51">
                  <c:v>0.94523925317205471</c:v>
                </c:pt>
                <c:pt idx="52">
                  <c:v>0.94330352884818269</c:v>
                </c:pt>
                <c:pt idx="53">
                  <c:v>0.9546483977816933</c:v>
                </c:pt>
                <c:pt idx="54">
                  <c:v>0.87893155286341829</c:v>
                </c:pt>
                <c:pt idx="55">
                  <c:v>0.92531876821447046</c:v>
                </c:pt>
                <c:pt idx="56">
                  <c:v>0.94831628619814901</c:v>
                </c:pt>
                <c:pt idx="57">
                  <c:v>0.90790789602077659</c:v>
                </c:pt>
                <c:pt idx="58">
                  <c:v>0.96478030551323202</c:v>
                </c:pt>
                <c:pt idx="59">
                  <c:v>0.91147035434602186</c:v>
                </c:pt>
                <c:pt idx="60">
                  <c:v>0.9829321666864036</c:v>
                </c:pt>
                <c:pt idx="61">
                  <c:v>0.90923105236090673</c:v>
                </c:pt>
                <c:pt idx="62">
                  <c:v>0.87127201604429005</c:v>
                </c:pt>
                <c:pt idx="63">
                  <c:v>0.85891437836766182</c:v>
                </c:pt>
                <c:pt idx="64">
                  <c:v>0.95089545754930915</c:v>
                </c:pt>
                <c:pt idx="65">
                  <c:v>0.98133199262313686</c:v>
                </c:pt>
                <c:pt idx="66">
                  <c:v>0.94316128528468313</c:v>
                </c:pt>
                <c:pt idx="67">
                  <c:v>0.97240982626882</c:v>
                </c:pt>
                <c:pt idx="68">
                  <c:v>1.0170749534501644</c:v>
                </c:pt>
                <c:pt idx="69">
                  <c:v>1.1116969821134777</c:v>
                </c:pt>
                <c:pt idx="70">
                  <c:v>0.94685917387497709</c:v>
                </c:pt>
                <c:pt idx="71">
                  <c:v>0.95598990079257407</c:v>
                </c:pt>
                <c:pt idx="72">
                  <c:v>1.0114345411249723</c:v>
                </c:pt>
                <c:pt idx="73">
                  <c:v>1.0735790847081492</c:v>
                </c:pt>
                <c:pt idx="74">
                  <c:v>1.0355668022097348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9C-498A-B460-56AFA4E3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75912"/>
        <c:axId val="670174600"/>
      </c:scatterChart>
      <c:valAx>
        <c:axId val="67017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74600"/>
        <c:crosses val="autoZero"/>
        <c:crossBetween val="midCat"/>
      </c:valAx>
      <c:valAx>
        <c:axId val="67017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7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13</xdr:row>
      <xdr:rowOff>57150</xdr:rowOff>
    </xdr:from>
    <xdr:to>
      <xdr:col>12</xdr:col>
      <xdr:colOff>22860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61ED72-B923-44B7-B82B-42BD79528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6</xdr:row>
      <xdr:rowOff>57150</xdr:rowOff>
    </xdr:from>
    <xdr:to>
      <xdr:col>13</xdr:col>
      <xdr:colOff>655320</xdr:colOff>
      <xdr:row>21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CBB621-326A-4A05-B173-53A893665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6</xdr:row>
      <xdr:rowOff>57150</xdr:rowOff>
    </xdr:from>
    <xdr:to>
      <xdr:col>13</xdr:col>
      <xdr:colOff>655320</xdr:colOff>
      <xdr:row>21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D53A08-13DF-405A-826F-380421E5D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384175</xdr:colOff>
      <xdr:row>21</xdr:row>
      <xdr:rowOff>34925</xdr:rowOff>
    </xdr:from>
    <xdr:to>
      <xdr:col>16</xdr:col>
      <xdr:colOff>161925</xdr:colOff>
      <xdr:row>36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AF9EAE-8DC9-4A2E-962E-2D6668D8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/Desktop/Confocal/FRAP/01132026/FS_01132026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/Desktop/Confocal/FRAP/WS_13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_40kDa_1"/>
      <sheetName val="FS_40kDa_2"/>
      <sheetName val="FS_40kDa_3"/>
      <sheetName val="FS_250kDa_1"/>
      <sheetName val="FS_250kDa_2"/>
      <sheetName val="FS_250kDa_3"/>
      <sheetName val="FS_250kDa_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R1" t="str">
            <v>R(t) Region 1</v>
          </cell>
          <cell r="S1" t="str">
            <v>R(t) Region 2</v>
          </cell>
        </row>
        <row r="2">
          <cell r="B2">
            <v>-7.5107999999999997</v>
          </cell>
          <cell r="R2">
            <v>3.2557079575848409</v>
          </cell>
          <cell r="S2">
            <v>1.5254489945980785</v>
          </cell>
        </row>
        <row r="3">
          <cell r="B3">
            <v>-7.0076999999999998</v>
          </cell>
          <cell r="R3">
            <v>3.4419408570854597</v>
          </cell>
          <cell r="S3">
            <v>1.5712947379063835</v>
          </cell>
        </row>
        <row r="4">
          <cell r="B4">
            <v>-6.5080999999999998</v>
          </cell>
          <cell r="R4">
            <v>3.1899971944536727</v>
          </cell>
          <cell r="S4">
            <v>1.6089342044735164</v>
          </cell>
        </row>
        <row r="5">
          <cell r="B5">
            <v>-6.0078999999999994</v>
          </cell>
          <cell r="R5">
            <v>3.2192090507333981</v>
          </cell>
          <cell r="S5">
            <v>1.5818786888873819</v>
          </cell>
        </row>
        <row r="6">
          <cell r="B6">
            <v>-5.5079999999999991</v>
          </cell>
          <cell r="R6">
            <v>3.1438050993383699</v>
          </cell>
          <cell r="S6">
            <v>1.6216327948603066</v>
          </cell>
        </row>
        <row r="7">
          <cell r="B7">
            <v>-5.0077999999999996</v>
          </cell>
          <cell r="R7">
            <v>3.1167831176616785</v>
          </cell>
          <cell r="S7">
            <v>1.5819373708393796</v>
          </cell>
        </row>
        <row r="8">
          <cell r="B8">
            <v>-4.5079999999999991</v>
          </cell>
          <cell r="R8">
            <v>3.1765604748284586</v>
          </cell>
          <cell r="S8">
            <v>1.6453657777613409</v>
          </cell>
        </row>
        <row r="9">
          <cell r="B9">
            <v>-4.0077999999999996</v>
          </cell>
          <cell r="R9">
            <v>3.1529748038661314</v>
          </cell>
          <cell r="S9">
            <v>1.6098091209612015</v>
          </cell>
        </row>
        <row r="10">
          <cell r="B10">
            <v>-3.5081999999999995</v>
          </cell>
          <cell r="R10">
            <v>3.127597854845225</v>
          </cell>
          <cell r="S10">
            <v>1.7327286041517604</v>
          </cell>
        </row>
        <row r="11">
          <cell r="B11">
            <v>-3.008</v>
          </cell>
          <cell r="R11">
            <v>3.0291644692529291</v>
          </cell>
          <cell r="S11">
            <v>1.5388690994694203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0.50260000000000105</v>
          </cell>
          <cell r="R13">
            <v>0.27743117061706296</v>
          </cell>
          <cell r="S13">
            <v>0.1685592352016563</v>
          </cell>
        </row>
        <row r="14">
          <cell r="B14">
            <v>1.0031999999999996</v>
          </cell>
          <cell r="R14">
            <v>0.38640428254148512</v>
          </cell>
          <cell r="S14">
            <v>0.25200193422494704</v>
          </cell>
        </row>
        <row r="15">
          <cell r="B15">
            <v>1.502600000000001</v>
          </cell>
          <cell r="R15">
            <v>0.42663480452154984</v>
          </cell>
          <cell r="S15">
            <v>0.21859397030014474</v>
          </cell>
        </row>
        <row r="16">
          <cell r="B16">
            <v>2.0028000000000006</v>
          </cell>
          <cell r="R16">
            <v>0.45643866912944586</v>
          </cell>
          <cell r="S16">
            <v>0.30997808150074441</v>
          </cell>
        </row>
        <row r="17">
          <cell r="B17">
            <v>2.5023999999999997</v>
          </cell>
          <cell r="R17">
            <v>0.48919092900358369</v>
          </cell>
          <cell r="S17">
            <v>0.33100780428251225</v>
          </cell>
        </row>
        <row r="18">
          <cell r="B18">
            <v>3.0031999999999996</v>
          </cell>
          <cell r="R18">
            <v>0.50002006190857862</v>
          </cell>
          <cell r="S18">
            <v>0.30916919105566482</v>
          </cell>
        </row>
        <row r="19">
          <cell r="B19">
            <v>3.502600000000001</v>
          </cell>
          <cell r="R19">
            <v>0.61953855125537016</v>
          </cell>
          <cell r="S19">
            <v>0.43122463488755686</v>
          </cell>
        </row>
        <row r="20">
          <cell r="B20">
            <v>4.002600000000001</v>
          </cell>
          <cell r="R20">
            <v>0.64975571210659255</v>
          </cell>
          <cell r="S20">
            <v>0.44480586805005934</v>
          </cell>
        </row>
        <row r="21">
          <cell r="B21">
            <v>4.5027000000000008</v>
          </cell>
          <cell r="R21">
            <v>0.64108052419671568</v>
          </cell>
          <cell r="S21">
            <v>0.45053485408074778</v>
          </cell>
        </row>
        <row r="22">
          <cell r="B22">
            <v>5.0027000000000008</v>
          </cell>
          <cell r="R22">
            <v>0.71500017527354398</v>
          </cell>
          <cell r="S22">
            <v>0.49613143440166851</v>
          </cell>
        </row>
        <row r="23">
          <cell r="B23">
            <v>5.5027000000000008</v>
          </cell>
          <cell r="R23">
            <v>0.70727325321454126</v>
          </cell>
          <cell r="S23">
            <v>0.49272202012660704</v>
          </cell>
        </row>
        <row r="24">
          <cell r="B24">
            <v>6.0029000000000003</v>
          </cell>
          <cell r="R24">
            <v>0.79821006764727875</v>
          </cell>
          <cell r="S24">
            <v>0.56523213777697845</v>
          </cell>
        </row>
        <row r="25">
          <cell r="B25">
            <v>6.5024999999999995</v>
          </cell>
          <cell r="R25">
            <v>0.91901434072175636</v>
          </cell>
          <cell r="S25">
            <v>0.62212956809333542</v>
          </cell>
        </row>
        <row r="26">
          <cell r="B26">
            <v>7.0027000000000008</v>
          </cell>
          <cell r="R26">
            <v>0.93599479773964867</v>
          </cell>
          <cell r="S26">
            <v>0.69295358564185094</v>
          </cell>
        </row>
        <row r="27">
          <cell r="B27">
            <v>7.5027000000000008</v>
          </cell>
          <cell r="R27">
            <v>0.97307975670568625</v>
          </cell>
          <cell r="S27">
            <v>0.69167227838906542</v>
          </cell>
        </row>
        <row r="28">
          <cell r="B28">
            <v>8.0028000000000006</v>
          </cell>
          <cell r="R28">
            <v>0.91672340864606616</v>
          </cell>
          <cell r="S28">
            <v>0.67567668860274133</v>
          </cell>
        </row>
        <row r="29">
          <cell r="B29">
            <v>8.5028000000000006</v>
          </cell>
          <cell r="R29">
            <v>0.95075031798116605</v>
          </cell>
          <cell r="S29">
            <v>0.73614414142571538</v>
          </cell>
        </row>
        <row r="30">
          <cell r="B30">
            <v>9.0028000000000006</v>
          </cell>
          <cell r="R30">
            <v>1.0002922932984371</v>
          </cell>
          <cell r="S30">
            <v>0.69250490174719903</v>
          </cell>
        </row>
        <row r="31">
          <cell r="B31">
            <v>9.5028000000000006</v>
          </cell>
          <cell r="R31">
            <v>0.92384689129084485</v>
          </cell>
          <cell r="S31">
            <v>0.74484033374485159</v>
          </cell>
        </row>
        <row r="32">
          <cell r="B32">
            <v>10.003</v>
          </cell>
          <cell r="R32">
            <v>0.87652912706250363</v>
          </cell>
          <cell r="S32">
            <v>0.716393596555568</v>
          </cell>
        </row>
        <row r="33">
          <cell r="B33">
            <v>10.502500000000001</v>
          </cell>
          <cell r="R33">
            <v>0.9336532847603487</v>
          </cell>
          <cell r="S33">
            <v>0.74763024423171198</v>
          </cell>
        </row>
        <row r="34">
          <cell r="B34">
            <v>11.0031</v>
          </cell>
          <cell r="R34">
            <v>0.99849720129859754</v>
          </cell>
          <cell r="S34">
            <v>0.84883509564385973</v>
          </cell>
        </row>
        <row r="35">
          <cell r="B35">
            <v>11.502500000000001</v>
          </cell>
          <cell r="R35">
            <v>1.0041465332197717</v>
          </cell>
          <cell r="S35">
            <v>0.80000916924967302</v>
          </cell>
        </row>
        <row r="36">
          <cell r="B36">
            <v>12.002700000000001</v>
          </cell>
          <cell r="R36">
            <v>0.90731715263741997</v>
          </cell>
          <cell r="S36">
            <v>0.84540183031529847</v>
          </cell>
        </row>
        <row r="37">
          <cell r="B37">
            <v>12.5029</v>
          </cell>
          <cell r="R37">
            <v>1.0319931746952944</v>
          </cell>
          <cell r="S37">
            <v>0.89541153648982996</v>
          </cell>
        </row>
        <row r="38">
          <cell r="B38">
            <v>13.0029</v>
          </cell>
          <cell r="R38">
            <v>1.0062487896797465</v>
          </cell>
          <cell r="S38">
            <v>0.83755781818840114</v>
          </cell>
        </row>
        <row r="39">
          <cell r="B39">
            <v>13.502300000000002</v>
          </cell>
          <cell r="R39">
            <v>0.93965199675119537</v>
          </cell>
          <cell r="S39">
            <v>0.877369909842726</v>
          </cell>
        </row>
        <row r="40">
          <cell r="B40">
            <v>14.002800000000001</v>
          </cell>
          <cell r="R40">
            <v>0.91855429681707879</v>
          </cell>
          <cell r="S40">
            <v>0.8586337587149192</v>
          </cell>
        </row>
        <row r="41">
          <cell r="B41">
            <v>14.502800000000001</v>
          </cell>
          <cell r="R41">
            <v>0.9512742063815488</v>
          </cell>
          <cell r="S41">
            <v>0.80171984816618458</v>
          </cell>
        </row>
        <row r="42">
          <cell r="B42">
            <v>15.0029</v>
          </cell>
          <cell r="R42">
            <v>0.92099862220542617</v>
          </cell>
          <cell r="S42">
            <v>0.85626606464831545</v>
          </cell>
        </row>
        <row r="43">
          <cell r="B43">
            <v>15.5029</v>
          </cell>
          <cell r="R43">
            <v>0.9188649195605747</v>
          </cell>
          <cell r="S43">
            <v>0.83487548586992677</v>
          </cell>
        </row>
        <row r="44">
          <cell r="B44">
            <v>16.0031</v>
          </cell>
          <cell r="R44">
            <v>0.9506940717994814</v>
          </cell>
          <cell r="S44">
            <v>0.82870228462520068</v>
          </cell>
        </row>
        <row r="45">
          <cell r="B45">
            <v>16.502700000000001</v>
          </cell>
          <cell r="R45">
            <v>0.93614665479323456</v>
          </cell>
          <cell r="S45">
            <v>0.85515612818347697</v>
          </cell>
        </row>
        <row r="46">
          <cell r="B46">
            <v>17.0031</v>
          </cell>
          <cell r="R46">
            <v>1.0358293401191196</v>
          </cell>
          <cell r="S46">
            <v>0.97149123200360354</v>
          </cell>
        </row>
        <row r="47">
          <cell r="B47">
            <v>17.502500000000001</v>
          </cell>
          <cell r="R47">
            <v>1.0270430752013877</v>
          </cell>
          <cell r="S47">
            <v>0.9774730593066161</v>
          </cell>
        </row>
        <row r="48">
          <cell r="B48">
            <v>18.0032</v>
          </cell>
          <cell r="R48">
            <v>0.92987714730804005</v>
          </cell>
          <cell r="S48">
            <v>0.87620436562773496</v>
          </cell>
        </row>
        <row r="49">
          <cell r="B49">
            <v>18.502600000000001</v>
          </cell>
          <cell r="R49">
            <v>0.94401226244766379</v>
          </cell>
          <cell r="S49">
            <v>0.87833584299553769</v>
          </cell>
        </row>
        <row r="50">
          <cell r="B50">
            <v>19.002800000000001</v>
          </cell>
          <cell r="R50">
            <v>0.96930148206494493</v>
          </cell>
          <cell r="S50">
            <v>0.91259104540029934</v>
          </cell>
        </row>
        <row r="51">
          <cell r="B51">
            <v>19.502600000000001</v>
          </cell>
          <cell r="R51">
            <v>0.99646845075742663</v>
          </cell>
          <cell r="S51">
            <v>0.92375281356978778</v>
          </cell>
        </row>
        <row r="52">
          <cell r="B52">
            <v>20.002800000000001</v>
          </cell>
          <cell r="R52">
            <v>1.0258210466552689</v>
          </cell>
          <cell r="S52">
            <v>0.925471060759397</v>
          </cell>
        </row>
        <row r="53">
          <cell r="B53">
            <v>20.502400000000002</v>
          </cell>
          <cell r="R53">
            <v>1.0051168389247955</v>
          </cell>
          <cell r="S53">
            <v>0.94523925317205471</v>
          </cell>
        </row>
        <row r="54">
          <cell r="B54">
            <v>21.0029</v>
          </cell>
          <cell r="R54">
            <v>0.98190303467998286</v>
          </cell>
          <cell r="S54">
            <v>0.94330352884818269</v>
          </cell>
        </row>
        <row r="55">
          <cell r="B55">
            <v>21.5029</v>
          </cell>
          <cell r="R55">
            <v>0.99934851140133063</v>
          </cell>
          <cell r="S55">
            <v>0.9546483977816933</v>
          </cell>
        </row>
        <row r="56">
          <cell r="B56">
            <v>22.0029</v>
          </cell>
          <cell r="R56">
            <v>0.98437344626591172</v>
          </cell>
          <cell r="S56">
            <v>0.87893155286341829</v>
          </cell>
        </row>
        <row r="57">
          <cell r="B57">
            <v>22.502300000000002</v>
          </cell>
          <cell r="R57">
            <v>0.93864293659435727</v>
          </cell>
          <cell r="S57">
            <v>0.92531876821447046</v>
          </cell>
        </row>
        <row r="58">
          <cell r="B58">
            <v>23.0032</v>
          </cell>
          <cell r="R58">
            <v>0.9357832504213075</v>
          </cell>
          <cell r="S58">
            <v>0.94831628619814901</v>
          </cell>
        </row>
        <row r="59">
          <cell r="B59">
            <v>23.502700000000001</v>
          </cell>
          <cell r="R59">
            <v>0.98959952527356743</v>
          </cell>
          <cell r="S59">
            <v>0.90790789602077659</v>
          </cell>
        </row>
        <row r="60">
          <cell r="B60">
            <v>24.0029</v>
          </cell>
          <cell r="R60">
            <v>1.0301637203460776</v>
          </cell>
          <cell r="S60">
            <v>0.96478030551323202</v>
          </cell>
        </row>
        <row r="61">
          <cell r="B61">
            <v>24.502399999999998</v>
          </cell>
          <cell r="R61">
            <v>1.0583651027406349</v>
          </cell>
          <cell r="S61">
            <v>0.91147035434602186</v>
          </cell>
        </row>
        <row r="62">
          <cell r="B62">
            <v>25.003000000000004</v>
          </cell>
          <cell r="R62">
            <v>0.99185927499753779</v>
          </cell>
          <cell r="S62">
            <v>0.9829321666864036</v>
          </cell>
        </row>
        <row r="63">
          <cell r="B63">
            <v>25.502399999999998</v>
          </cell>
          <cell r="R63">
            <v>0.95729282959258355</v>
          </cell>
          <cell r="S63">
            <v>0.90923105236090673</v>
          </cell>
        </row>
        <row r="64">
          <cell r="B64">
            <v>26.003200000000003</v>
          </cell>
          <cell r="R64">
            <v>0.95139315773630284</v>
          </cell>
          <cell r="S64">
            <v>0.87127201604429005</v>
          </cell>
        </row>
        <row r="65">
          <cell r="B65">
            <v>26.502799999999997</v>
          </cell>
          <cell r="R65">
            <v>0.96756745251968268</v>
          </cell>
          <cell r="S65">
            <v>0.85891437836766182</v>
          </cell>
        </row>
        <row r="66">
          <cell r="B66">
            <v>27.002700000000001</v>
          </cell>
          <cell r="R66">
            <v>0.98341075821414536</v>
          </cell>
          <cell r="S66">
            <v>0.95089545754930915</v>
          </cell>
        </row>
        <row r="67">
          <cell r="B67">
            <v>27.502700000000001</v>
          </cell>
          <cell r="R67">
            <v>0.98297037717477398</v>
          </cell>
          <cell r="S67">
            <v>0.98133199262313686</v>
          </cell>
        </row>
        <row r="68">
          <cell r="B68">
            <v>28.002700000000001</v>
          </cell>
          <cell r="R68">
            <v>1.0525376243816678</v>
          </cell>
          <cell r="S68">
            <v>0.94316128528468313</v>
          </cell>
        </row>
        <row r="69">
          <cell r="B69">
            <v>28.502700000000001</v>
          </cell>
          <cell r="R69">
            <v>0.99723728259575961</v>
          </cell>
          <cell r="S69">
            <v>0.97240982626882</v>
          </cell>
        </row>
        <row r="70">
          <cell r="B70">
            <v>29.002799999999997</v>
          </cell>
          <cell r="R70">
            <v>1.0041265662910346</v>
          </cell>
          <cell r="S70">
            <v>1.0170749534501644</v>
          </cell>
        </row>
        <row r="71">
          <cell r="B71">
            <v>29.502799999999997</v>
          </cell>
          <cell r="R71">
            <v>1.0578149657534226</v>
          </cell>
          <cell r="S71">
            <v>1.1116969821134777</v>
          </cell>
        </row>
        <row r="72">
          <cell r="B72">
            <v>30.002799999999997</v>
          </cell>
          <cell r="R72">
            <v>0.98030645293619045</v>
          </cell>
          <cell r="S72">
            <v>0.94685917387497709</v>
          </cell>
        </row>
        <row r="73">
          <cell r="B73">
            <v>30.502799999999997</v>
          </cell>
          <cell r="R73">
            <v>0.92304575677104495</v>
          </cell>
          <cell r="S73">
            <v>0.95598990079257407</v>
          </cell>
        </row>
        <row r="74">
          <cell r="B74">
            <v>31.0029</v>
          </cell>
          <cell r="R74">
            <v>1.0357944688905003</v>
          </cell>
          <cell r="S74">
            <v>1.0114345411249723</v>
          </cell>
        </row>
        <row r="75">
          <cell r="B75">
            <v>31.5029</v>
          </cell>
          <cell r="R75">
            <v>1.0064776134531663</v>
          </cell>
          <cell r="S75">
            <v>1.0735790847081492</v>
          </cell>
        </row>
        <row r="76">
          <cell r="B76">
            <v>32.002899999999997</v>
          </cell>
          <cell r="R76">
            <v>0.97627813353829818</v>
          </cell>
          <cell r="S76">
            <v>1.0355668022097348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66"/>
      <sheetName val="Hoja4"/>
      <sheetName val="WS_500kDa_1"/>
      <sheetName val="WS_500kDa_4"/>
      <sheetName val="7"/>
      <sheetName val="77"/>
      <sheetName val="WS_250kDa_6"/>
      <sheetName val="Hoja5"/>
      <sheetName val="777"/>
      <sheetName val="66"/>
      <sheetName val="6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R1" t="str">
            <v>R(t) Region 1</v>
          </cell>
          <cell r="S1" t="str">
            <v>R(t) Region 2</v>
          </cell>
        </row>
        <row r="2">
          <cell r="B2">
            <v>-7.5107999999999997</v>
          </cell>
          <cell r="R2">
            <v>3.2557079575848409</v>
          </cell>
          <cell r="S2">
            <v>1.5254489945980785</v>
          </cell>
        </row>
        <row r="3">
          <cell r="B3">
            <v>-7.0076999999999998</v>
          </cell>
          <cell r="R3">
            <v>3.4419408570854597</v>
          </cell>
          <cell r="S3">
            <v>1.5712947379063835</v>
          </cell>
        </row>
        <row r="4">
          <cell r="B4">
            <v>-6.5080999999999998</v>
          </cell>
          <cell r="R4">
            <v>3.1899971944536727</v>
          </cell>
          <cell r="S4">
            <v>1.6089342044735164</v>
          </cell>
        </row>
        <row r="5">
          <cell r="B5">
            <v>-6.0078999999999994</v>
          </cell>
          <cell r="R5">
            <v>3.2192090507333981</v>
          </cell>
          <cell r="S5">
            <v>1.5818786888873819</v>
          </cell>
        </row>
        <row r="6">
          <cell r="B6">
            <v>-5.5079999999999991</v>
          </cell>
          <cell r="R6">
            <v>3.1438050993383699</v>
          </cell>
          <cell r="S6">
            <v>1.6216327948603066</v>
          </cell>
        </row>
        <row r="7">
          <cell r="B7">
            <v>-5.0077999999999996</v>
          </cell>
          <cell r="R7">
            <v>3.1167831176616785</v>
          </cell>
          <cell r="S7">
            <v>1.5819373708393796</v>
          </cell>
        </row>
        <row r="8">
          <cell r="B8">
            <v>-4.5079999999999991</v>
          </cell>
          <cell r="R8">
            <v>3.1765604748284586</v>
          </cell>
          <cell r="S8">
            <v>1.6453657777613409</v>
          </cell>
        </row>
        <row r="9">
          <cell r="B9">
            <v>-4.0077999999999996</v>
          </cell>
          <cell r="R9">
            <v>3.1529748038661314</v>
          </cell>
          <cell r="S9">
            <v>1.6098091209612015</v>
          </cell>
        </row>
        <row r="10">
          <cell r="B10">
            <v>-3.5081999999999995</v>
          </cell>
          <cell r="R10">
            <v>3.127597854845225</v>
          </cell>
          <cell r="S10">
            <v>1.7327286041517604</v>
          </cell>
        </row>
        <row r="11">
          <cell r="B11">
            <v>-3.008</v>
          </cell>
          <cell r="R11">
            <v>3.0291644692529291</v>
          </cell>
          <cell r="S11">
            <v>1.5388690994694203</v>
          </cell>
        </row>
        <row r="12">
          <cell r="B12">
            <v>0</v>
          </cell>
          <cell r="R12">
            <v>0</v>
          </cell>
          <cell r="S12">
            <v>0</v>
          </cell>
        </row>
        <row r="13">
          <cell r="B13">
            <v>0.50260000000000105</v>
          </cell>
          <cell r="R13">
            <v>0.27743117061706296</v>
          </cell>
          <cell r="S13">
            <v>0.1685592352016563</v>
          </cell>
        </row>
        <row r="14">
          <cell r="B14">
            <v>1.0031999999999996</v>
          </cell>
          <cell r="R14">
            <v>0.38640428254148512</v>
          </cell>
          <cell r="S14">
            <v>0.25200193422494704</v>
          </cell>
        </row>
        <row r="15">
          <cell r="B15">
            <v>1.502600000000001</v>
          </cell>
          <cell r="R15">
            <v>0.42663480452154984</v>
          </cell>
          <cell r="S15">
            <v>0.21859397030014474</v>
          </cell>
        </row>
        <row r="16">
          <cell r="B16">
            <v>2.0028000000000006</v>
          </cell>
          <cell r="R16">
            <v>0.45643866912944586</v>
          </cell>
          <cell r="S16">
            <v>0.30997808150074441</v>
          </cell>
        </row>
        <row r="17">
          <cell r="B17">
            <v>2.5023999999999997</v>
          </cell>
          <cell r="R17">
            <v>0.48919092900358369</v>
          </cell>
          <cell r="S17">
            <v>0.33100780428251225</v>
          </cell>
        </row>
        <row r="18">
          <cell r="B18">
            <v>3.0031999999999996</v>
          </cell>
          <cell r="R18">
            <v>0.50002006190857862</v>
          </cell>
          <cell r="S18">
            <v>0.30916919105566482</v>
          </cell>
        </row>
        <row r="19">
          <cell r="B19">
            <v>3.502600000000001</v>
          </cell>
          <cell r="R19">
            <v>0.61953855125537016</v>
          </cell>
          <cell r="S19">
            <v>0.43122463488755686</v>
          </cell>
        </row>
        <row r="20">
          <cell r="B20">
            <v>4.002600000000001</v>
          </cell>
          <cell r="R20">
            <v>0.64975571210659255</v>
          </cell>
          <cell r="S20">
            <v>0.44480586805005934</v>
          </cell>
        </row>
        <row r="21">
          <cell r="B21">
            <v>4.5027000000000008</v>
          </cell>
          <cell r="R21">
            <v>0.64108052419671568</v>
          </cell>
          <cell r="S21">
            <v>0.45053485408074778</v>
          </cell>
        </row>
        <row r="22">
          <cell r="B22">
            <v>5.0027000000000008</v>
          </cell>
          <cell r="R22">
            <v>0.71500017527354398</v>
          </cell>
          <cell r="S22">
            <v>0.49613143440166851</v>
          </cell>
        </row>
        <row r="23">
          <cell r="B23">
            <v>5.5027000000000008</v>
          </cell>
          <cell r="R23">
            <v>0.70727325321454126</v>
          </cell>
          <cell r="S23">
            <v>0.49272202012660704</v>
          </cell>
        </row>
        <row r="24">
          <cell r="B24">
            <v>6.0029000000000003</v>
          </cell>
          <cell r="R24">
            <v>0.79821006764727875</v>
          </cell>
          <cell r="S24">
            <v>0.56523213777697845</v>
          </cell>
        </row>
        <row r="25">
          <cell r="B25">
            <v>6.5024999999999995</v>
          </cell>
          <cell r="R25">
            <v>0.91901434072175636</v>
          </cell>
          <cell r="S25">
            <v>0.62212956809333542</v>
          </cell>
        </row>
        <row r="26">
          <cell r="B26">
            <v>7.0027000000000008</v>
          </cell>
          <cell r="R26">
            <v>0.93599479773964867</v>
          </cell>
          <cell r="S26">
            <v>0.69295358564185094</v>
          </cell>
        </row>
        <row r="27">
          <cell r="B27">
            <v>7.5027000000000008</v>
          </cell>
          <cell r="R27">
            <v>0.97307975670568625</v>
          </cell>
          <cell r="S27">
            <v>0.69167227838906542</v>
          </cell>
        </row>
        <row r="28">
          <cell r="B28">
            <v>8.0028000000000006</v>
          </cell>
          <cell r="R28">
            <v>0.91672340864606616</v>
          </cell>
          <cell r="S28">
            <v>0.67567668860274133</v>
          </cell>
        </row>
        <row r="29">
          <cell r="B29">
            <v>8.5028000000000006</v>
          </cell>
          <cell r="R29">
            <v>0.95075031798116605</v>
          </cell>
          <cell r="S29">
            <v>0.73614414142571538</v>
          </cell>
        </row>
        <row r="30">
          <cell r="B30">
            <v>9.0028000000000006</v>
          </cell>
          <cell r="R30">
            <v>1.0002922932984371</v>
          </cell>
          <cell r="S30">
            <v>0.69250490174719903</v>
          </cell>
        </row>
        <row r="31">
          <cell r="B31">
            <v>9.5028000000000006</v>
          </cell>
          <cell r="R31">
            <v>0.92384689129084485</v>
          </cell>
          <cell r="S31">
            <v>0.74484033374485159</v>
          </cell>
        </row>
        <row r="32">
          <cell r="B32">
            <v>10.003</v>
          </cell>
          <cell r="R32">
            <v>0.87652912706250363</v>
          </cell>
          <cell r="S32">
            <v>0.716393596555568</v>
          </cell>
        </row>
        <row r="33">
          <cell r="B33">
            <v>10.502500000000001</v>
          </cell>
          <cell r="R33">
            <v>0.9336532847603487</v>
          </cell>
          <cell r="S33">
            <v>0.74763024423171198</v>
          </cell>
        </row>
        <row r="34">
          <cell r="B34">
            <v>11.0031</v>
          </cell>
          <cell r="R34">
            <v>0.99849720129859754</v>
          </cell>
          <cell r="S34">
            <v>0.84883509564385973</v>
          </cell>
        </row>
        <row r="35">
          <cell r="B35">
            <v>11.502500000000001</v>
          </cell>
          <cell r="R35">
            <v>1.0041465332197717</v>
          </cell>
          <cell r="S35">
            <v>0.80000916924967302</v>
          </cell>
        </row>
        <row r="36">
          <cell r="B36">
            <v>12.002700000000001</v>
          </cell>
          <cell r="R36">
            <v>0.90731715263741997</v>
          </cell>
          <cell r="S36">
            <v>0.84540183031529847</v>
          </cell>
        </row>
        <row r="37">
          <cell r="B37">
            <v>12.5029</v>
          </cell>
          <cell r="R37">
            <v>1.0319931746952944</v>
          </cell>
          <cell r="S37">
            <v>0.89541153648982996</v>
          </cell>
        </row>
        <row r="38">
          <cell r="B38">
            <v>13.0029</v>
          </cell>
          <cell r="R38">
            <v>1.0062487896797465</v>
          </cell>
          <cell r="S38">
            <v>0.83755781818840114</v>
          </cell>
        </row>
        <row r="39">
          <cell r="B39">
            <v>13.502300000000002</v>
          </cell>
          <cell r="R39">
            <v>0.93965199675119537</v>
          </cell>
          <cell r="S39">
            <v>0.877369909842726</v>
          </cell>
        </row>
        <row r="40">
          <cell r="B40">
            <v>14.002800000000001</v>
          </cell>
          <cell r="R40">
            <v>0.91855429681707879</v>
          </cell>
          <cell r="S40">
            <v>0.8586337587149192</v>
          </cell>
        </row>
        <row r="41">
          <cell r="B41">
            <v>14.502800000000001</v>
          </cell>
          <cell r="R41">
            <v>0.9512742063815488</v>
          </cell>
          <cell r="S41">
            <v>0.80171984816618458</v>
          </cell>
        </row>
        <row r="42">
          <cell r="B42">
            <v>15.0029</v>
          </cell>
          <cell r="R42">
            <v>0.92099862220542617</v>
          </cell>
          <cell r="S42">
            <v>0.85626606464831545</v>
          </cell>
        </row>
        <row r="43">
          <cell r="B43">
            <v>15.5029</v>
          </cell>
          <cell r="R43">
            <v>0.9188649195605747</v>
          </cell>
          <cell r="S43">
            <v>0.83487548586992677</v>
          </cell>
        </row>
        <row r="44">
          <cell r="B44">
            <v>16.0031</v>
          </cell>
          <cell r="R44">
            <v>0.9506940717994814</v>
          </cell>
          <cell r="S44">
            <v>0.82870228462520068</v>
          </cell>
        </row>
        <row r="45">
          <cell r="B45">
            <v>16.502700000000001</v>
          </cell>
          <cell r="R45">
            <v>0.93614665479323456</v>
          </cell>
          <cell r="S45">
            <v>0.85515612818347697</v>
          </cell>
        </row>
        <row r="46">
          <cell r="B46">
            <v>17.0031</v>
          </cell>
          <cell r="R46">
            <v>1.0358293401191196</v>
          </cell>
          <cell r="S46">
            <v>0.97149123200360354</v>
          </cell>
        </row>
        <row r="47">
          <cell r="B47">
            <v>17.502500000000001</v>
          </cell>
          <cell r="R47">
            <v>1.0270430752013877</v>
          </cell>
          <cell r="S47">
            <v>0.9774730593066161</v>
          </cell>
        </row>
        <row r="48">
          <cell r="B48">
            <v>18.0032</v>
          </cell>
          <cell r="R48">
            <v>0.92987714730804005</v>
          </cell>
          <cell r="S48">
            <v>0.87620436562773496</v>
          </cell>
        </row>
        <row r="49">
          <cell r="B49">
            <v>18.502600000000001</v>
          </cell>
          <cell r="R49">
            <v>0.94401226244766379</v>
          </cell>
          <cell r="S49">
            <v>0.87833584299553769</v>
          </cell>
        </row>
        <row r="50">
          <cell r="B50">
            <v>19.002800000000001</v>
          </cell>
          <cell r="R50">
            <v>0.96930148206494493</v>
          </cell>
          <cell r="S50">
            <v>0.91259104540029934</v>
          </cell>
        </row>
        <row r="51">
          <cell r="B51">
            <v>19.502600000000001</v>
          </cell>
          <cell r="R51">
            <v>0.99646845075742663</v>
          </cell>
          <cell r="S51">
            <v>0.92375281356978778</v>
          </cell>
        </row>
        <row r="52">
          <cell r="B52">
            <v>20.002800000000001</v>
          </cell>
          <cell r="R52">
            <v>1.0258210466552689</v>
          </cell>
          <cell r="S52">
            <v>0.925471060759397</v>
          </cell>
        </row>
        <row r="53">
          <cell r="B53">
            <v>20.502400000000002</v>
          </cell>
          <cell r="R53">
            <v>1.0051168389247955</v>
          </cell>
          <cell r="S53">
            <v>0.94523925317205471</v>
          </cell>
        </row>
        <row r="54">
          <cell r="B54">
            <v>21.0029</v>
          </cell>
          <cell r="R54">
            <v>0.98190303467998286</v>
          </cell>
          <cell r="S54">
            <v>0.94330352884818269</v>
          </cell>
        </row>
        <row r="55">
          <cell r="B55">
            <v>21.5029</v>
          </cell>
          <cell r="R55">
            <v>0.99934851140133063</v>
          </cell>
          <cell r="S55">
            <v>0.9546483977816933</v>
          </cell>
        </row>
        <row r="56">
          <cell r="B56">
            <v>22.0029</v>
          </cell>
          <cell r="R56">
            <v>0.98437344626591172</v>
          </cell>
          <cell r="S56">
            <v>0.87893155286341829</v>
          </cell>
        </row>
        <row r="57">
          <cell r="B57">
            <v>22.502300000000002</v>
          </cell>
          <cell r="R57">
            <v>0.93864293659435727</v>
          </cell>
          <cell r="S57">
            <v>0.92531876821447046</v>
          </cell>
        </row>
        <row r="58">
          <cell r="B58">
            <v>23.0032</v>
          </cell>
          <cell r="R58">
            <v>0.9357832504213075</v>
          </cell>
          <cell r="S58">
            <v>0.94831628619814901</v>
          </cell>
        </row>
        <row r="59">
          <cell r="B59">
            <v>23.502700000000001</v>
          </cell>
          <cell r="R59">
            <v>0.98959952527356743</v>
          </cell>
          <cell r="S59">
            <v>0.90790789602077659</v>
          </cell>
        </row>
        <row r="60">
          <cell r="B60">
            <v>24.0029</v>
          </cell>
          <cell r="R60">
            <v>1.0301637203460776</v>
          </cell>
          <cell r="S60">
            <v>0.96478030551323202</v>
          </cell>
        </row>
        <row r="61">
          <cell r="B61">
            <v>24.502399999999998</v>
          </cell>
          <cell r="R61">
            <v>1.0583651027406349</v>
          </cell>
          <cell r="S61">
            <v>0.91147035434602186</v>
          </cell>
        </row>
        <row r="62">
          <cell r="B62">
            <v>25.003000000000004</v>
          </cell>
          <cell r="R62">
            <v>0.99185927499753779</v>
          </cell>
          <cell r="S62">
            <v>0.9829321666864036</v>
          </cell>
        </row>
        <row r="63">
          <cell r="B63">
            <v>25.502399999999998</v>
          </cell>
          <cell r="R63">
            <v>0.95729282959258355</v>
          </cell>
          <cell r="S63">
            <v>0.90923105236090673</v>
          </cell>
        </row>
        <row r="64">
          <cell r="B64">
            <v>26.003200000000003</v>
          </cell>
          <cell r="R64">
            <v>0.95139315773630284</v>
          </cell>
          <cell r="S64">
            <v>0.87127201604429005</v>
          </cell>
        </row>
        <row r="65">
          <cell r="B65">
            <v>26.502799999999997</v>
          </cell>
          <cell r="R65">
            <v>0.96756745251968268</v>
          </cell>
          <cell r="S65">
            <v>0.85891437836766182</v>
          </cell>
        </row>
        <row r="66">
          <cell r="B66">
            <v>27.002700000000001</v>
          </cell>
          <cell r="R66">
            <v>0.98341075821414536</v>
          </cell>
          <cell r="S66">
            <v>0.95089545754930915</v>
          </cell>
        </row>
        <row r="67">
          <cell r="B67">
            <v>27.502700000000001</v>
          </cell>
          <cell r="R67">
            <v>0.98297037717477398</v>
          </cell>
          <cell r="S67">
            <v>0.98133199262313686</v>
          </cell>
        </row>
        <row r="68">
          <cell r="B68">
            <v>28.002700000000001</v>
          </cell>
          <cell r="R68">
            <v>1.0525376243816678</v>
          </cell>
          <cell r="S68">
            <v>0.94316128528468313</v>
          </cell>
        </row>
        <row r="69">
          <cell r="B69">
            <v>28.502700000000001</v>
          </cell>
          <cell r="R69">
            <v>0.99723728259575961</v>
          </cell>
          <cell r="S69">
            <v>0.97240982626882</v>
          </cell>
        </row>
        <row r="70">
          <cell r="B70">
            <v>29.002799999999997</v>
          </cell>
          <cell r="R70">
            <v>1.0041265662910346</v>
          </cell>
          <cell r="S70">
            <v>1.0170749534501644</v>
          </cell>
        </row>
        <row r="71">
          <cell r="B71">
            <v>29.502799999999997</v>
          </cell>
          <cell r="R71">
            <v>1.0578149657534226</v>
          </cell>
          <cell r="S71">
            <v>1.1116969821134777</v>
          </cell>
        </row>
        <row r="72">
          <cell r="B72">
            <v>30.002799999999997</v>
          </cell>
          <cell r="R72">
            <v>0.98030645293619045</v>
          </cell>
          <cell r="S72">
            <v>0.94685917387497709</v>
          </cell>
        </row>
        <row r="73">
          <cell r="B73">
            <v>30.502799999999997</v>
          </cell>
          <cell r="R73">
            <v>0.92304575677104495</v>
          </cell>
          <cell r="S73">
            <v>0.95598990079257407</v>
          </cell>
        </row>
        <row r="74">
          <cell r="B74">
            <v>31.0029</v>
          </cell>
          <cell r="R74">
            <v>1.0357944688905003</v>
          </cell>
          <cell r="S74">
            <v>1.0114345411249723</v>
          </cell>
        </row>
        <row r="75">
          <cell r="B75">
            <v>31.5029</v>
          </cell>
          <cell r="R75">
            <v>1.0064776134531663</v>
          </cell>
          <cell r="S75">
            <v>1.0735790847081492</v>
          </cell>
        </row>
        <row r="76">
          <cell r="B76">
            <v>32.002899999999997</v>
          </cell>
          <cell r="R76">
            <v>0.97627813353829818</v>
          </cell>
          <cell r="S76">
            <v>1.0355668022097348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5F24-0275-4EE1-ADC5-A98E348E854F}">
  <dimension ref="A1:S98"/>
  <sheetViews>
    <sheetView topLeftCell="C7" workbookViewId="0">
      <selection activeCell="S18" sqref="S18"/>
    </sheetView>
  </sheetViews>
  <sheetFormatPr baseColWidth="10" defaultRowHeight="14.4" x14ac:dyDescent="0.3"/>
  <cols>
    <col min="2" max="2" width="14.6640625" bestFit="1" customWidth="1"/>
    <col min="14" max="15" width="12" bestFit="1" customWidth="1"/>
  </cols>
  <sheetData>
    <row r="1" spans="1:19" x14ac:dyDescent="0.3">
      <c r="A1" t="s">
        <v>0</v>
      </c>
      <c r="B1" t="s">
        <v>2</v>
      </c>
      <c r="C1" t="s">
        <v>13</v>
      </c>
      <c r="D1" t="s">
        <v>1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-8.4109999999999996</v>
      </c>
      <c r="C2">
        <v>567.06299999999999</v>
      </c>
      <c r="D2">
        <v>90.6</v>
      </c>
      <c r="E2">
        <v>166.643</v>
      </c>
      <c r="F2">
        <f>AVERAGE(C2:C11)</f>
        <v>556.26029999999992</v>
      </c>
      <c r="G2">
        <f>AVERAGE(D2:D11)</f>
        <v>86.485099999999989</v>
      </c>
      <c r="H2">
        <f>AVERAGE(E2:E11)</f>
        <v>164.22319999999999</v>
      </c>
      <c r="I2">
        <f>C2/$F$2</f>
        <v>1.0194202246681996</v>
      </c>
      <c r="J2">
        <f>D2/$G$2</f>
        <v>1.047579294005557</v>
      </c>
      <c r="K2" s="3">
        <f>E2/$H$2</f>
        <v>1.0147348243122776</v>
      </c>
      <c r="L2" s="2">
        <f>I2/K2</f>
        <v>1.0046173643041152</v>
      </c>
      <c r="M2" s="2">
        <f>J2/K2</f>
        <v>1.0323675396826353</v>
      </c>
      <c r="R2">
        <f>(L2-$L$12)/($N$12-$L$12)</f>
        <v>1.5948512796262457</v>
      </c>
      <c r="S2">
        <f>(M2-$M$12)/($O$12-$M$12)</f>
        <v>2.6146504867092748</v>
      </c>
    </row>
    <row r="3" spans="1:19" x14ac:dyDescent="0.3">
      <c r="A3">
        <v>0.50309999999999999</v>
      </c>
      <c r="B3">
        <f t="shared" ref="B3:B66" si="0">A3-$A$12</f>
        <v>-7.9078999999999997</v>
      </c>
      <c r="C3">
        <v>570.74599999999998</v>
      </c>
      <c r="D3">
        <v>90.6</v>
      </c>
      <c r="E3">
        <v>169.107</v>
      </c>
      <c r="I3">
        <f t="shared" ref="I3:I66" si="1">C3/$F$2</f>
        <v>1.0260412256635969</v>
      </c>
      <c r="J3">
        <f t="shared" ref="J3:J66" si="2">D3/$G$2</f>
        <v>1.047579294005557</v>
      </c>
      <c r="K3" s="3">
        <f t="shared" ref="K3:K66" si="3">E3/$H$2</f>
        <v>1.0297387945186796</v>
      </c>
      <c r="L3" s="2">
        <f t="shared" ref="L3:L66" si="4">I3/K3</f>
        <v>0.99640921671130112</v>
      </c>
      <c r="M3" s="2">
        <f t="shared" ref="M3:M66" si="5">J3/K3</f>
        <v>1.0173252669335591</v>
      </c>
      <c r="R3">
        <f t="shared" ref="R3:R66" si="6">(L3-$L$12)/($N$12-$L$12)</f>
        <v>1.5659207587537998</v>
      </c>
      <c r="S3">
        <f t="shared" ref="S3:S66" si="7">(M3-$M$12)/($O$12-$M$12)</f>
        <v>2.515898602379897</v>
      </c>
    </row>
    <row r="4" spans="1:19" x14ac:dyDescent="0.3">
      <c r="A4">
        <v>1.0026999999999999</v>
      </c>
      <c r="B4">
        <f t="shared" si="0"/>
        <v>-7.4082999999999997</v>
      </c>
      <c r="C4">
        <v>577.07899999999995</v>
      </c>
      <c r="D4">
        <v>90.95</v>
      </c>
      <c r="E4">
        <v>171.5</v>
      </c>
      <c r="I4">
        <f t="shared" si="1"/>
        <v>1.0374261833893235</v>
      </c>
      <c r="J4">
        <f t="shared" si="2"/>
        <v>1.0516262338830622</v>
      </c>
      <c r="K4" s="3">
        <f t="shared" si="3"/>
        <v>1.0443104262978677</v>
      </c>
      <c r="L4" s="2">
        <f t="shared" si="4"/>
        <v>0.99340785772583995</v>
      </c>
      <c r="M4" s="2">
        <f t="shared" si="5"/>
        <v>1.0070053955231772</v>
      </c>
      <c r="R4">
        <f t="shared" si="6"/>
        <v>1.5553421382072339</v>
      </c>
      <c r="S4">
        <f t="shared" si="7"/>
        <v>2.4481490830876962</v>
      </c>
    </row>
    <row r="5" spans="1:19" x14ac:dyDescent="0.3">
      <c r="A5">
        <v>1.5032000000000001</v>
      </c>
      <c r="B5">
        <f t="shared" si="0"/>
        <v>-6.9077999999999999</v>
      </c>
      <c r="C5">
        <v>562.14300000000003</v>
      </c>
      <c r="D5">
        <v>90.216999999999999</v>
      </c>
      <c r="E5">
        <v>168.661</v>
      </c>
      <c r="I5">
        <f t="shared" si="1"/>
        <v>1.0105754446254751</v>
      </c>
      <c r="J5">
        <f t="shared" si="2"/>
        <v>1.0431507855110302</v>
      </c>
      <c r="K5" s="3">
        <f t="shared" si="3"/>
        <v>1.0270229784829428</v>
      </c>
      <c r="L5" s="2">
        <f t="shared" si="4"/>
        <v>0.98398523285061934</v>
      </c>
      <c r="M5" s="2">
        <f t="shared" si="5"/>
        <v>1.0157034529567299</v>
      </c>
      <c r="R5">
        <f t="shared" si="6"/>
        <v>1.5221310582962864</v>
      </c>
      <c r="S5">
        <f t="shared" si="7"/>
        <v>2.5052514622226068</v>
      </c>
    </row>
    <row r="6" spans="1:19" x14ac:dyDescent="0.3">
      <c r="A6">
        <v>2.0026000000000002</v>
      </c>
      <c r="B6">
        <f t="shared" si="0"/>
        <v>-6.4083999999999994</v>
      </c>
      <c r="C6">
        <v>566.76199999999994</v>
      </c>
      <c r="D6">
        <v>86.167000000000002</v>
      </c>
      <c r="E6">
        <v>170.375</v>
      </c>
      <c r="I6">
        <f t="shared" si="1"/>
        <v>1.0188791110924149</v>
      </c>
      <c r="J6">
        <f t="shared" si="2"/>
        <v>0.99632190978561641</v>
      </c>
      <c r="K6" s="3">
        <f t="shared" si="3"/>
        <v>1.0374599934722988</v>
      </c>
      <c r="L6" s="2">
        <f t="shared" si="4"/>
        <v>0.98209002516068589</v>
      </c>
      <c r="M6" s="2">
        <f t="shared" si="5"/>
        <v>0.96034730597273787</v>
      </c>
      <c r="R6">
        <f t="shared" si="6"/>
        <v>1.5154511899080474</v>
      </c>
      <c r="S6">
        <f t="shared" si="7"/>
        <v>2.1418406987647414</v>
      </c>
    </row>
    <row r="7" spans="1:19" x14ac:dyDescent="0.3">
      <c r="A7">
        <v>2.5026000000000002</v>
      </c>
      <c r="B7">
        <f t="shared" si="0"/>
        <v>-5.9083999999999994</v>
      </c>
      <c r="C7">
        <v>555.46</v>
      </c>
      <c r="D7">
        <v>86.617000000000004</v>
      </c>
      <c r="E7">
        <v>167.464</v>
      </c>
      <c r="I7">
        <f t="shared" si="1"/>
        <v>0.9985612850674408</v>
      </c>
      <c r="J7">
        <f t="shared" si="2"/>
        <v>1.0015251181995513</v>
      </c>
      <c r="K7" s="3">
        <f t="shared" si="3"/>
        <v>1.0197341179565373</v>
      </c>
      <c r="L7" s="2">
        <f t="shared" si="4"/>
        <v>0.97923690840949296</v>
      </c>
      <c r="M7" s="2">
        <f t="shared" si="5"/>
        <v>0.98214338479379759</v>
      </c>
      <c r="R7">
        <f t="shared" si="6"/>
        <v>1.5053950654550494</v>
      </c>
      <c r="S7">
        <f t="shared" si="7"/>
        <v>2.2849310342795977</v>
      </c>
    </row>
    <row r="8" spans="1:19" x14ac:dyDescent="0.3">
      <c r="A8">
        <v>3.0026000000000002</v>
      </c>
      <c r="B8">
        <f t="shared" si="0"/>
        <v>-5.4083999999999994</v>
      </c>
      <c r="C8">
        <v>542.68299999999999</v>
      </c>
      <c r="D8">
        <v>81.400000000000006</v>
      </c>
      <c r="E8">
        <v>160.732</v>
      </c>
      <c r="I8">
        <f t="shared" si="1"/>
        <v>0.97559182274916989</v>
      </c>
      <c r="J8">
        <f t="shared" si="2"/>
        <v>0.94120258865399953</v>
      </c>
      <c r="K8" s="3">
        <f t="shared" si="3"/>
        <v>0.97874112792833168</v>
      </c>
      <c r="L8" s="2">
        <f t="shared" si="4"/>
        <v>0.99678228993418538</v>
      </c>
      <c r="M8" s="2">
        <f t="shared" si="5"/>
        <v>0.96164610007368478</v>
      </c>
      <c r="R8">
        <f t="shared" si="6"/>
        <v>1.5672356964470562</v>
      </c>
      <c r="S8">
        <f t="shared" si="7"/>
        <v>2.1503672271001797</v>
      </c>
    </row>
    <row r="9" spans="1:19" x14ac:dyDescent="0.3">
      <c r="A9">
        <v>3.5028000000000001</v>
      </c>
      <c r="B9">
        <f t="shared" si="0"/>
        <v>-4.908199999999999</v>
      </c>
      <c r="C9">
        <v>547.61900000000003</v>
      </c>
      <c r="D9">
        <v>79.233000000000004</v>
      </c>
      <c r="E9">
        <v>159.411</v>
      </c>
      <c r="I9">
        <f t="shared" si="1"/>
        <v>0.98446536630422865</v>
      </c>
      <c r="J9">
        <f t="shared" si="2"/>
        <v>0.91614624946956202</v>
      </c>
      <c r="K9" s="3">
        <f t="shared" si="3"/>
        <v>0.97069719747270788</v>
      </c>
      <c r="L9" s="2">
        <f t="shared" si="4"/>
        <v>1.0141837937385287</v>
      </c>
      <c r="M9" s="2">
        <f t="shared" si="5"/>
        <v>0.94380230194835846</v>
      </c>
      <c r="R9">
        <f t="shared" si="6"/>
        <v>1.6285692145558488</v>
      </c>
      <c r="S9">
        <f t="shared" si="7"/>
        <v>2.03322344717655</v>
      </c>
    </row>
    <row r="10" spans="1:19" x14ac:dyDescent="0.3">
      <c r="A10">
        <v>4.0023999999999997</v>
      </c>
      <c r="B10">
        <f t="shared" si="0"/>
        <v>-4.4085999999999999</v>
      </c>
      <c r="C10">
        <v>533.74599999999998</v>
      </c>
      <c r="D10">
        <v>82.35</v>
      </c>
      <c r="E10">
        <v>153.982</v>
      </c>
      <c r="I10">
        <f t="shared" si="1"/>
        <v>0.9595256033910744</v>
      </c>
      <c r="J10">
        <f t="shared" si="2"/>
        <v>0.95218713975008418</v>
      </c>
      <c r="K10" s="3">
        <f t="shared" si="3"/>
        <v>0.93763853097491712</v>
      </c>
      <c r="L10" s="2">
        <f t="shared" si="4"/>
        <v>1.0233427613020554</v>
      </c>
      <c r="M10" s="2">
        <f t="shared" si="5"/>
        <v>1.0155162232508086</v>
      </c>
      <c r="R10">
        <f t="shared" si="6"/>
        <v>1.6608510052120788</v>
      </c>
      <c r="S10">
        <f t="shared" si="7"/>
        <v>2.5040223071228032</v>
      </c>
    </row>
    <row r="11" spans="1:19" x14ac:dyDescent="0.3">
      <c r="A11">
        <v>4.5026000000000002</v>
      </c>
      <c r="B11">
        <f t="shared" si="0"/>
        <v>-3.9083999999999994</v>
      </c>
      <c r="C11">
        <v>539.30200000000002</v>
      </c>
      <c r="D11">
        <v>86.716999999999999</v>
      </c>
      <c r="E11">
        <v>154.357</v>
      </c>
      <c r="I11">
        <f t="shared" si="1"/>
        <v>0.96951373304907806</v>
      </c>
      <c r="J11">
        <f t="shared" si="2"/>
        <v>1.0026813867359812</v>
      </c>
      <c r="K11" s="3">
        <f t="shared" si="3"/>
        <v>0.93992200858344011</v>
      </c>
      <c r="L11" s="2">
        <f t="shared" si="4"/>
        <v>1.0314831700879479</v>
      </c>
      <c r="M11" s="2">
        <f t="shared" si="5"/>
        <v>1.0667708358559727</v>
      </c>
      <c r="R11">
        <f t="shared" si="6"/>
        <v>1.6895427731935273</v>
      </c>
      <c r="S11">
        <f t="shared" si="7"/>
        <v>2.8405066708731597</v>
      </c>
    </row>
    <row r="12" spans="1:19" x14ac:dyDescent="0.3">
      <c r="A12" s="4">
        <v>8.4109999999999996</v>
      </c>
      <c r="B12" s="4">
        <f t="shared" si="0"/>
        <v>0</v>
      </c>
      <c r="C12" s="4">
        <v>317.73</v>
      </c>
      <c r="D12" s="4">
        <v>56.732999999999997</v>
      </c>
      <c r="E12" s="4">
        <v>169.893</v>
      </c>
      <c r="F12" s="4"/>
      <c r="G12" s="4"/>
      <c r="H12" s="4"/>
      <c r="I12" s="4">
        <f t="shared" si="1"/>
        <v>0.57118942336887979</v>
      </c>
      <c r="J12" s="4">
        <f t="shared" si="2"/>
        <v>0.65598582877281753</v>
      </c>
      <c r="K12" s="4">
        <f t="shared" si="3"/>
        <v>1.0345249635861438</v>
      </c>
      <c r="L12" s="4">
        <f t="shared" si="4"/>
        <v>0.55212725016211506</v>
      </c>
      <c r="M12" s="4">
        <f t="shared" si="5"/>
        <v>0.63409376463847344</v>
      </c>
      <c r="N12" s="4">
        <f>AVERAGE(L66:L76)</f>
        <v>0.83584656613999198</v>
      </c>
      <c r="O12" s="4">
        <f>AVERAGE(M66:M76)</f>
        <v>0.78641767067052515</v>
      </c>
      <c r="P12" s="5">
        <f>(N12-L12)/(1-L12)</f>
        <v>0.63348197915719118</v>
      </c>
      <c r="Q12" s="5">
        <f>(O12-M12)/(1-M12)</f>
        <v>0.41629218447603394</v>
      </c>
      <c r="R12">
        <f t="shared" si="6"/>
        <v>0</v>
      </c>
      <c r="S12">
        <f t="shared" si="7"/>
        <v>0</v>
      </c>
    </row>
    <row r="13" spans="1:19" x14ac:dyDescent="0.3">
      <c r="A13">
        <v>8.9136000000000006</v>
      </c>
      <c r="B13">
        <f t="shared" si="0"/>
        <v>0.50260000000000105</v>
      </c>
      <c r="C13">
        <v>368.19</v>
      </c>
      <c r="D13">
        <v>60.383000000000003</v>
      </c>
      <c r="E13">
        <v>173.089</v>
      </c>
      <c r="I13">
        <f t="shared" si="1"/>
        <v>0.66190235039243328</v>
      </c>
      <c r="J13">
        <f t="shared" si="2"/>
        <v>0.69818963035251169</v>
      </c>
      <c r="K13" s="3">
        <f t="shared" si="3"/>
        <v>1.0539862820843828</v>
      </c>
      <c r="L13" s="2">
        <f t="shared" si="4"/>
        <v>0.62799901824475635</v>
      </c>
      <c r="M13" s="2">
        <f t="shared" si="5"/>
        <v>0.66242762569144531</v>
      </c>
      <c r="R13">
        <f t="shared" si="6"/>
        <v>0.26741840900447333</v>
      </c>
      <c r="S13">
        <f t="shared" si="7"/>
        <v>0.18601059932778974</v>
      </c>
    </row>
    <row r="14" spans="1:19" x14ac:dyDescent="0.3">
      <c r="A14">
        <v>9.4141999999999992</v>
      </c>
      <c r="B14">
        <f t="shared" si="0"/>
        <v>1.0031999999999996</v>
      </c>
      <c r="C14">
        <v>406.952</v>
      </c>
      <c r="D14">
        <v>63</v>
      </c>
      <c r="E14">
        <v>178.179</v>
      </c>
      <c r="I14">
        <f t="shared" si="1"/>
        <v>0.73158555446074447</v>
      </c>
      <c r="J14">
        <f t="shared" si="2"/>
        <v>0.72844917795088415</v>
      </c>
      <c r="K14" s="3">
        <f t="shared" si="3"/>
        <v>1.0849806848240688</v>
      </c>
      <c r="L14" s="2">
        <f t="shared" si="4"/>
        <v>0.67428440403929601</v>
      </c>
      <c r="M14" s="2">
        <f t="shared" si="5"/>
        <v>0.67139368298432267</v>
      </c>
      <c r="R14">
        <f t="shared" si="6"/>
        <v>0.43055635269720655</v>
      </c>
      <c r="S14">
        <f t="shared" si="7"/>
        <v>0.2448723862031259</v>
      </c>
    </row>
    <row r="15" spans="1:19" x14ac:dyDescent="0.3">
      <c r="A15">
        <v>9.9136000000000006</v>
      </c>
      <c r="B15">
        <f t="shared" si="0"/>
        <v>1.502600000000001</v>
      </c>
      <c r="C15">
        <v>430.42899999999997</v>
      </c>
      <c r="D15">
        <v>66.849999999999994</v>
      </c>
      <c r="E15">
        <v>182.429</v>
      </c>
      <c r="I15">
        <f t="shared" si="1"/>
        <v>0.77379061565242035</v>
      </c>
      <c r="J15">
        <f t="shared" si="2"/>
        <v>0.77296551660343804</v>
      </c>
      <c r="K15" s="3">
        <f t="shared" si="3"/>
        <v>1.1108600977206631</v>
      </c>
      <c r="L15" s="2">
        <f t="shared" si="4"/>
        <v>0.69656891740025195</v>
      </c>
      <c r="M15" s="2">
        <f t="shared" si="5"/>
        <v>0.69582616045842338</v>
      </c>
      <c r="R15">
        <f t="shared" si="6"/>
        <v>0.5091005761814249</v>
      </c>
      <c r="S15">
        <f t="shared" si="7"/>
        <v>0.40527056735900879</v>
      </c>
    </row>
    <row r="16" spans="1:19" x14ac:dyDescent="0.3">
      <c r="A16">
        <v>10.4138</v>
      </c>
      <c r="B16">
        <f t="shared" si="0"/>
        <v>2.0028000000000006</v>
      </c>
      <c r="C16">
        <v>443.66699999999997</v>
      </c>
      <c r="D16">
        <v>64.867000000000004</v>
      </c>
      <c r="E16">
        <v>175.88900000000001</v>
      </c>
      <c r="I16">
        <f t="shared" si="1"/>
        <v>0.79758882666981634</v>
      </c>
      <c r="J16">
        <f t="shared" si="2"/>
        <v>0.7500367115260318</v>
      </c>
      <c r="K16" s="3">
        <f t="shared" si="3"/>
        <v>1.0710362482280216</v>
      </c>
      <c r="L16" s="2">
        <f t="shared" si="4"/>
        <v>0.74468891971619922</v>
      </c>
      <c r="M16" s="2">
        <f t="shared" si="5"/>
        <v>0.70029068835618946</v>
      </c>
      <c r="R16">
        <f t="shared" si="6"/>
        <v>0.6787048280107203</v>
      </c>
      <c r="S16">
        <f t="shared" si="7"/>
        <v>0.43458000416419856</v>
      </c>
    </row>
    <row r="17" spans="1:19" x14ac:dyDescent="0.3">
      <c r="A17">
        <v>10.913399999999999</v>
      </c>
      <c r="B17">
        <f t="shared" si="0"/>
        <v>2.5023999999999997</v>
      </c>
      <c r="C17">
        <v>465.87299999999999</v>
      </c>
      <c r="D17">
        <v>64.849999999999994</v>
      </c>
      <c r="E17">
        <v>175.821</v>
      </c>
      <c r="I17">
        <f t="shared" si="1"/>
        <v>0.83750898635045512</v>
      </c>
      <c r="J17">
        <f t="shared" si="2"/>
        <v>0.7498401458748386</v>
      </c>
      <c r="K17" s="3">
        <f t="shared" si="3"/>
        <v>1.070622177621676</v>
      </c>
      <c r="L17" s="2">
        <f t="shared" si="4"/>
        <v>0.78226381244122167</v>
      </c>
      <c r="M17" s="2">
        <f t="shared" si="5"/>
        <v>0.70037793121431902</v>
      </c>
      <c r="R17">
        <f t="shared" si="6"/>
        <v>0.81114167883110067</v>
      </c>
      <c r="S17">
        <f t="shared" si="7"/>
        <v>0.43515274983756119</v>
      </c>
    </row>
    <row r="18" spans="1:19" x14ac:dyDescent="0.3">
      <c r="A18">
        <v>11.414199999999999</v>
      </c>
      <c r="B18">
        <f t="shared" si="0"/>
        <v>3.0031999999999996</v>
      </c>
      <c r="C18">
        <v>476.31700000000001</v>
      </c>
      <c r="D18">
        <v>68.132999999999996</v>
      </c>
      <c r="E18">
        <v>180.786</v>
      </c>
      <c r="I18">
        <f t="shared" si="1"/>
        <v>0.85628436902651528</v>
      </c>
      <c r="J18">
        <f t="shared" si="2"/>
        <v>0.78780044192583465</v>
      </c>
      <c r="K18" s="3">
        <f t="shared" si="3"/>
        <v>1.1008554211585209</v>
      </c>
      <c r="L18" s="2">
        <f t="shared" si="4"/>
        <v>0.77783544738815624</v>
      </c>
      <c r="M18" s="2">
        <f t="shared" si="5"/>
        <v>0.71562570959297034</v>
      </c>
      <c r="R18">
        <f t="shared" si="6"/>
        <v>0.79553341811821099</v>
      </c>
      <c r="S18">
        <f t="shared" si="7"/>
        <v>0.53525376993248253</v>
      </c>
    </row>
    <row r="19" spans="1:19" x14ac:dyDescent="0.3">
      <c r="A19">
        <v>11.913600000000001</v>
      </c>
      <c r="B19">
        <f t="shared" si="0"/>
        <v>3.502600000000001</v>
      </c>
      <c r="C19">
        <v>479.46</v>
      </c>
      <c r="D19">
        <v>67.966999999999999</v>
      </c>
      <c r="E19">
        <v>177.054</v>
      </c>
      <c r="I19">
        <f t="shared" si="1"/>
        <v>0.86193460148063783</v>
      </c>
      <c r="J19">
        <f t="shared" si="2"/>
        <v>0.78588103615536098</v>
      </c>
      <c r="K19" s="3">
        <f t="shared" si="3"/>
        <v>1.0781302519984997</v>
      </c>
      <c r="L19" s="2">
        <f t="shared" si="4"/>
        <v>0.79947167782639805</v>
      </c>
      <c r="M19" s="2">
        <f t="shared" si="5"/>
        <v>0.72892958406333141</v>
      </c>
      <c r="R19">
        <f t="shared" si="6"/>
        <v>0.87179269698919526</v>
      </c>
      <c r="S19">
        <f t="shared" si="7"/>
        <v>0.62259314309405112</v>
      </c>
    </row>
    <row r="20" spans="1:19" x14ac:dyDescent="0.3">
      <c r="A20">
        <v>12.4137</v>
      </c>
      <c r="B20">
        <f t="shared" si="0"/>
        <v>4.0027000000000008</v>
      </c>
      <c r="C20">
        <v>497.07900000000001</v>
      </c>
      <c r="D20">
        <v>68.483000000000004</v>
      </c>
      <c r="E20">
        <v>179.464</v>
      </c>
      <c r="I20">
        <f t="shared" si="1"/>
        <v>0.89360862171900468</v>
      </c>
      <c r="J20">
        <f t="shared" si="2"/>
        <v>0.79184738180333969</v>
      </c>
      <c r="K20" s="3">
        <f t="shared" si="3"/>
        <v>1.0928054014292743</v>
      </c>
      <c r="L20" s="2">
        <f t="shared" si="4"/>
        <v>0.81771980679291922</v>
      </c>
      <c r="M20" s="2">
        <f t="shared" si="5"/>
        <v>0.72460053799851898</v>
      </c>
      <c r="R20">
        <f t="shared" si="6"/>
        <v>0.93611023879499911</v>
      </c>
      <c r="S20">
        <f t="shared" si="7"/>
        <v>0.59417313879149913</v>
      </c>
    </row>
    <row r="21" spans="1:19" x14ac:dyDescent="0.3">
      <c r="A21">
        <v>12.9137</v>
      </c>
      <c r="B21">
        <f t="shared" si="0"/>
        <v>4.5027000000000008</v>
      </c>
      <c r="C21">
        <v>499.286</v>
      </c>
      <c r="D21">
        <v>69.033000000000001</v>
      </c>
      <c r="E21">
        <v>180.482</v>
      </c>
      <c r="I21">
        <f t="shared" si="1"/>
        <v>0.89757618870158462</v>
      </c>
      <c r="J21">
        <f t="shared" si="2"/>
        <v>0.79820685875370456</v>
      </c>
      <c r="K21" s="3">
        <f t="shared" si="3"/>
        <v>1.0990042819772115</v>
      </c>
      <c r="L21" s="2">
        <f t="shared" si="4"/>
        <v>0.81671764470904618</v>
      </c>
      <c r="M21" s="2">
        <f t="shared" si="5"/>
        <v>0.7263000443616614</v>
      </c>
      <c r="R21">
        <f t="shared" si="6"/>
        <v>0.93257800807458102</v>
      </c>
      <c r="S21">
        <f t="shared" si="7"/>
        <v>0.60533032617865046</v>
      </c>
    </row>
    <row r="22" spans="1:19" x14ac:dyDescent="0.3">
      <c r="A22">
        <v>13.4139</v>
      </c>
      <c r="B22">
        <f t="shared" si="0"/>
        <v>5.0029000000000003</v>
      </c>
      <c r="C22">
        <v>507.93700000000001</v>
      </c>
      <c r="D22">
        <v>71.233000000000004</v>
      </c>
      <c r="E22">
        <v>181.85400000000001</v>
      </c>
      <c r="I22">
        <f t="shared" si="1"/>
        <v>0.91312826027670879</v>
      </c>
      <c r="J22">
        <f t="shared" si="2"/>
        <v>0.82364476655516394</v>
      </c>
      <c r="K22" s="3">
        <f t="shared" si="3"/>
        <v>1.1073587653875945</v>
      </c>
      <c r="L22" s="2">
        <f t="shared" si="4"/>
        <v>0.82460020078235285</v>
      </c>
      <c r="M22" s="2">
        <f t="shared" si="5"/>
        <v>0.74379215869291848</v>
      </c>
      <c r="R22">
        <f t="shared" si="6"/>
        <v>0.96036094575063735</v>
      </c>
      <c r="S22">
        <f t="shared" si="7"/>
        <v>0.72016531686997642</v>
      </c>
    </row>
    <row r="23" spans="1:19" x14ac:dyDescent="0.3">
      <c r="A23">
        <v>13.913500000000001</v>
      </c>
      <c r="B23">
        <f t="shared" si="0"/>
        <v>5.5025000000000013</v>
      </c>
      <c r="C23">
        <v>508.286</v>
      </c>
      <c r="D23">
        <v>70.033000000000001</v>
      </c>
      <c r="E23">
        <v>181.821</v>
      </c>
      <c r="I23">
        <f t="shared" si="1"/>
        <v>0.91375566438949551</v>
      </c>
      <c r="J23">
        <f t="shared" si="2"/>
        <v>0.80976954411800428</v>
      </c>
      <c r="K23" s="3">
        <f t="shared" si="3"/>
        <v>1.1071578193580445</v>
      </c>
      <c r="L23" s="2">
        <f t="shared" si="4"/>
        <v>0.82531654332650795</v>
      </c>
      <c r="M23" s="2">
        <f t="shared" si="5"/>
        <v>0.73139486526638742</v>
      </c>
      <c r="R23">
        <f t="shared" si="6"/>
        <v>0.96288577400100206</v>
      </c>
      <c r="S23">
        <f t="shared" si="7"/>
        <v>0.63877760991396881</v>
      </c>
    </row>
    <row r="24" spans="1:19" x14ac:dyDescent="0.3">
      <c r="A24">
        <v>14.4137</v>
      </c>
      <c r="B24">
        <f t="shared" si="0"/>
        <v>6.0027000000000008</v>
      </c>
      <c r="C24">
        <v>518.22199999999998</v>
      </c>
      <c r="D24">
        <v>68.917000000000002</v>
      </c>
      <c r="E24">
        <v>181.75</v>
      </c>
      <c r="I24">
        <f t="shared" si="1"/>
        <v>0.93161780554894902</v>
      </c>
      <c r="J24">
        <f t="shared" si="2"/>
        <v>0.79686558725144574</v>
      </c>
      <c r="K24" s="3">
        <f t="shared" si="3"/>
        <v>1.1067254809308307</v>
      </c>
      <c r="L24" s="2">
        <f t="shared" si="4"/>
        <v>0.84177858159134067</v>
      </c>
      <c r="M24" s="2">
        <f t="shared" si="5"/>
        <v>0.72002099977062795</v>
      </c>
      <c r="R24">
        <f t="shared" si="6"/>
        <v>1.0209080422702388</v>
      </c>
      <c r="S24">
        <f t="shared" si="7"/>
        <v>0.56410866403382443</v>
      </c>
    </row>
    <row r="25" spans="1:19" x14ac:dyDescent="0.3">
      <c r="A25">
        <v>14.9139</v>
      </c>
      <c r="B25">
        <f t="shared" si="0"/>
        <v>6.5029000000000003</v>
      </c>
      <c r="C25">
        <v>507.54</v>
      </c>
      <c r="D25">
        <v>68.783000000000001</v>
      </c>
      <c r="E25">
        <v>181.161</v>
      </c>
      <c r="I25">
        <f t="shared" si="1"/>
        <v>0.9124145656269198</v>
      </c>
      <c r="J25">
        <f t="shared" si="2"/>
        <v>0.79531618741262955</v>
      </c>
      <c r="K25" s="3">
        <f t="shared" si="3"/>
        <v>1.1031388987670439</v>
      </c>
      <c r="L25" s="2">
        <f t="shared" si="4"/>
        <v>0.82710759873186157</v>
      </c>
      <c r="M25" s="2">
        <f t="shared" si="5"/>
        <v>0.72095743183522809</v>
      </c>
      <c r="R25">
        <f t="shared" si="6"/>
        <v>0.9691985461828343</v>
      </c>
      <c r="S25">
        <f t="shared" si="7"/>
        <v>0.57025630092808255</v>
      </c>
    </row>
    <row r="26" spans="1:19" x14ac:dyDescent="0.3">
      <c r="A26">
        <v>15.4139</v>
      </c>
      <c r="B26">
        <f t="shared" si="0"/>
        <v>7.0029000000000003</v>
      </c>
      <c r="C26">
        <v>511.85700000000003</v>
      </c>
      <c r="D26">
        <v>71.55</v>
      </c>
      <c r="E26">
        <v>181.089</v>
      </c>
      <c r="I26">
        <f t="shared" si="1"/>
        <v>0.92017532079855435</v>
      </c>
      <c r="J26">
        <f t="shared" si="2"/>
        <v>0.82731013781564688</v>
      </c>
      <c r="K26" s="3">
        <f t="shared" si="3"/>
        <v>1.1027004710662076</v>
      </c>
      <c r="L26" s="2">
        <f t="shared" si="4"/>
        <v>0.8344744061901338</v>
      </c>
      <c r="M26" s="2">
        <f t="shared" si="5"/>
        <v>0.75025826099059867</v>
      </c>
      <c r="R26">
        <f t="shared" si="6"/>
        <v>0.9951636710206746</v>
      </c>
      <c r="S26">
        <f t="shared" si="7"/>
        <v>0.7626150049466438</v>
      </c>
    </row>
    <row r="27" spans="1:19" x14ac:dyDescent="0.3">
      <c r="A27">
        <v>15.9139</v>
      </c>
      <c r="B27">
        <f t="shared" si="0"/>
        <v>7.5029000000000003</v>
      </c>
      <c r="C27">
        <v>515.33299999999997</v>
      </c>
      <c r="D27">
        <v>73.45</v>
      </c>
      <c r="E27">
        <v>184.304</v>
      </c>
      <c r="I27">
        <f t="shared" si="1"/>
        <v>0.92642419385312968</v>
      </c>
      <c r="J27">
        <f t="shared" si="2"/>
        <v>0.84927924000781652</v>
      </c>
      <c r="K27" s="3">
        <f t="shared" si="3"/>
        <v>1.1222774857632782</v>
      </c>
      <c r="L27" s="2">
        <f t="shared" si="4"/>
        <v>0.82548585853796608</v>
      </c>
      <c r="M27" s="2">
        <f t="shared" si="5"/>
        <v>0.75674621542479625</v>
      </c>
      <c r="R27">
        <f t="shared" si="6"/>
        <v>0.96348254412528689</v>
      </c>
      <c r="S27">
        <f t="shared" si="7"/>
        <v>0.80520815137523138</v>
      </c>
    </row>
    <row r="28" spans="1:19" x14ac:dyDescent="0.3">
      <c r="A28">
        <v>16.414100000000001</v>
      </c>
      <c r="B28">
        <f t="shared" si="0"/>
        <v>8.0031000000000017</v>
      </c>
      <c r="C28">
        <v>521.58699999999999</v>
      </c>
      <c r="D28">
        <v>72.016999999999996</v>
      </c>
      <c r="E28">
        <v>184.393</v>
      </c>
      <c r="I28">
        <f t="shared" si="1"/>
        <v>0.93766713173670679</v>
      </c>
      <c r="J28">
        <f t="shared" si="2"/>
        <v>0.83270991188077492</v>
      </c>
      <c r="K28" s="3">
        <f t="shared" si="3"/>
        <v>1.1228194311157011</v>
      </c>
      <c r="L28" s="2">
        <f t="shared" si="4"/>
        <v>0.83510055646702175</v>
      </c>
      <c r="M28" s="2">
        <f t="shared" si="5"/>
        <v>0.74162406599371378</v>
      </c>
      <c r="R28">
        <f t="shared" si="6"/>
        <v>0.99737060668428934</v>
      </c>
      <c r="S28">
        <f t="shared" si="7"/>
        <v>0.70593188000716056</v>
      </c>
    </row>
    <row r="29" spans="1:19" x14ac:dyDescent="0.3">
      <c r="A29">
        <v>16.913699999999999</v>
      </c>
      <c r="B29">
        <f t="shared" si="0"/>
        <v>8.502699999999999</v>
      </c>
      <c r="C29">
        <v>522.60299999999995</v>
      </c>
      <c r="D29">
        <v>69.266999999999996</v>
      </c>
      <c r="E29">
        <v>182.107</v>
      </c>
      <c r="I29">
        <f t="shared" si="1"/>
        <v>0.93949361476991977</v>
      </c>
      <c r="J29">
        <f t="shared" si="2"/>
        <v>0.80091252712895056</v>
      </c>
      <c r="K29" s="3">
        <f t="shared" si="3"/>
        <v>1.1088993516141448</v>
      </c>
      <c r="L29" s="2">
        <f t="shared" si="4"/>
        <v>0.8472307368584594</v>
      </c>
      <c r="M29" s="2">
        <f t="shared" si="5"/>
        <v>0.72225899128096704</v>
      </c>
      <c r="R29">
        <f t="shared" si="6"/>
        <v>1.0401247644321654</v>
      </c>
      <c r="S29">
        <f t="shared" si="7"/>
        <v>0.57880098363511001</v>
      </c>
    </row>
    <row r="30" spans="1:19" x14ac:dyDescent="0.3">
      <c r="A30">
        <v>17.413900000000002</v>
      </c>
      <c r="B30">
        <f t="shared" si="0"/>
        <v>9.0029000000000021</v>
      </c>
      <c r="C30">
        <v>511.82499999999999</v>
      </c>
      <c r="D30">
        <v>69.632999999999996</v>
      </c>
      <c r="E30">
        <v>180.839</v>
      </c>
      <c r="I30">
        <f t="shared" si="1"/>
        <v>0.92011779377388614</v>
      </c>
      <c r="J30">
        <f t="shared" si="2"/>
        <v>0.80514446997228428</v>
      </c>
      <c r="K30" s="3">
        <f t="shared" si="3"/>
        <v>1.1011781526605255</v>
      </c>
      <c r="L30" s="2">
        <f t="shared" si="4"/>
        <v>0.83557577995060606</v>
      </c>
      <c r="M30" s="2">
        <f t="shared" si="5"/>
        <v>0.73116640393472876</v>
      </c>
      <c r="R30">
        <f t="shared" si="6"/>
        <v>0.99904558423013035</v>
      </c>
      <c r="S30">
        <f t="shared" si="7"/>
        <v>0.63727777093524296</v>
      </c>
    </row>
    <row r="31" spans="1:19" x14ac:dyDescent="0.3">
      <c r="A31">
        <v>17.913900000000002</v>
      </c>
      <c r="B31">
        <f t="shared" si="0"/>
        <v>9.5029000000000021</v>
      </c>
      <c r="C31">
        <v>520.41300000000001</v>
      </c>
      <c r="D31">
        <v>71.466999999999999</v>
      </c>
      <c r="E31">
        <v>182.679</v>
      </c>
      <c r="I31">
        <f t="shared" si="1"/>
        <v>0.93555660901919491</v>
      </c>
      <c r="J31">
        <f t="shared" si="2"/>
        <v>0.82635043493041005</v>
      </c>
      <c r="K31" s="3">
        <f t="shared" si="3"/>
        <v>1.1123824161263451</v>
      </c>
      <c r="L31" s="2">
        <f t="shared" si="4"/>
        <v>0.84103865312532389</v>
      </c>
      <c r="M31" s="2">
        <f t="shared" si="5"/>
        <v>0.74286542375239473</v>
      </c>
      <c r="R31">
        <f t="shared" si="6"/>
        <v>1.018300082838691</v>
      </c>
      <c r="S31">
        <f t="shared" si="7"/>
        <v>0.71408134118510436</v>
      </c>
    </row>
    <row r="32" spans="1:19" x14ac:dyDescent="0.3">
      <c r="A32">
        <v>18.414000000000001</v>
      </c>
      <c r="B32">
        <f t="shared" si="0"/>
        <v>10.003000000000002</v>
      </c>
      <c r="C32">
        <v>513.98400000000004</v>
      </c>
      <c r="D32">
        <v>71.283000000000001</v>
      </c>
      <c r="E32">
        <v>183.643</v>
      </c>
      <c r="I32">
        <f t="shared" si="1"/>
        <v>0.92399907021946404</v>
      </c>
      <c r="J32">
        <f t="shared" si="2"/>
        <v>0.8242229008233789</v>
      </c>
      <c r="K32" s="3">
        <f t="shared" si="3"/>
        <v>1.1182524758986552</v>
      </c>
      <c r="L32" s="2">
        <f t="shared" si="4"/>
        <v>0.82628841888046412</v>
      </c>
      <c r="M32" s="2">
        <f t="shared" si="5"/>
        <v>0.73706333639996024</v>
      </c>
      <c r="R32">
        <f t="shared" si="6"/>
        <v>0.96631125650862215</v>
      </c>
      <c r="S32">
        <f t="shared" si="7"/>
        <v>0.67599088313701816</v>
      </c>
    </row>
    <row r="33" spans="1:19" x14ac:dyDescent="0.3">
      <c r="A33">
        <v>18.913399999999999</v>
      </c>
      <c r="B33">
        <f t="shared" si="0"/>
        <v>10.5024</v>
      </c>
      <c r="C33">
        <v>519.524</v>
      </c>
      <c r="D33">
        <v>71.400000000000006</v>
      </c>
      <c r="E33">
        <v>183.286</v>
      </c>
      <c r="I33">
        <f t="shared" si="1"/>
        <v>0.93395843636513354</v>
      </c>
      <c r="J33">
        <f t="shared" si="2"/>
        <v>0.82557573501100212</v>
      </c>
      <c r="K33" s="3">
        <f t="shared" si="3"/>
        <v>1.1160786052153411</v>
      </c>
      <c r="L33" s="2">
        <f t="shared" si="4"/>
        <v>0.83682137799329248</v>
      </c>
      <c r="M33" s="2">
        <f t="shared" si="5"/>
        <v>0.739711102025571</v>
      </c>
      <c r="R33">
        <f t="shared" si="6"/>
        <v>1.0034358318182908</v>
      </c>
      <c r="S33">
        <f t="shared" si="7"/>
        <v>0.69337335247215726</v>
      </c>
    </row>
    <row r="34" spans="1:19" x14ac:dyDescent="0.3">
      <c r="A34">
        <v>19.414200000000001</v>
      </c>
      <c r="B34">
        <f t="shared" si="0"/>
        <v>11.003200000000001</v>
      </c>
      <c r="C34">
        <v>519.22199999999998</v>
      </c>
      <c r="D34">
        <v>68.033000000000001</v>
      </c>
      <c r="E34">
        <v>183.179</v>
      </c>
      <c r="I34">
        <f t="shared" si="1"/>
        <v>0.93341552506982806</v>
      </c>
      <c r="J34">
        <f t="shared" si="2"/>
        <v>0.78664417338940473</v>
      </c>
      <c r="K34" s="3">
        <f t="shared" si="3"/>
        <v>1.1154270529377093</v>
      </c>
      <c r="L34" s="2">
        <f t="shared" si="4"/>
        <v>0.83682345933020363</v>
      </c>
      <c r="M34" s="2">
        <f t="shared" si="5"/>
        <v>0.70524035733005896</v>
      </c>
      <c r="R34">
        <f t="shared" si="6"/>
        <v>1.003443167719634</v>
      </c>
      <c r="S34">
        <f t="shared" si="7"/>
        <v>0.46707437161317927</v>
      </c>
    </row>
    <row r="35" spans="1:19" x14ac:dyDescent="0.3">
      <c r="A35">
        <v>19.913799999999998</v>
      </c>
      <c r="B35">
        <f t="shared" si="0"/>
        <v>11.502799999999999</v>
      </c>
      <c r="C35">
        <v>524.44399999999996</v>
      </c>
      <c r="D35">
        <v>71.466999999999999</v>
      </c>
      <c r="E35">
        <v>183.875</v>
      </c>
      <c r="I35">
        <f t="shared" si="1"/>
        <v>0.94280321640785802</v>
      </c>
      <c r="J35">
        <f t="shared" si="2"/>
        <v>0.82635043493041005</v>
      </c>
      <c r="K35" s="3">
        <f t="shared" si="3"/>
        <v>1.1196651873791279</v>
      </c>
      <c r="L35" s="2">
        <f t="shared" si="4"/>
        <v>0.84204030547269038</v>
      </c>
      <c r="M35" s="2">
        <f t="shared" si="5"/>
        <v>0.73803351595194411</v>
      </c>
      <c r="R35">
        <f t="shared" si="6"/>
        <v>1.0218305169366098</v>
      </c>
      <c r="S35">
        <f t="shared" si="7"/>
        <v>0.68236007085847616</v>
      </c>
    </row>
    <row r="36" spans="1:19" x14ac:dyDescent="0.3">
      <c r="A36">
        <v>20.414000000000001</v>
      </c>
      <c r="B36">
        <f t="shared" si="0"/>
        <v>12.003000000000002</v>
      </c>
      <c r="C36">
        <v>515.61900000000003</v>
      </c>
      <c r="D36">
        <v>69.516999999999996</v>
      </c>
      <c r="E36">
        <v>183.054</v>
      </c>
      <c r="I36">
        <f t="shared" si="1"/>
        <v>0.92693834163610112</v>
      </c>
      <c r="J36">
        <f t="shared" si="2"/>
        <v>0.80380319847002557</v>
      </c>
      <c r="K36" s="3">
        <f t="shared" si="3"/>
        <v>1.1146658937348681</v>
      </c>
      <c r="L36" s="2">
        <f t="shared" si="4"/>
        <v>0.83158401709972884</v>
      </c>
      <c r="M36" s="2">
        <f t="shared" si="5"/>
        <v>0.72111580966809086</v>
      </c>
      <c r="R36">
        <f t="shared" si="6"/>
        <v>0.98497617610005972</v>
      </c>
      <c r="S36">
        <f t="shared" si="7"/>
        <v>0.57129604470165307</v>
      </c>
    </row>
    <row r="37" spans="1:19" x14ac:dyDescent="0.3">
      <c r="A37">
        <v>20.913399999999999</v>
      </c>
      <c r="B37">
        <f t="shared" si="0"/>
        <v>12.5024</v>
      </c>
      <c r="C37">
        <v>519.23800000000006</v>
      </c>
      <c r="D37">
        <v>74.183000000000007</v>
      </c>
      <c r="E37">
        <v>185.768</v>
      </c>
      <c r="I37">
        <f t="shared" si="1"/>
        <v>0.93344428858216222</v>
      </c>
      <c r="J37">
        <f t="shared" si="2"/>
        <v>0.85775468837984825</v>
      </c>
      <c r="K37" s="3">
        <f t="shared" si="3"/>
        <v>1.1311921823469522</v>
      </c>
      <c r="L37" s="2">
        <f t="shared" si="4"/>
        <v>0.82518629738537397</v>
      </c>
      <c r="M37" s="2">
        <f t="shared" si="5"/>
        <v>0.75827494369720028</v>
      </c>
      <c r="R37">
        <f t="shared" si="6"/>
        <v>0.9624267078260923</v>
      </c>
      <c r="S37">
        <f t="shared" si="7"/>
        <v>0.81524418782037311</v>
      </c>
    </row>
    <row r="38" spans="1:19" x14ac:dyDescent="0.3">
      <c r="A38">
        <v>21.414000000000001</v>
      </c>
      <c r="B38">
        <f t="shared" si="0"/>
        <v>13.003000000000002</v>
      </c>
      <c r="C38">
        <v>517.31700000000001</v>
      </c>
      <c r="D38">
        <v>69.400000000000006</v>
      </c>
      <c r="E38">
        <v>183.768</v>
      </c>
      <c r="I38">
        <f t="shared" si="1"/>
        <v>0.9299908693825536</v>
      </c>
      <c r="J38">
        <f t="shared" si="2"/>
        <v>0.80245036428240257</v>
      </c>
      <c r="K38" s="3">
        <f t="shared" si="3"/>
        <v>1.1190136351014961</v>
      </c>
      <c r="L38" s="2">
        <f t="shared" si="4"/>
        <v>0.83108090930295242</v>
      </c>
      <c r="M38" s="2">
        <f t="shared" si="5"/>
        <v>0.71710508175319887</v>
      </c>
      <c r="R38">
        <f t="shared" si="6"/>
        <v>0.98320291721903363</v>
      </c>
      <c r="S38">
        <f t="shared" si="7"/>
        <v>0.54496578558889075</v>
      </c>
    </row>
    <row r="39" spans="1:19" x14ac:dyDescent="0.3">
      <c r="A39">
        <v>21.913399999999999</v>
      </c>
      <c r="B39">
        <f t="shared" si="0"/>
        <v>13.5024</v>
      </c>
      <c r="C39">
        <v>522.68299999999999</v>
      </c>
      <c r="D39">
        <v>72.216999999999999</v>
      </c>
      <c r="E39">
        <v>187.054</v>
      </c>
      <c r="I39">
        <f t="shared" si="1"/>
        <v>0.93963743233159025</v>
      </c>
      <c r="J39">
        <f t="shared" si="2"/>
        <v>0.83502244895363487</v>
      </c>
      <c r="K39" s="3">
        <f t="shared" si="3"/>
        <v>1.1390229882257805</v>
      </c>
      <c r="L39" s="2">
        <f t="shared" si="4"/>
        <v>0.82495036715214431</v>
      </c>
      <c r="M39" s="2">
        <f t="shared" si="5"/>
        <v>0.73310412308211836</v>
      </c>
      <c r="R39">
        <f t="shared" si="6"/>
        <v>0.96159514571543203</v>
      </c>
      <c r="S39">
        <f t="shared" si="7"/>
        <v>0.64999881517489022</v>
      </c>
    </row>
    <row r="40" spans="1:19" x14ac:dyDescent="0.3">
      <c r="A40">
        <v>22.414200000000001</v>
      </c>
      <c r="B40">
        <f t="shared" si="0"/>
        <v>14.003200000000001</v>
      </c>
      <c r="C40">
        <v>523.80999999999995</v>
      </c>
      <c r="D40">
        <v>74.733000000000004</v>
      </c>
      <c r="E40">
        <v>187.982</v>
      </c>
      <c r="I40">
        <f t="shared" si="1"/>
        <v>0.94166346223162078</v>
      </c>
      <c r="J40">
        <f t="shared" si="2"/>
        <v>0.86411416533021312</v>
      </c>
      <c r="K40" s="3">
        <f t="shared" si="3"/>
        <v>1.1446738341476723</v>
      </c>
      <c r="L40" s="2">
        <f t="shared" si="4"/>
        <v>0.82264784442529548</v>
      </c>
      <c r="M40" s="2">
        <f t="shared" si="5"/>
        <v>0.75489990209624669</v>
      </c>
      <c r="R40">
        <f t="shared" si="6"/>
        <v>0.95347965058633632</v>
      </c>
      <c r="S40">
        <f t="shared" si="7"/>
        <v>0.79308718246992338</v>
      </c>
    </row>
    <row r="41" spans="1:19" x14ac:dyDescent="0.3">
      <c r="A41">
        <v>22.913799999999998</v>
      </c>
      <c r="B41">
        <f t="shared" si="0"/>
        <v>14.502799999999999</v>
      </c>
      <c r="C41">
        <v>523.54</v>
      </c>
      <c r="D41">
        <v>74.95</v>
      </c>
      <c r="E41">
        <v>187.464</v>
      </c>
      <c r="I41">
        <f t="shared" si="1"/>
        <v>0.94117807796098341</v>
      </c>
      <c r="J41">
        <f t="shared" si="2"/>
        <v>0.86662326805426615</v>
      </c>
      <c r="K41" s="3">
        <f t="shared" si="3"/>
        <v>1.1415195904110991</v>
      </c>
      <c r="L41" s="2">
        <f t="shared" si="4"/>
        <v>0.82449577376244065</v>
      </c>
      <c r="M41" s="2">
        <f t="shared" si="5"/>
        <v>0.75918387676742927</v>
      </c>
      <c r="R41">
        <f t="shared" si="6"/>
        <v>0.95999288120927095</v>
      </c>
      <c r="S41">
        <f t="shared" si="7"/>
        <v>0.82121129497975587</v>
      </c>
    </row>
    <row r="42" spans="1:19" x14ac:dyDescent="0.3">
      <c r="A42">
        <v>23.414000000000001</v>
      </c>
      <c r="B42">
        <f t="shared" si="0"/>
        <v>15.003000000000002</v>
      </c>
      <c r="C42">
        <v>524.88900000000001</v>
      </c>
      <c r="D42">
        <v>79.183000000000007</v>
      </c>
      <c r="E42">
        <v>192.946</v>
      </c>
      <c r="I42">
        <f t="shared" si="1"/>
        <v>0.94360320159464928</v>
      </c>
      <c r="J42">
        <f t="shared" si="2"/>
        <v>0.91556811520134707</v>
      </c>
      <c r="K42" s="3">
        <f t="shared" si="3"/>
        <v>1.1749009884108945</v>
      </c>
      <c r="L42" s="2">
        <f t="shared" si="4"/>
        <v>0.80313423080094115</v>
      </c>
      <c r="M42" s="2">
        <f t="shared" si="5"/>
        <v>0.77927257209962297</v>
      </c>
      <c r="R42">
        <f t="shared" si="6"/>
        <v>0.88470176862543415</v>
      </c>
      <c r="S42">
        <f t="shared" si="7"/>
        <v>0.95309273011027751</v>
      </c>
    </row>
    <row r="43" spans="1:19" x14ac:dyDescent="0.3">
      <c r="A43">
        <v>23.913399999999999</v>
      </c>
      <c r="B43">
        <f t="shared" si="0"/>
        <v>15.5024</v>
      </c>
      <c r="C43">
        <v>526.54</v>
      </c>
      <c r="D43">
        <v>72.3</v>
      </c>
      <c r="E43">
        <v>187</v>
      </c>
      <c r="I43">
        <f t="shared" si="1"/>
        <v>0.94657123652362041</v>
      </c>
      <c r="J43">
        <f t="shared" si="2"/>
        <v>0.8359821518388717</v>
      </c>
      <c r="K43" s="3">
        <f t="shared" si="3"/>
        <v>1.1386941674501532</v>
      </c>
      <c r="L43" s="2">
        <f t="shared" si="4"/>
        <v>0.83127784753938938</v>
      </c>
      <c r="M43" s="2">
        <f t="shared" si="5"/>
        <v>0.73415863164633899</v>
      </c>
      <c r="R43">
        <f t="shared" si="6"/>
        <v>0.98389704773939735</v>
      </c>
      <c r="S43">
        <f t="shared" si="7"/>
        <v>0.65692161929467652</v>
      </c>
    </row>
    <row r="44" spans="1:19" x14ac:dyDescent="0.3">
      <c r="A44">
        <v>24.414100000000001</v>
      </c>
      <c r="B44">
        <f t="shared" si="0"/>
        <v>16.003100000000003</v>
      </c>
      <c r="C44">
        <v>524.952</v>
      </c>
      <c r="D44">
        <v>76.349999999999994</v>
      </c>
      <c r="E44">
        <v>187.536</v>
      </c>
      <c r="I44">
        <f t="shared" si="1"/>
        <v>0.94371645792446468</v>
      </c>
      <c r="J44">
        <f t="shared" si="2"/>
        <v>0.88281102756428564</v>
      </c>
      <c r="K44" s="3">
        <f t="shared" si="3"/>
        <v>1.1419580181119355</v>
      </c>
      <c r="L44" s="2">
        <f t="shared" si="4"/>
        <v>0.8264020594073721</v>
      </c>
      <c r="M44" s="2">
        <f t="shared" si="5"/>
        <v>0.77306784799662565</v>
      </c>
      <c r="R44">
        <f t="shared" si="6"/>
        <v>0.96671179507088512</v>
      </c>
      <c r="S44">
        <f t="shared" si="7"/>
        <v>0.91235897882575001</v>
      </c>
    </row>
    <row r="45" spans="1:19" x14ac:dyDescent="0.3">
      <c r="A45">
        <v>24.913499999999999</v>
      </c>
      <c r="B45">
        <f t="shared" si="0"/>
        <v>16.502499999999998</v>
      </c>
      <c r="C45">
        <v>528.98400000000004</v>
      </c>
      <c r="D45">
        <v>77.382999999999996</v>
      </c>
      <c r="E45">
        <v>187.911</v>
      </c>
      <c r="I45">
        <f t="shared" si="1"/>
        <v>0.95096486303264882</v>
      </c>
      <c r="J45">
        <f t="shared" si="2"/>
        <v>0.89475528154560735</v>
      </c>
      <c r="K45" s="3">
        <f t="shared" si="3"/>
        <v>1.1442414957204585</v>
      </c>
      <c r="L45" s="2">
        <f t="shared" si="4"/>
        <v>0.83108755152589942</v>
      </c>
      <c r="M45" s="2">
        <f t="shared" si="5"/>
        <v>0.78196367191021587</v>
      </c>
      <c r="R45">
        <f t="shared" si="6"/>
        <v>0.98322632846589952</v>
      </c>
      <c r="S45">
        <f t="shared" si="7"/>
        <v>0.97075968653684552</v>
      </c>
    </row>
    <row r="46" spans="1:19" x14ac:dyDescent="0.3">
      <c r="A46">
        <v>25.413699999999999</v>
      </c>
      <c r="B46">
        <f t="shared" si="0"/>
        <v>17.002699999999997</v>
      </c>
      <c r="C46">
        <v>525.85699999999997</v>
      </c>
      <c r="D46">
        <v>76.849999999999994</v>
      </c>
      <c r="E46">
        <v>187.929</v>
      </c>
      <c r="I46">
        <f t="shared" si="1"/>
        <v>0.9453433940908601</v>
      </c>
      <c r="J46">
        <f t="shared" si="2"/>
        <v>0.88859237024643556</v>
      </c>
      <c r="K46" s="3">
        <f t="shared" si="3"/>
        <v>1.1443511026456676</v>
      </c>
      <c r="L46" s="2">
        <f t="shared" si="4"/>
        <v>0.82609558544164086</v>
      </c>
      <c r="M46" s="2">
        <f t="shared" si="5"/>
        <v>0.77650326739063391</v>
      </c>
      <c r="R46">
        <f t="shared" si="6"/>
        <v>0.96563159379986852</v>
      </c>
      <c r="S46">
        <f t="shared" si="7"/>
        <v>0.93491236183370274</v>
      </c>
    </row>
    <row r="47" spans="1:19" x14ac:dyDescent="0.3">
      <c r="A47">
        <v>25.913900000000002</v>
      </c>
      <c r="B47">
        <f t="shared" si="0"/>
        <v>17.502900000000004</v>
      </c>
      <c r="C47">
        <v>522.69799999999998</v>
      </c>
      <c r="D47">
        <v>77.882999999999996</v>
      </c>
      <c r="E47">
        <v>187.964</v>
      </c>
      <c r="I47">
        <f t="shared" si="1"/>
        <v>0.93966439812440339</v>
      </c>
      <c r="J47">
        <f t="shared" si="2"/>
        <v>0.90053662422775727</v>
      </c>
      <c r="K47" s="3">
        <f t="shared" si="3"/>
        <v>1.1445642272224632</v>
      </c>
      <c r="L47" s="2">
        <f t="shared" si="4"/>
        <v>0.82098005142507879</v>
      </c>
      <c r="M47" s="2">
        <f t="shared" si="5"/>
        <v>0.78679431246344944</v>
      </c>
      <c r="R47">
        <f t="shared" si="6"/>
        <v>0.94760133033708427</v>
      </c>
      <c r="S47">
        <f t="shared" si="7"/>
        <v>1.0024726374390966</v>
      </c>
    </row>
    <row r="48" spans="1:19" x14ac:dyDescent="0.3">
      <c r="A48">
        <v>26.413900000000002</v>
      </c>
      <c r="B48">
        <f t="shared" si="0"/>
        <v>18.002900000000004</v>
      </c>
      <c r="C48">
        <v>530.60299999999995</v>
      </c>
      <c r="D48">
        <v>73.966999999999999</v>
      </c>
      <c r="E48">
        <v>187.643</v>
      </c>
      <c r="I48">
        <f t="shared" si="1"/>
        <v>0.95387537093695174</v>
      </c>
      <c r="J48">
        <f t="shared" si="2"/>
        <v>0.8552571483411594</v>
      </c>
      <c r="K48" s="3">
        <f t="shared" si="3"/>
        <v>1.1426095703895673</v>
      </c>
      <c r="L48" s="2">
        <f t="shared" si="4"/>
        <v>0.83482179359983166</v>
      </c>
      <c r="M48" s="2">
        <f t="shared" si="5"/>
        <v>0.74851215192391873</v>
      </c>
      <c r="R48">
        <f t="shared" si="6"/>
        <v>0.99638807623432935</v>
      </c>
      <c r="S48">
        <f t="shared" si="7"/>
        <v>0.75115187278200179</v>
      </c>
    </row>
    <row r="49" spans="1:19" x14ac:dyDescent="0.3">
      <c r="A49">
        <v>26.913900000000002</v>
      </c>
      <c r="B49">
        <f t="shared" si="0"/>
        <v>18.502900000000004</v>
      </c>
      <c r="C49">
        <v>530.93700000000001</v>
      </c>
      <c r="D49">
        <v>76.233000000000004</v>
      </c>
      <c r="E49">
        <v>187.554</v>
      </c>
      <c r="I49">
        <f t="shared" si="1"/>
        <v>0.95447580925692543</v>
      </c>
      <c r="J49">
        <f t="shared" si="2"/>
        <v>0.88145819337666276</v>
      </c>
      <c r="K49" s="3">
        <f t="shared" si="3"/>
        <v>1.1420676250371447</v>
      </c>
      <c r="L49" s="2">
        <f t="shared" si="4"/>
        <v>0.83574368831782797</v>
      </c>
      <c r="M49" s="2">
        <f t="shared" si="5"/>
        <v>0.77180910661747737</v>
      </c>
      <c r="R49">
        <f t="shared" si="6"/>
        <v>0.99963739577684574</v>
      </c>
      <c r="S49">
        <f t="shared" si="7"/>
        <v>0.90409539491474256</v>
      </c>
    </row>
    <row r="50" spans="1:19" x14ac:dyDescent="0.3">
      <c r="A50">
        <v>27.414000000000001</v>
      </c>
      <c r="B50">
        <f t="shared" si="0"/>
        <v>19.003</v>
      </c>
      <c r="C50">
        <v>526.82500000000005</v>
      </c>
      <c r="D50">
        <v>73.066999999999993</v>
      </c>
      <c r="E50">
        <v>187.018</v>
      </c>
      <c r="I50">
        <f t="shared" si="1"/>
        <v>0.94708358658707104</v>
      </c>
      <c r="J50">
        <f t="shared" si="2"/>
        <v>0.8448507315132896</v>
      </c>
      <c r="K50" s="3">
        <f t="shared" si="3"/>
        <v>1.1388037743753623</v>
      </c>
      <c r="L50" s="2">
        <f t="shared" si="4"/>
        <v>0.83164774116291418</v>
      </c>
      <c r="M50" s="2">
        <f t="shared" si="5"/>
        <v>0.74187559834589856</v>
      </c>
      <c r="R50">
        <f t="shared" si="6"/>
        <v>0.98520077858426391</v>
      </c>
      <c r="S50">
        <f t="shared" si="7"/>
        <v>0.70758317925976677</v>
      </c>
    </row>
    <row r="51" spans="1:19" x14ac:dyDescent="0.3">
      <c r="A51">
        <v>27.913399999999999</v>
      </c>
      <c r="B51">
        <f t="shared" si="0"/>
        <v>19.502400000000002</v>
      </c>
      <c r="C51">
        <v>525.01599999999996</v>
      </c>
      <c r="D51">
        <v>77.566999999999993</v>
      </c>
      <c r="E51">
        <v>187.482</v>
      </c>
      <c r="I51">
        <f t="shared" si="1"/>
        <v>0.94383151197380089</v>
      </c>
      <c r="J51">
        <f t="shared" si="2"/>
        <v>0.8968828156526385</v>
      </c>
      <c r="K51" s="3">
        <f t="shared" si="3"/>
        <v>1.1416291973363082</v>
      </c>
      <c r="L51" s="2">
        <f t="shared" si="4"/>
        <v>0.8267408666281344</v>
      </c>
      <c r="M51" s="2">
        <f t="shared" si="5"/>
        <v>0.78561657125210083</v>
      </c>
      <c r="R51">
        <f t="shared" si="6"/>
        <v>0.96790595846294936</v>
      </c>
      <c r="S51">
        <f t="shared" si="7"/>
        <v>0.99474081620349364</v>
      </c>
    </row>
    <row r="52" spans="1:19" x14ac:dyDescent="0.3">
      <c r="A52">
        <v>28.414200000000001</v>
      </c>
      <c r="B52">
        <f t="shared" si="0"/>
        <v>20.0032</v>
      </c>
      <c r="C52">
        <v>529.74599999999998</v>
      </c>
      <c r="D52">
        <v>76.082999999999998</v>
      </c>
      <c r="E52">
        <v>187.679</v>
      </c>
      <c r="I52">
        <f t="shared" si="1"/>
        <v>0.95233472530755847</v>
      </c>
      <c r="J52">
        <f t="shared" si="2"/>
        <v>0.87972379057201766</v>
      </c>
      <c r="K52" s="3">
        <f t="shared" si="3"/>
        <v>1.1428287842399856</v>
      </c>
      <c r="L52" s="2">
        <f t="shared" si="4"/>
        <v>0.83331356231186349</v>
      </c>
      <c r="M52" s="2">
        <f t="shared" si="5"/>
        <v>0.76977741784571829</v>
      </c>
      <c r="R52">
        <f t="shared" si="6"/>
        <v>0.9910721488263915</v>
      </c>
      <c r="S52">
        <f t="shared" si="7"/>
        <v>0.89075744406590096</v>
      </c>
    </row>
    <row r="53" spans="1:19" x14ac:dyDescent="0.3">
      <c r="A53">
        <v>28.913399999999999</v>
      </c>
      <c r="B53">
        <f t="shared" si="0"/>
        <v>20.502400000000002</v>
      </c>
      <c r="C53">
        <v>523.54</v>
      </c>
      <c r="D53">
        <v>72.466999999999999</v>
      </c>
      <c r="E53">
        <v>187.857</v>
      </c>
      <c r="I53">
        <f t="shared" si="1"/>
        <v>0.94117807796098341</v>
      </c>
      <c r="J53">
        <f t="shared" si="2"/>
        <v>0.83791312029470977</v>
      </c>
      <c r="K53" s="3">
        <f t="shared" si="3"/>
        <v>1.1439126749448312</v>
      </c>
      <c r="L53" s="2">
        <f t="shared" si="4"/>
        <v>0.82277091475219011</v>
      </c>
      <c r="M53" s="2">
        <f t="shared" si="5"/>
        <v>0.73249745251325304</v>
      </c>
      <c r="R53">
        <f t="shared" si="6"/>
        <v>0.95391342551798119</v>
      </c>
      <c r="S53">
        <f t="shared" si="7"/>
        <v>0.64601604855165473</v>
      </c>
    </row>
    <row r="54" spans="1:19" x14ac:dyDescent="0.3">
      <c r="A54">
        <v>29.414200000000001</v>
      </c>
      <c r="B54">
        <f t="shared" si="0"/>
        <v>21.0032</v>
      </c>
      <c r="C54">
        <v>529.20600000000002</v>
      </c>
      <c r="D54">
        <v>79.516999999999996</v>
      </c>
      <c r="E54">
        <v>189.87899999999999</v>
      </c>
      <c r="I54">
        <f t="shared" si="1"/>
        <v>0.95136395676628382</v>
      </c>
      <c r="J54">
        <f t="shared" si="2"/>
        <v>0.91943005211302298</v>
      </c>
      <c r="K54" s="3">
        <f t="shared" si="3"/>
        <v>1.1562251862099875</v>
      </c>
      <c r="L54" s="2">
        <f t="shared" si="4"/>
        <v>0.82281891807319807</v>
      </c>
      <c r="M54" s="2">
        <f t="shared" si="5"/>
        <v>0.79519981321877287</v>
      </c>
      <c r="R54">
        <f t="shared" si="6"/>
        <v>0.95408261851368015</v>
      </c>
      <c r="S54">
        <f t="shared" si="7"/>
        <v>1.0576543943561938</v>
      </c>
    </row>
    <row r="55" spans="1:19" x14ac:dyDescent="0.3">
      <c r="A55">
        <v>29.913599999999999</v>
      </c>
      <c r="B55">
        <f t="shared" si="0"/>
        <v>21.502600000000001</v>
      </c>
      <c r="C55">
        <v>528.57100000000003</v>
      </c>
      <c r="D55">
        <v>77.233000000000004</v>
      </c>
      <c r="E55">
        <v>188.911</v>
      </c>
      <c r="I55">
        <f t="shared" si="1"/>
        <v>0.95022240487052578</v>
      </c>
      <c r="J55">
        <f t="shared" si="2"/>
        <v>0.89302087874096248</v>
      </c>
      <c r="K55" s="3">
        <f t="shared" si="3"/>
        <v>1.1503307693431866</v>
      </c>
      <c r="L55" s="2">
        <f t="shared" si="4"/>
        <v>0.82604276108608465</v>
      </c>
      <c r="M55" s="2">
        <f t="shared" si="5"/>
        <v>0.77631660609309583</v>
      </c>
      <c r="R55">
        <f t="shared" si="6"/>
        <v>0.96544540853654193</v>
      </c>
      <c r="S55">
        <f t="shared" si="7"/>
        <v>0.93368693831089211</v>
      </c>
    </row>
    <row r="56" spans="1:19" x14ac:dyDescent="0.3">
      <c r="A56">
        <v>30.413699999999999</v>
      </c>
      <c r="B56">
        <f t="shared" si="0"/>
        <v>22.002699999999997</v>
      </c>
      <c r="C56">
        <v>533.46</v>
      </c>
      <c r="D56">
        <v>79.832999999999998</v>
      </c>
      <c r="E56">
        <v>189.857</v>
      </c>
      <c r="I56">
        <f t="shared" si="1"/>
        <v>0.95901145560810308</v>
      </c>
      <c r="J56">
        <f t="shared" si="2"/>
        <v>0.92308386068814174</v>
      </c>
      <c r="K56" s="3">
        <f t="shared" si="3"/>
        <v>1.1560912221902875</v>
      </c>
      <c r="L56" s="2">
        <f t="shared" si="4"/>
        <v>0.82952922503052617</v>
      </c>
      <c r="M56" s="2">
        <f t="shared" si="5"/>
        <v>0.798452442999525</v>
      </c>
      <c r="R56">
        <f t="shared" si="6"/>
        <v>0.97773383497809363</v>
      </c>
      <c r="S56">
        <f t="shared" si="7"/>
        <v>1.0790077712848798</v>
      </c>
    </row>
    <row r="57" spans="1:19" x14ac:dyDescent="0.3">
      <c r="A57">
        <v>30.913900000000002</v>
      </c>
      <c r="B57">
        <f t="shared" si="0"/>
        <v>22.502900000000004</v>
      </c>
      <c r="C57">
        <v>533.31700000000001</v>
      </c>
      <c r="D57">
        <v>74.45</v>
      </c>
      <c r="E57">
        <v>189.893</v>
      </c>
      <c r="I57">
        <f t="shared" si="1"/>
        <v>0.95875438171661731</v>
      </c>
      <c r="J57">
        <f t="shared" si="2"/>
        <v>0.86084192537211623</v>
      </c>
      <c r="K57" s="3">
        <f t="shared" si="3"/>
        <v>1.1563104360407057</v>
      </c>
      <c r="L57" s="2">
        <f t="shared" si="4"/>
        <v>0.82914963995262791</v>
      </c>
      <c r="M57" s="2">
        <f t="shared" si="5"/>
        <v>0.74447302259045933</v>
      </c>
      <c r="R57">
        <f t="shared" si="6"/>
        <v>0.9763959455341199</v>
      </c>
      <c r="S57">
        <f t="shared" si="7"/>
        <v>0.72463515955768687</v>
      </c>
    </row>
    <row r="58" spans="1:19" x14ac:dyDescent="0.3">
      <c r="A58">
        <v>31.414100000000001</v>
      </c>
      <c r="B58">
        <f t="shared" si="0"/>
        <v>23.003100000000003</v>
      </c>
      <c r="C58">
        <v>544.23800000000006</v>
      </c>
      <c r="D58">
        <v>75.933000000000007</v>
      </c>
      <c r="E58">
        <v>188.125</v>
      </c>
      <c r="I58">
        <f t="shared" si="1"/>
        <v>0.97838727660413682</v>
      </c>
      <c r="J58">
        <f t="shared" si="2"/>
        <v>0.8779893877673729</v>
      </c>
      <c r="K58" s="3">
        <f t="shared" si="3"/>
        <v>1.1455446002757224</v>
      </c>
      <c r="L58" s="2">
        <f t="shared" si="4"/>
        <v>0.85408047523304442</v>
      </c>
      <c r="M58" s="2">
        <f t="shared" si="5"/>
        <v>0.76643841501766818</v>
      </c>
      <c r="R58">
        <f t="shared" si="6"/>
        <v>1.0642674222944843</v>
      </c>
      <c r="S58">
        <f t="shared" si="7"/>
        <v>0.86883703173516991</v>
      </c>
    </row>
    <row r="59" spans="1:19" x14ac:dyDescent="0.3">
      <c r="A59">
        <v>31.913699999999999</v>
      </c>
      <c r="B59">
        <f t="shared" si="0"/>
        <v>23.502699999999997</v>
      </c>
      <c r="C59">
        <v>538.77800000000002</v>
      </c>
      <c r="D59">
        <v>80.216999999999999</v>
      </c>
      <c r="E59">
        <v>192.518</v>
      </c>
      <c r="I59">
        <f t="shared" si="1"/>
        <v>0.96857172802013747</v>
      </c>
      <c r="J59">
        <f t="shared" si="2"/>
        <v>0.92752393186803284</v>
      </c>
      <c r="K59" s="3">
        <f t="shared" si="3"/>
        <v>1.1722947793003669</v>
      </c>
      <c r="L59" s="2">
        <f t="shared" si="4"/>
        <v>0.82621858010677773</v>
      </c>
      <c r="M59" s="2">
        <f t="shared" si="5"/>
        <v>0.79120367013967696</v>
      </c>
      <c r="R59">
        <f t="shared" si="6"/>
        <v>0.96606510205330898</v>
      </c>
      <c r="S59">
        <f t="shared" si="7"/>
        <v>1.0314198840735134</v>
      </c>
    </row>
    <row r="60" spans="1:19" x14ac:dyDescent="0.3">
      <c r="A60">
        <v>32.413899999999998</v>
      </c>
      <c r="B60">
        <f t="shared" si="0"/>
        <v>24.002899999999997</v>
      </c>
      <c r="C60">
        <v>526.39700000000005</v>
      </c>
      <c r="D60">
        <v>76.05</v>
      </c>
      <c r="E60">
        <v>185.804</v>
      </c>
      <c r="I60">
        <f t="shared" si="1"/>
        <v>0.94631416263213486</v>
      </c>
      <c r="J60">
        <f t="shared" si="2"/>
        <v>0.87934222195499578</v>
      </c>
      <c r="K60" s="3">
        <f t="shared" si="3"/>
        <v>1.1314113961973704</v>
      </c>
      <c r="L60" s="2">
        <f t="shared" si="4"/>
        <v>0.83640147678612742</v>
      </c>
      <c r="M60" s="2">
        <f t="shared" si="5"/>
        <v>0.77720820641406896</v>
      </c>
      <c r="R60">
        <f t="shared" si="6"/>
        <v>1.001955843733173</v>
      </c>
      <c r="S60">
        <f t="shared" si="7"/>
        <v>0.93954025670456254</v>
      </c>
    </row>
    <row r="61" spans="1:19" x14ac:dyDescent="0.3">
      <c r="A61">
        <v>32.913899999999998</v>
      </c>
      <c r="B61">
        <f t="shared" si="0"/>
        <v>24.502899999999997</v>
      </c>
      <c r="C61">
        <v>528.23800000000006</v>
      </c>
      <c r="D61">
        <v>77.900000000000006</v>
      </c>
      <c r="E61">
        <v>188.321</v>
      </c>
      <c r="I61">
        <f t="shared" si="1"/>
        <v>0.94962376427007311</v>
      </c>
      <c r="J61">
        <f t="shared" si="2"/>
        <v>0.90073318987895046</v>
      </c>
      <c r="K61" s="3">
        <f t="shared" si="3"/>
        <v>1.1467380979057771</v>
      </c>
      <c r="L61" s="2">
        <f t="shared" si="4"/>
        <v>0.82810867276871436</v>
      </c>
      <c r="M61" s="2">
        <f t="shared" si="5"/>
        <v>0.78547419984031974</v>
      </c>
      <c r="R61">
        <f t="shared" si="6"/>
        <v>0.97272694196160769</v>
      </c>
      <c r="S61">
        <f t="shared" si="7"/>
        <v>0.99380615390727389</v>
      </c>
    </row>
    <row r="62" spans="1:19" x14ac:dyDescent="0.3">
      <c r="A62">
        <v>33.413899999999998</v>
      </c>
      <c r="B62">
        <f t="shared" si="0"/>
        <v>25.002899999999997</v>
      </c>
      <c r="C62">
        <v>537.66700000000003</v>
      </c>
      <c r="D62">
        <v>78.332999999999998</v>
      </c>
      <c r="E62">
        <v>188.714</v>
      </c>
      <c r="I62">
        <f t="shared" si="1"/>
        <v>0.96657446163244098</v>
      </c>
      <c r="J62">
        <f t="shared" si="2"/>
        <v>0.90573983264169211</v>
      </c>
      <c r="K62" s="3">
        <f t="shared" si="3"/>
        <v>1.1491311824395092</v>
      </c>
      <c r="L62" s="2">
        <f t="shared" si="4"/>
        <v>0.84113500390833051</v>
      </c>
      <c r="M62" s="2">
        <f t="shared" si="5"/>
        <v>0.78819533094462058</v>
      </c>
      <c r="R62">
        <f t="shared" si="6"/>
        <v>1.0186396817929411</v>
      </c>
      <c r="S62">
        <f t="shared" si="7"/>
        <v>1.0116702645067503</v>
      </c>
    </row>
    <row r="63" spans="1:19" x14ac:dyDescent="0.3">
      <c r="A63">
        <v>33.913899999999998</v>
      </c>
      <c r="B63">
        <f t="shared" si="0"/>
        <v>25.502899999999997</v>
      </c>
      <c r="C63">
        <v>531.30200000000002</v>
      </c>
      <c r="D63">
        <v>76.533000000000001</v>
      </c>
      <c r="E63">
        <v>185.821</v>
      </c>
      <c r="I63">
        <f t="shared" si="1"/>
        <v>0.95513197688204621</v>
      </c>
      <c r="J63">
        <f t="shared" si="2"/>
        <v>0.88492699898595262</v>
      </c>
      <c r="K63" s="3">
        <f t="shared" si="3"/>
        <v>1.1315149138489569</v>
      </c>
      <c r="L63" s="2">
        <f t="shared" si="4"/>
        <v>0.84411788584657088</v>
      </c>
      <c r="M63" s="2">
        <f t="shared" si="5"/>
        <v>0.78207276647886881</v>
      </c>
      <c r="R63">
        <f t="shared" si="6"/>
        <v>1.0291531779500831</v>
      </c>
      <c r="S63">
        <f t="shared" si="7"/>
        <v>0.97147588776549565</v>
      </c>
    </row>
    <row r="64" spans="1:19" x14ac:dyDescent="0.3">
      <c r="A64">
        <v>34.414000000000001</v>
      </c>
      <c r="B64">
        <f t="shared" si="0"/>
        <v>26.003</v>
      </c>
      <c r="C64">
        <v>534.38099999999997</v>
      </c>
      <c r="D64">
        <v>80.233000000000004</v>
      </c>
      <c r="E64">
        <v>189.982</v>
      </c>
      <c r="I64">
        <f t="shared" si="1"/>
        <v>0.96066715528683255</v>
      </c>
      <c r="J64">
        <f t="shared" si="2"/>
        <v>0.92770893483386174</v>
      </c>
      <c r="K64" s="3">
        <f t="shared" si="3"/>
        <v>1.1568523813931284</v>
      </c>
      <c r="L64" s="2">
        <f t="shared" si="4"/>
        <v>0.83041464126128028</v>
      </c>
      <c r="M64" s="2">
        <f t="shared" si="5"/>
        <v>0.80192507683363812</v>
      </c>
      <c r="R64">
        <f t="shared" si="6"/>
        <v>0.98085458207175702</v>
      </c>
      <c r="S64">
        <f t="shared" si="7"/>
        <v>1.101805465517999</v>
      </c>
    </row>
    <row r="65" spans="1:19" x14ac:dyDescent="0.3">
      <c r="A65">
        <v>34.913499999999999</v>
      </c>
      <c r="B65">
        <f t="shared" si="0"/>
        <v>26.502499999999998</v>
      </c>
      <c r="C65">
        <v>529.69799999999998</v>
      </c>
      <c r="D65">
        <v>77.332999999999998</v>
      </c>
      <c r="E65">
        <v>187.554</v>
      </c>
      <c r="I65">
        <f t="shared" si="1"/>
        <v>0.95224843477055632</v>
      </c>
      <c r="J65">
        <f t="shared" si="2"/>
        <v>0.89417714727739239</v>
      </c>
      <c r="K65" s="3">
        <f t="shared" si="3"/>
        <v>1.1420676250371447</v>
      </c>
      <c r="L65" s="2">
        <f t="shared" si="4"/>
        <v>0.83379338832022787</v>
      </c>
      <c r="M65" s="2">
        <f t="shared" si="5"/>
        <v>0.78294588487989947</v>
      </c>
      <c r="R65">
        <f t="shared" si="6"/>
        <v>0.99276334847809866</v>
      </c>
      <c r="S65">
        <f t="shared" si="7"/>
        <v>0.97720787313650459</v>
      </c>
    </row>
    <row r="66" spans="1:19" x14ac:dyDescent="0.3">
      <c r="A66">
        <v>35.413699999999999</v>
      </c>
      <c r="B66">
        <f t="shared" si="0"/>
        <v>27.002699999999997</v>
      </c>
      <c r="C66">
        <v>540.39700000000005</v>
      </c>
      <c r="D66">
        <v>76.332999999999998</v>
      </c>
      <c r="E66">
        <v>186.268</v>
      </c>
      <c r="I66">
        <f t="shared" si="1"/>
        <v>0.97148223592444061</v>
      </c>
      <c r="J66">
        <f t="shared" si="2"/>
        <v>0.88261446191309267</v>
      </c>
      <c r="K66" s="3">
        <f t="shared" si="3"/>
        <v>1.1342368191583163</v>
      </c>
      <c r="L66" s="2">
        <f t="shared" si="4"/>
        <v>0.85650740613882459</v>
      </c>
      <c r="M66" s="2">
        <f t="shared" si="5"/>
        <v>0.77815712468940557</v>
      </c>
      <c r="R66">
        <f t="shared" si="6"/>
        <v>1.0728214077621829</v>
      </c>
      <c r="S66">
        <f t="shared" si="7"/>
        <v>0.94576986504415517</v>
      </c>
    </row>
    <row r="67" spans="1:19" x14ac:dyDescent="0.3">
      <c r="A67">
        <v>35.913800000000002</v>
      </c>
      <c r="B67">
        <f t="shared" ref="B67:B76" si="8">A67-$A$12</f>
        <v>27.502800000000001</v>
      </c>
      <c r="C67">
        <v>529.11099999999999</v>
      </c>
      <c r="D67">
        <v>79.933000000000007</v>
      </c>
      <c r="E67">
        <v>189.911</v>
      </c>
      <c r="I67">
        <f t="shared" ref="I67:I76" si="9">C67/$F$2</f>
        <v>0.95119317341180032</v>
      </c>
      <c r="J67">
        <f t="shared" ref="J67:J76" si="10">D67/$G$2</f>
        <v>0.92424012922457188</v>
      </c>
      <c r="K67" s="3">
        <f t="shared" ref="K67:K76" si="11">E67/$H$2</f>
        <v>1.1564200429659148</v>
      </c>
      <c r="L67" s="2">
        <f t="shared" ref="L67:L76" si="12">I67/K67</f>
        <v>0.82253259029672188</v>
      </c>
      <c r="M67" s="2">
        <f t="shared" ref="M67:M76" si="13">J67/K67</f>
        <v>0.79922527704910562</v>
      </c>
      <c r="R67">
        <f t="shared" ref="R67:R76" si="14">(L67-$L$12)/($N$12-$L$12)</f>
        <v>0.95307342470715584</v>
      </c>
      <c r="S67">
        <f t="shared" ref="S67:S76" si="15">(M67-$M$12)/($O$12-$M$12)</f>
        <v>1.084081394130515</v>
      </c>
    </row>
    <row r="68" spans="1:19" x14ac:dyDescent="0.3">
      <c r="A68">
        <v>36.413800000000002</v>
      </c>
      <c r="B68">
        <f t="shared" si="8"/>
        <v>28.002800000000001</v>
      </c>
      <c r="C68">
        <v>540.73</v>
      </c>
      <c r="D68">
        <v>78.349999999999994</v>
      </c>
      <c r="E68">
        <v>188.5</v>
      </c>
      <c r="I68">
        <f t="shared" si="9"/>
        <v>0.97208087652489328</v>
      </c>
      <c r="J68">
        <f t="shared" si="10"/>
        <v>0.90593639829288519</v>
      </c>
      <c r="K68" s="3">
        <f t="shared" si="11"/>
        <v>1.1478280778842453</v>
      </c>
      <c r="L68" s="2">
        <f t="shared" si="12"/>
        <v>0.84688717348394082</v>
      </c>
      <c r="M68" s="2">
        <f t="shared" si="13"/>
        <v>0.78926140225003794</v>
      </c>
      <c r="R68">
        <f t="shared" si="14"/>
        <v>1.0389138374519757</v>
      </c>
      <c r="S68">
        <f t="shared" si="15"/>
        <v>1.0186689775334046</v>
      </c>
    </row>
    <row r="69" spans="1:19" x14ac:dyDescent="0.3">
      <c r="A69">
        <v>36.913400000000003</v>
      </c>
      <c r="B69">
        <f t="shared" si="8"/>
        <v>28.502400000000002</v>
      </c>
      <c r="C69">
        <v>531.92100000000005</v>
      </c>
      <c r="D69">
        <v>78.983000000000004</v>
      </c>
      <c r="E69">
        <v>188.661</v>
      </c>
      <c r="I69">
        <f t="shared" si="9"/>
        <v>0.95624476526547042</v>
      </c>
      <c r="J69">
        <f t="shared" si="10"/>
        <v>0.91325557812848701</v>
      </c>
      <c r="K69" s="3">
        <f t="shared" si="11"/>
        <v>1.1488084509375047</v>
      </c>
      <c r="L69" s="2">
        <f t="shared" si="12"/>
        <v>0.83237964038749068</v>
      </c>
      <c r="M69" s="2">
        <f t="shared" si="13"/>
        <v>0.79495896585998238</v>
      </c>
      <c r="R69">
        <f t="shared" si="14"/>
        <v>0.98778043806939242</v>
      </c>
      <c r="S69">
        <f t="shared" si="15"/>
        <v>1.0560732416332601</v>
      </c>
    </row>
    <row r="70" spans="1:19" x14ac:dyDescent="0.3">
      <c r="A70">
        <v>37.413800000000002</v>
      </c>
      <c r="B70">
        <f t="shared" si="8"/>
        <v>29.002800000000001</v>
      </c>
      <c r="C70">
        <v>529.048</v>
      </c>
      <c r="D70">
        <v>77.417000000000002</v>
      </c>
      <c r="E70">
        <v>183.732</v>
      </c>
      <c r="I70">
        <f t="shared" si="9"/>
        <v>0.95107991708198492</v>
      </c>
      <c r="J70">
        <f t="shared" si="10"/>
        <v>0.89514841284799362</v>
      </c>
      <c r="K70" s="3">
        <f t="shared" si="11"/>
        <v>1.1187944212510779</v>
      </c>
      <c r="L70" s="2">
        <f t="shared" si="12"/>
        <v>0.8500935462463709</v>
      </c>
      <c r="M70" s="2">
        <f t="shared" si="13"/>
        <v>0.80010089060598377</v>
      </c>
      <c r="R70">
        <f t="shared" si="14"/>
        <v>1.050215051651576</v>
      </c>
      <c r="S70">
        <f t="shared" si="15"/>
        <v>1.0898297600941209</v>
      </c>
    </row>
    <row r="71" spans="1:19" x14ac:dyDescent="0.3">
      <c r="A71">
        <v>37.913899999999998</v>
      </c>
      <c r="B71">
        <f t="shared" si="8"/>
        <v>29.502899999999997</v>
      </c>
      <c r="C71">
        <v>539.66700000000003</v>
      </c>
      <c r="D71">
        <v>76.8</v>
      </c>
      <c r="E71">
        <v>186.286</v>
      </c>
      <c r="I71">
        <f t="shared" si="9"/>
        <v>0.97016990067419895</v>
      </c>
      <c r="J71">
        <f t="shared" si="10"/>
        <v>0.8880142359782206</v>
      </c>
      <c r="K71" s="3">
        <f t="shared" si="11"/>
        <v>1.1343464260835254</v>
      </c>
      <c r="L71" s="2">
        <f t="shared" si="12"/>
        <v>0.85526773687984659</v>
      </c>
      <c r="M71" s="2">
        <f t="shared" si="13"/>
        <v>0.78284218608966061</v>
      </c>
      <c r="R71">
        <f t="shared" si="14"/>
        <v>1.0684520568256586</v>
      </c>
      <c r="S71">
        <f t="shared" si="15"/>
        <v>0.97652709496490853</v>
      </c>
    </row>
    <row r="72" spans="1:19" x14ac:dyDescent="0.3">
      <c r="A72">
        <v>38.413899999999998</v>
      </c>
      <c r="B72">
        <f t="shared" si="8"/>
        <v>30.002899999999997</v>
      </c>
      <c r="C72">
        <v>534.19000000000005</v>
      </c>
      <c r="D72">
        <v>76</v>
      </c>
      <c r="E72">
        <v>186.321</v>
      </c>
      <c r="I72">
        <f t="shared" si="9"/>
        <v>0.96032379085834485</v>
      </c>
      <c r="J72">
        <f t="shared" si="10"/>
        <v>0.87876408768678083</v>
      </c>
      <c r="K72" s="3">
        <f t="shared" si="11"/>
        <v>1.1345595506603208</v>
      </c>
      <c r="L72" s="2">
        <f t="shared" si="12"/>
        <v>0.8464287223173349</v>
      </c>
      <c r="M72" s="2">
        <f t="shared" si="13"/>
        <v>0.77454205658516084</v>
      </c>
      <c r="R72">
        <f t="shared" si="14"/>
        <v>1.037297975785928</v>
      </c>
      <c r="S72">
        <f t="shared" si="15"/>
        <v>0.92203709585240379</v>
      </c>
    </row>
    <row r="73" spans="1:19" x14ac:dyDescent="0.3">
      <c r="A73">
        <v>38.913499999999999</v>
      </c>
      <c r="B73">
        <f t="shared" si="8"/>
        <v>30.502499999999998</v>
      </c>
      <c r="C73">
        <v>538.66700000000003</v>
      </c>
      <c r="D73">
        <v>80.417000000000002</v>
      </c>
      <c r="E73">
        <v>193.214</v>
      </c>
      <c r="I73">
        <f t="shared" si="9"/>
        <v>0.96837218115332002</v>
      </c>
      <c r="J73">
        <f t="shared" si="10"/>
        <v>0.92983646894089289</v>
      </c>
      <c r="K73" s="3">
        <f t="shared" si="11"/>
        <v>1.1765329137417857</v>
      </c>
      <c r="L73" s="2">
        <f t="shared" si="12"/>
        <v>0.8230727503181855</v>
      </c>
      <c r="M73" s="2">
        <f t="shared" si="13"/>
        <v>0.79031913011569566</v>
      </c>
      <c r="R73">
        <f t="shared" si="14"/>
        <v>0.9549772782378958</v>
      </c>
      <c r="S73">
        <f t="shared" si="15"/>
        <v>1.0256129162309531</v>
      </c>
    </row>
    <row r="74" spans="1:19" x14ac:dyDescent="0.3">
      <c r="A74">
        <v>39.413699999999999</v>
      </c>
      <c r="B74">
        <f t="shared" si="8"/>
        <v>31.002699999999997</v>
      </c>
      <c r="C74">
        <v>528.14300000000003</v>
      </c>
      <c r="D74">
        <v>75.599999999999994</v>
      </c>
      <c r="E74">
        <v>184.589</v>
      </c>
      <c r="I74">
        <f t="shared" si="9"/>
        <v>0.9494529809155895</v>
      </c>
      <c r="J74">
        <f t="shared" si="10"/>
        <v>0.87413901354106083</v>
      </c>
      <c r="K74" s="3">
        <f t="shared" si="11"/>
        <v>1.1240129287457559</v>
      </c>
      <c r="L74" s="2">
        <f t="shared" si="12"/>
        <v>0.84469934164818605</v>
      </c>
      <c r="M74" s="2">
        <f t="shared" si="13"/>
        <v>0.77769480331198682</v>
      </c>
      <c r="R74">
        <f t="shared" si="14"/>
        <v>1.0312025830094853</v>
      </c>
      <c r="S74">
        <f t="shared" si="15"/>
        <v>0.94273474475698593</v>
      </c>
    </row>
    <row r="75" spans="1:19" x14ac:dyDescent="0.3">
      <c r="A75">
        <v>39.913699999999999</v>
      </c>
      <c r="B75">
        <f t="shared" si="8"/>
        <v>31.502699999999997</v>
      </c>
      <c r="C75">
        <v>526.92100000000005</v>
      </c>
      <c r="D75">
        <v>76.933000000000007</v>
      </c>
      <c r="E75">
        <v>188.518</v>
      </c>
      <c r="I75">
        <f t="shared" si="9"/>
        <v>0.94725616766107545</v>
      </c>
      <c r="J75">
        <f t="shared" si="10"/>
        <v>0.88955207313167262</v>
      </c>
      <c r="K75" s="3">
        <f t="shared" si="11"/>
        <v>1.1479376848094545</v>
      </c>
      <c r="L75" s="2">
        <f t="shared" si="12"/>
        <v>0.82518082662153391</v>
      </c>
      <c r="M75" s="2">
        <f t="shared" si="13"/>
        <v>0.7749132073134517</v>
      </c>
      <c r="R75">
        <f t="shared" si="14"/>
        <v>0.96240742551596403</v>
      </c>
      <c r="S75">
        <f t="shared" si="15"/>
        <v>0.92447368468444668</v>
      </c>
    </row>
    <row r="76" spans="1:19" x14ac:dyDescent="0.3">
      <c r="A76">
        <v>40.413699999999999</v>
      </c>
      <c r="B76">
        <f t="shared" si="8"/>
        <v>32.002699999999997</v>
      </c>
      <c r="C76">
        <v>529.31700000000001</v>
      </c>
      <c r="D76">
        <v>82.016999999999996</v>
      </c>
      <c r="E76">
        <v>197.49299999999999</v>
      </c>
      <c r="I76">
        <f t="shared" si="9"/>
        <v>0.95156350363310138</v>
      </c>
      <c r="J76">
        <f t="shared" si="10"/>
        <v>0.94833676552377233</v>
      </c>
      <c r="K76" s="3">
        <f t="shared" si="11"/>
        <v>1.2025889155734391</v>
      </c>
      <c r="L76" s="2">
        <f t="shared" si="12"/>
        <v>0.79126249320147823</v>
      </c>
      <c r="M76" s="2">
        <f t="shared" si="13"/>
        <v>0.78857933350530685</v>
      </c>
      <c r="R76">
        <f t="shared" si="14"/>
        <v>0.84285852098279346</v>
      </c>
      <c r="S76">
        <f t="shared" si="15"/>
        <v>1.0141912250748537</v>
      </c>
    </row>
    <row r="77" spans="1:19" x14ac:dyDescent="0.3">
      <c r="K77" s="3"/>
      <c r="L77" s="2"/>
      <c r="M77" s="2"/>
    </row>
    <row r="78" spans="1:19" x14ac:dyDescent="0.3">
      <c r="K78" s="3"/>
      <c r="L78" s="2"/>
      <c r="M78" s="2"/>
    </row>
    <row r="79" spans="1:19" x14ac:dyDescent="0.3">
      <c r="K79" s="3"/>
      <c r="L79" s="2"/>
      <c r="M79" s="2"/>
    </row>
    <row r="80" spans="1:19" x14ac:dyDescent="0.3">
      <c r="K80" s="3"/>
      <c r="L80" s="2"/>
      <c r="M80" s="2"/>
    </row>
    <row r="81" spans="11:13" x14ac:dyDescent="0.3">
      <c r="K81" s="3"/>
      <c r="L81" s="2"/>
      <c r="M81" s="2"/>
    </row>
    <row r="82" spans="11:13" x14ac:dyDescent="0.3">
      <c r="K82" s="3"/>
      <c r="L82" s="2"/>
      <c r="M82" s="2"/>
    </row>
    <row r="83" spans="11:13" x14ac:dyDescent="0.3">
      <c r="K83" s="3"/>
      <c r="L83" s="2"/>
      <c r="M83" s="2"/>
    </row>
    <row r="84" spans="11:13" x14ac:dyDescent="0.3">
      <c r="K84" s="3"/>
      <c r="L84" s="2"/>
      <c r="M84" s="2"/>
    </row>
    <row r="85" spans="11:13" x14ac:dyDescent="0.3">
      <c r="K85" s="3"/>
      <c r="L85" s="2"/>
      <c r="M85" s="2"/>
    </row>
    <row r="86" spans="11:13" x14ac:dyDescent="0.3">
      <c r="K86" s="3"/>
      <c r="L86" s="2"/>
      <c r="M86" s="2"/>
    </row>
    <row r="87" spans="11:13" x14ac:dyDescent="0.3">
      <c r="K87" s="3"/>
      <c r="L87" s="2"/>
      <c r="M87" s="2"/>
    </row>
    <row r="88" spans="11:13" x14ac:dyDescent="0.3">
      <c r="K88" s="3"/>
      <c r="L88" s="2"/>
      <c r="M88" s="2"/>
    </row>
    <row r="89" spans="11:13" x14ac:dyDescent="0.3">
      <c r="K89" s="3"/>
      <c r="L89" s="2"/>
      <c r="M89" s="2"/>
    </row>
    <row r="90" spans="11:13" x14ac:dyDescent="0.3">
      <c r="K90" s="3"/>
      <c r="L90" s="2"/>
      <c r="M90" s="2"/>
    </row>
    <row r="91" spans="11:13" x14ac:dyDescent="0.3">
      <c r="K91" s="3"/>
      <c r="L91" s="2"/>
      <c r="M91" s="2"/>
    </row>
    <row r="92" spans="11:13" x14ac:dyDescent="0.3">
      <c r="K92" s="3"/>
      <c r="L92" s="2"/>
      <c r="M92" s="2"/>
    </row>
    <row r="93" spans="11:13" x14ac:dyDescent="0.3">
      <c r="K93" s="3"/>
      <c r="L93" s="2"/>
      <c r="M93" s="2"/>
    </row>
    <row r="94" spans="11:13" x14ac:dyDescent="0.3">
      <c r="K94" s="3"/>
      <c r="L94" s="2"/>
      <c r="M94" s="2"/>
    </row>
    <row r="95" spans="11:13" x14ac:dyDescent="0.3">
      <c r="K95" s="3"/>
      <c r="L95" s="2"/>
      <c r="M95" s="2"/>
    </row>
    <row r="96" spans="11:13" x14ac:dyDescent="0.3">
      <c r="K96" s="3"/>
      <c r="L96" s="2"/>
      <c r="M96" s="2"/>
    </row>
    <row r="97" spans="11:13" x14ac:dyDescent="0.3">
      <c r="K97" s="3"/>
      <c r="L97" s="2"/>
      <c r="M97" s="2"/>
    </row>
    <row r="98" spans="11:13" x14ac:dyDescent="0.3">
      <c r="K98" s="3"/>
      <c r="L98" s="2"/>
      <c r="M9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5180-75BB-405D-802A-2E9930D391BD}">
  <dimension ref="A1:S76"/>
  <sheetViews>
    <sheetView tabSelected="1" topLeftCell="C1" workbookViewId="0">
      <selection activeCell="H15" sqref="H15"/>
    </sheetView>
  </sheetViews>
  <sheetFormatPr baseColWidth="10" defaultRowHeight="14.4" x14ac:dyDescent="0.3"/>
  <sheetData>
    <row r="1" spans="1:19" x14ac:dyDescent="0.3">
      <c r="A1" t="s">
        <v>0</v>
      </c>
      <c r="B1" t="s">
        <v>2</v>
      </c>
      <c r="C1" t="s">
        <v>13</v>
      </c>
      <c r="D1" t="s">
        <v>1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-9.3445999999999998</v>
      </c>
      <c r="C2">
        <v>1821.857</v>
      </c>
      <c r="D2">
        <v>556.96900000000005</v>
      </c>
      <c r="E2">
        <v>406.89299999999997</v>
      </c>
      <c r="F2">
        <f>AVERAGE(C2:C11)</f>
        <v>1833.5841999999998</v>
      </c>
      <c r="G2">
        <f>AVERAGE(D2:D11)</f>
        <v>550.92499999999995</v>
      </c>
      <c r="H2">
        <f>AVERAGE(E2:E11)</f>
        <v>410.05889999999999</v>
      </c>
      <c r="I2">
        <f>C2/$F$2</f>
        <v>0.99360422062973719</v>
      </c>
      <c r="J2">
        <f>D2/$G$2</f>
        <v>1.0109706402867906</v>
      </c>
      <c r="K2" s="3">
        <f>E2/$H$2</f>
        <v>0.99227940181276397</v>
      </c>
      <c r="L2" s="2">
        <f>I2/K2</f>
        <v>1.0013351267944823</v>
      </c>
      <c r="M2" s="2">
        <f>J2/K2</f>
        <v>1.0188366688252122</v>
      </c>
      <c r="R2">
        <f>(L2-$L$12)/($N$12-$L$12)</f>
        <v>1.1099050591501571</v>
      </c>
      <c r="S2">
        <f>(M2-$M$12)/($O$12-$M$12)</f>
        <v>2.577106134137952</v>
      </c>
    </row>
    <row r="3" spans="1:19" x14ac:dyDescent="0.3">
      <c r="A3">
        <v>0.50309999999999999</v>
      </c>
      <c r="B3">
        <f t="shared" ref="B3:B66" si="0">A3-$A$12</f>
        <v>-8.8414999999999999</v>
      </c>
      <c r="C3">
        <v>1848.079</v>
      </c>
      <c r="D3">
        <v>543.98400000000004</v>
      </c>
      <c r="E3">
        <v>414.01799999999997</v>
      </c>
      <c r="I3">
        <f t="shared" ref="I3:I66" si="1">C3/$F$2</f>
        <v>1.0079051728303505</v>
      </c>
      <c r="J3">
        <f t="shared" ref="J3:J66" si="2">D3/$G$2</f>
        <v>0.9874011889095613</v>
      </c>
      <c r="K3" s="3">
        <f t="shared" ref="K3:K66" si="3">E3/$H$2</f>
        <v>1.0096549544467879</v>
      </c>
      <c r="L3" s="2">
        <f t="shared" ref="L3:L66" si="4">I3/K3</f>
        <v>0.99826695089373763</v>
      </c>
      <c r="M3" s="2">
        <f t="shared" ref="M3:M66" si="5">J3/K3</f>
        <v>0.97795903893779246</v>
      </c>
      <c r="R3">
        <f t="shared" ref="R3:R66" si="6">(L3-$L$12)/($N$12-$L$12)</f>
        <v>1.1038008613311714</v>
      </c>
      <c r="S3">
        <f t="shared" ref="S3:S66" si="7">(M3-$M$12)/($O$12-$M$12)</f>
        <v>2.4179515779780663</v>
      </c>
    </row>
    <row r="4" spans="1:19" x14ac:dyDescent="0.3">
      <c r="A4">
        <v>1.0026999999999999</v>
      </c>
      <c r="B4">
        <f t="shared" si="0"/>
        <v>-8.341899999999999</v>
      </c>
      <c r="C4">
        <v>1863.7619999999999</v>
      </c>
      <c r="D4">
        <v>556.43799999999999</v>
      </c>
      <c r="E4">
        <v>413.536</v>
      </c>
      <c r="I4">
        <f t="shared" si="1"/>
        <v>1.0164583660788526</v>
      </c>
      <c r="J4">
        <f t="shared" si="2"/>
        <v>1.010006806734129</v>
      </c>
      <c r="K4" s="3">
        <f t="shared" si="3"/>
        <v>1.0084795135528091</v>
      </c>
      <c r="L4" s="2">
        <f t="shared" si="4"/>
        <v>1.0079117646107996</v>
      </c>
      <c r="M4" s="2">
        <f t="shared" si="5"/>
        <v>1.0015144513703995</v>
      </c>
      <c r="R4">
        <f t="shared" si="6"/>
        <v>1.122989412692234</v>
      </c>
      <c r="S4">
        <f t="shared" si="7"/>
        <v>2.50966313809541</v>
      </c>
    </row>
    <row r="5" spans="1:19" x14ac:dyDescent="0.3">
      <c r="A5">
        <v>1.5028999999999999</v>
      </c>
      <c r="B5">
        <f t="shared" si="0"/>
        <v>-7.8416999999999994</v>
      </c>
      <c r="C5">
        <v>1835.9369999999999</v>
      </c>
      <c r="D5">
        <v>553.70299999999997</v>
      </c>
      <c r="E5">
        <v>407.839</v>
      </c>
      <c r="I5">
        <f t="shared" si="1"/>
        <v>1.0012831698702465</v>
      </c>
      <c r="J5">
        <f t="shared" si="2"/>
        <v>1.0050424286427373</v>
      </c>
      <c r="K5" s="3">
        <f t="shared" si="3"/>
        <v>0.99458638746775163</v>
      </c>
      <c r="L5" s="2">
        <f t="shared" si="4"/>
        <v>1.0067332335198604</v>
      </c>
      <c r="M5" s="2">
        <f t="shared" si="5"/>
        <v>1.0105129542357876</v>
      </c>
      <c r="R5">
        <f t="shared" si="6"/>
        <v>1.1206447013237717</v>
      </c>
      <c r="S5">
        <f t="shared" si="7"/>
        <v>2.5446982595931229</v>
      </c>
    </row>
    <row r="6" spans="1:19" x14ac:dyDescent="0.3">
      <c r="A6">
        <v>2.0024999999999999</v>
      </c>
      <c r="B6">
        <f t="shared" si="0"/>
        <v>-7.3421000000000003</v>
      </c>
      <c r="C6">
        <v>1842.127</v>
      </c>
      <c r="D6">
        <v>547.89099999999996</v>
      </c>
      <c r="E6">
        <v>413.57100000000003</v>
      </c>
      <c r="I6">
        <f t="shared" si="1"/>
        <v>1.0046590715604988</v>
      </c>
      <c r="J6">
        <f t="shared" si="2"/>
        <v>0.99449289830739218</v>
      </c>
      <c r="K6" s="3">
        <f t="shared" si="3"/>
        <v>1.0085648671446956</v>
      </c>
      <c r="L6" s="2">
        <f t="shared" si="4"/>
        <v>0.99612737295197051</v>
      </c>
      <c r="M6" s="2">
        <f t="shared" si="5"/>
        <v>0.98604753219578034</v>
      </c>
      <c r="R6">
        <f t="shared" si="6"/>
        <v>1.0995441278751412</v>
      </c>
      <c r="S6">
        <f t="shared" si="7"/>
        <v>2.4494436326305173</v>
      </c>
    </row>
    <row r="7" spans="1:19" x14ac:dyDescent="0.3">
      <c r="A7">
        <v>2.5026999999999999</v>
      </c>
      <c r="B7">
        <f t="shared" si="0"/>
        <v>-6.8418999999999999</v>
      </c>
      <c r="C7">
        <v>1828.1590000000001</v>
      </c>
      <c r="D7">
        <v>568.23400000000004</v>
      </c>
      <c r="E7">
        <v>404.089</v>
      </c>
      <c r="I7">
        <f t="shared" si="1"/>
        <v>0.99704120487076642</v>
      </c>
      <c r="J7">
        <f t="shared" si="2"/>
        <v>1.0314180696102011</v>
      </c>
      <c r="K7" s="3">
        <f t="shared" si="3"/>
        <v>0.98544135976563363</v>
      </c>
      <c r="L7" s="2">
        <f t="shared" si="4"/>
        <v>1.0117712180336043</v>
      </c>
      <c r="M7" s="2">
        <f t="shared" si="5"/>
        <v>1.0466559571393492</v>
      </c>
      <c r="R7">
        <f t="shared" si="6"/>
        <v>1.1306678730960993</v>
      </c>
      <c r="S7">
        <f t="shared" si="7"/>
        <v>2.6854188346666823</v>
      </c>
    </row>
    <row r="8" spans="1:19" x14ac:dyDescent="0.3">
      <c r="A8">
        <v>3.0026999999999999</v>
      </c>
      <c r="B8">
        <f t="shared" si="0"/>
        <v>-6.3418999999999999</v>
      </c>
      <c r="C8">
        <v>1819.6669999999999</v>
      </c>
      <c r="D8">
        <v>550.73400000000004</v>
      </c>
      <c r="E8">
        <v>418.94600000000003</v>
      </c>
      <c r="I8">
        <f t="shared" si="1"/>
        <v>0.99240983861008403</v>
      </c>
      <c r="J8">
        <f t="shared" si="2"/>
        <v>0.99965331034169824</v>
      </c>
      <c r="K8" s="3">
        <f t="shared" si="3"/>
        <v>1.0216727401843979</v>
      </c>
      <c r="L8" s="2">
        <f t="shared" si="4"/>
        <v>0.97135785225214843</v>
      </c>
      <c r="M8" s="2">
        <f t="shared" si="5"/>
        <v>0.97844766824382001</v>
      </c>
      <c r="R8">
        <f t="shared" si="6"/>
        <v>1.0502646670083506</v>
      </c>
      <c r="S8">
        <f t="shared" si="7"/>
        <v>2.4198540263475463</v>
      </c>
    </row>
    <row r="9" spans="1:19" x14ac:dyDescent="0.3">
      <c r="A9">
        <v>3.5028000000000001</v>
      </c>
      <c r="B9">
        <f t="shared" si="0"/>
        <v>-5.8417999999999992</v>
      </c>
      <c r="C9">
        <v>1843.4290000000001</v>
      </c>
      <c r="D9">
        <v>547.46900000000005</v>
      </c>
      <c r="E9">
        <v>412.60700000000003</v>
      </c>
      <c r="I9">
        <f t="shared" si="1"/>
        <v>1.0053691562132792</v>
      </c>
      <c r="J9">
        <f t="shared" si="2"/>
        <v>0.99372691382674605</v>
      </c>
      <c r="K9" s="3">
        <f t="shared" si="3"/>
        <v>1.0062139853567378</v>
      </c>
      <c r="L9" s="2">
        <f t="shared" si="4"/>
        <v>0.99916038819202146</v>
      </c>
      <c r="M9" s="2">
        <f t="shared" si="5"/>
        <v>0.98759004375638382</v>
      </c>
      <c r="R9">
        <f t="shared" si="6"/>
        <v>1.1055783728507231</v>
      </c>
      <c r="S9">
        <f t="shared" si="7"/>
        <v>2.4554493072128118</v>
      </c>
    </row>
    <row r="10" spans="1:19" x14ac:dyDescent="0.3">
      <c r="A10">
        <v>4.0027999999999997</v>
      </c>
      <c r="B10">
        <f t="shared" si="0"/>
        <v>-5.3418000000000001</v>
      </c>
      <c r="C10">
        <v>1813.079</v>
      </c>
      <c r="D10">
        <v>542.53099999999995</v>
      </c>
      <c r="E10">
        <v>408.05399999999997</v>
      </c>
      <c r="I10">
        <f t="shared" si="1"/>
        <v>0.98881687571260712</v>
      </c>
      <c r="J10">
        <f t="shared" si="2"/>
        <v>0.98476380632572491</v>
      </c>
      <c r="K10" s="3">
        <f t="shared" si="3"/>
        <v>0.99511070238933963</v>
      </c>
      <c r="L10" s="2">
        <f t="shared" si="4"/>
        <v>0.99367524973691823</v>
      </c>
      <c r="M10" s="2">
        <f t="shared" si="5"/>
        <v>0.98960226632195691</v>
      </c>
      <c r="R10">
        <f t="shared" si="6"/>
        <v>1.0946655792959763</v>
      </c>
      <c r="S10">
        <f t="shared" si="7"/>
        <v>2.4632837729144859</v>
      </c>
    </row>
    <row r="11" spans="1:19" x14ac:dyDescent="0.3">
      <c r="A11">
        <v>4.5027999999999997</v>
      </c>
      <c r="B11">
        <f t="shared" si="0"/>
        <v>-4.8418000000000001</v>
      </c>
      <c r="C11">
        <v>1819.7460000000001</v>
      </c>
      <c r="D11">
        <v>541.29700000000003</v>
      </c>
      <c r="E11">
        <v>401.036</v>
      </c>
      <c r="I11">
        <f t="shared" si="1"/>
        <v>0.99245292362357851</v>
      </c>
      <c r="J11">
        <f t="shared" si="2"/>
        <v>0.98252393701502028</v>
      </c>
      <c r="K11" s="3">
        <f t="shared" si="3"/>
        <v>0.97799608787908276</v>
      </c>
      <c r="L11" s="2">
        <f t="shared" si="4"/>
        <v>1.0147820997687704</v>
      </c>
      <c r="M11" s="2">
        <f t="shared" si="5"/>
        <v>1.00462972111244</v>
      </c>
      <c r="R11">
        <f t="shared" si="6"/>
        <v>1.1366580830174289</v>
      </c>
      <c r="S11">
        <f t="shared" si="7"/>
        <v>2.5217922506314907</v>
      </c>
    </row>
    <row r="12" spans="1:19" x14ac:dyDescent="0.3">
      <c r="A12" s="4">
        <v>9.3445999999999998</v>
      </c>
      <c r="B12" s="4">
        <f t="shared" si="0"/>
        <v>0</v>
      </c>
      <c r="C12" s="4">
        <v>832.44399999999996</v>
      </c>
      <c r="D12" s="4">
        <v>201.31299999999999</v>
      </c>
      <c r="E12" s="4">
        <v>419.80399999999997</v>
      </c>
      <c r="F12" s="4"/>
      <c r="G12" s="4"/>
      <c r="H12" s="4"/>
      <c r="I12" s="4">
        <f t="shared" si="1"/>
        <v>0.45399824016808177</v>
      </c>
      <c r="J12" s="4">
        <f t="shared" si="2"/>
        <v>0.3654090847211508</v>
      </c>
      <c r="K12" s="4">
        <f t="shared" si="3"/>
        <v>1.0237651225226425</v>
      </c>
      <c r="L12" s="4">
        <f t="shared" si="4"/>
        <v>0.44345937381554112</v>
      </c>
      <c r="M12" s="4">
        <f t="shared" si="5"/>
        <v>0.35692667847557885</v>
      </c>
      <c r="N12" s="4">
        <f>AVERAGE(L66:L76)</f>
        <v>0.94609313368514736</v>
      </c>
      <c r="O12" s="4">
        <f>AVERAGE(M66:M76)</f>
        <v>0.61376902640279907</v>
      </c>
      <c r="P12" s="5">
        <f>(N12-L12)/(1-L12)</f>
        <v>0.9031393868145291</v>
      </c>
      <c r="Q12" s="5">
        <f>(O12-M12)/(1-M12)</f>
        <v>0.39939823241052691</v>
      </c>
      <c r="R12">
        <f t="shared" si="6"/>
        <v>0</v>
      </c>
      <c r="S12">
        <f t="shared" si="7"/>
        <v>0</v>
      </c>
    </row>
    <row r="13" spans="1:19" x14ac:dyDescent="0.3">
      <c r="A13">
        <v>9.8470999999999993</v>
      </c>
      <c r="B13">
        <f t="shared" si="0"/>
        <v>0.5024999999999995</v>
      </c>
      <c r="C13">
        <v>968.63499999999999</v>
      </c>
      <c r="D13">
        <v>225.65600000000001</v>
      </c>
      <c r="E13">
        <v>411.536</v>
      </c>
      <c r="I13">
        <f t="shared" si="1"/>
        <v>0.52827407653272762</v>
      </c>
      <c r="J13">
        <f t="shared" si="2"/>
        <v>0.40959477242818898</v>
      </c>
      <c r="K13" s="3">
        <f t="shared" si="3"/>
        <v>1.0036021654450129</v>
      </c>
      <c r="L13" s="2">
        <f t="shared" si="4"/>
        <v>0.5263779759766487</v>
      </c>
      <c r="M13" s="2">
        <f t="shared" si="5"/>
        <v>0.40812463995289233</v>
      </c>
      <c r="R13">
        <f t="shared" si="6"/>
        <v>0.16496823090955612</v>
      </c>
      <c r="S13">
        <f t="shared" si="7"/>
        <v>0.1993361370914625</v>
      </c>
    </row>
    <row r="14" spans="1:19" x14ac:dyDescent="0.3">
      <c r="A14">
        <v>10.347799999999999</v>
      </c>
      <c r="B14">
        <f t="shared" si="0"/>
        <v>1.0031999999999996</v>
      </c>
      <c r="C14">
        <v>1069.492</v>
      </c>
      <c r="D14">
        <v>231.68799999999999</v>
      </c>
      <c r="E14">
        <v>396.161</v>
      </c>
      <c r="I14">
        <f t="shared" si="1"/>
        <v>0.58327945888713484</v>
      </c>
      <c r="J14">
        <f t="shared" si="2"/>
        <v>0.42054363116576665</v>
      </c>
      <c r="K14" s="3">
        <f t="shared" si="3"/>
        <v>0.96610755186632946</v>
      </c>
      <c r="L14" s="2">
        <f t="shared" si="4"/>
        <v>0.60374174465395058</v>
      </c>
      <c r="M14" s="2">
        <f t="shared" si="5"/>
        <v>0.43529690907949037</v>
      </c>
      <c r="R14">
        <f t="shared" si="6"/>
        <v>0.31888500859948221</v>
      </c>
      <c r="S14">
        <f t="shared" si="7"/>
        <v>0.305129707917632</v>
      </c>
    </row>
    <row r="15" spans="1:19" x14ac:dyDescent="0.3">
      <c r="A15">
        <v>10.847200000000001</v>
      </c>
      <c r="B15">
        <f t="shared" si="0"/>
        <v>1.502600000000001</v>
      </c>
      <c r="C15">
        <v>1124.3019999999999</v>
      </c>
      <c r="D15">
        <v>243.78100000000001</v>
      </c>
      <c r="E15">
        <v>392.44600000000003</v>
      </c>
      <c r="I15">
        <f t="shared" si="1"/>
        <v>0.61317173217352117</v>
      </c>
      <c r="J15">
        <f t="shared" si="2"/>
        <v>0.44249398738485279</v>
      </c>
      <c r="K15" s="3">
        <f t="shared" si="3"/>
        <v>0.95704787775609801</v>
      </c>
      <c r="L15" s="2">
        <f t="shared" si="4"/>
        <v>0.64069076001836855</v>
      </c>
      <c r="M15" s="2">
        <f t="shared" si="5"/>
        <v>0.46235303130531741</v>
      </c>
      <c r="R15">
        <f t="shared" si="6"/>
        <v>0.3923958196799065</v>
      </c>
      <c r="S15">
        <f t="shared" si="7"/>
        <v>0.41047106787706422</v>
      </c>
    </row>
    <row r="16" spans="1:19" x14ac:dyDescent="0.3">
      <c r="A16">
        <v>11.3474</v>
      </c>
      <c r="B16">
        <f t="shared" si="0"/>
        <v>2.0028000000000006</v>
      </c>
      <c r="C16">
        <v>1199.175</v>
      </c>
      <c r="D16">
        <v>261.82799999999997</v>
      </c>
      <c r="E16">
        <v>387.30399999999997</v>
      </c>
      <c r="I16">
        <f t="shared" si="1"/>
        <v>0.65400596274771572</v>
      </c>
      <c r="J16">
        <f t="shared" si="2"/>
        <v>0.47525162227163409</v>
      </c>
      <c r="K16" s="3">
        <f t="shared" si="3"/>
        <v>0.94450821577095379</v>
      </c>
      <c r="L16" s="2">
        <f t="shared" si="4"/>
        <v>0.69243014706217676</v>
      </c>
      <c r="M16" s="2">
        <f t="shared" si="5"/>
        <v>0.50317362447049807</v>
      </c>
      <c r="R16">
        <f t="shared" si="6"/>
        <v>0.49533237343871189</v>
      </c>
      <c r="S16">
        <f t="shared" si="7"/>
        <v>0.56940355504132167</v>
      </c>
    </row>
    <row r="17" spans="1:19" x14ac:dyDescent="0.3">
      <c r="A17">
        <v>11.847</v>
      </c>
      <c r="B17">
        <f t="shared" si="0"/>
        <v>2.5023999999999997</v>
      </c>
      <c r="C17">
        <v>1232.4290000000001</v>
      </c>
      <c r="D17">
        <v>270.5</v>
      </c>
      <c r="E17">
        <v>397.286</v>
      </c>
      <c r="I17">
        <f t="shared" si="1"/>
        <v>0.67214202652924271</v>
      </c>
      <c r="J17">
        <f t="shared" si="2"/>
        <v>0.49099242183600311</v>
      </c>
      <c r="K17" s="3">
        <f t="shared" si="3"/>
        <v>0.96885106017696487</v>
      </c>
      <c r="L17" s="2">
        <f t="shared" si="4"/>
        <v>0.69375165508563619</v>
      </c>
      <c r="M17" s="2">
        <f t="shared" si="5"/>
        <v>0.50677801988091054</v>
      </c>
      <c r="R17">
        <f t="shared" si="6"/>
        <v>0.49796154029730544</v>
      </c>
      <c r="S17">
        <f t="shared" si="7"/>
        <v>0.58343704850336486</v>
      </c>
    </row>
    <row r="18" spans="1:19" x14ac:dyDescent="0.3">
      <c r="A18">
        <v>12.3476</v>
      </c>
      <c r="B18">
        <f t="shared" si="0"/>
        <v>3.0030000000000001</v>
      </c>
      <c r="C18">
        <v>1260.3810000000001</v>
      </c>
      <c r="D18">
        <v>267.14100000000002</v>
      </c>
      <c r="E18">
        <v>397.536</v>
      </c>
      <c r="I18">
        <f t="shared" si="1"/>
        <v>0.68738648598739027</v>
      </c>
      <c r="J18">
        <f t="shared" si="2"/>
        <v>0.48489540318555163</v>
      </c>
      <c r="K18" s="3">
        <f t="shared" si="3"/>
        <v>0.96946072869043942</v>
      </c>
      <c r="L18" s="2">
        <f t="shared" si="4"/>
        <v>0.70904005252066393</v>
      </c>
      <c r="M18" s="2">
        <f t="shared" si="5"/>
        <v>0.50017023777802205</v>
      </c>
      <c r="R18">
        <f t="shared" si="6"/>
        <v>0.52837811525835432</v>
      </c>
      <c r="S18">
        <f t="shared" si="7"/>
        <v>0.55771005232763726</v>
      </c>
    </row>
    <row r="19" spans="1:19" x14ac:dyDescent="0.3">
      <c r="A19">
        <v>12.847</v>
      </c>
      <c r="B19">
        <f t="shared" si="0"/>
        <v>3.5023999999999997</v>
      </c>
      <c r="C19">
        <v>1299.175</v>
      </c>
      <c r="D19">
        <v>273.5</v>
      </c>
      <c r="E19">
        <v>398.69600000000003</v>
      </c>
      <c r="I19">
        <f t="shared" si="1"/>
        <v>0.70854395451269714</v>
      </c>
      <c r="J19">
        <f t="shared" si="2"/>
        <v>0.49643780913917507</v>
      </c>
      <c r="K19" s="3">
        <f t="shared" si="3"/>
        <v>0.97228959059296127</v>
      </c>
      <c r="L19" s="2">
        <f t="shared" si="4"/>
        <v>0.72873757095412695</v>
      </c>
      <c r="M19" s="2">
        <f t="shared" si="5"/>
        <v>0.51058636638947985</v>
      </c>
      <c r="R19">
        <f t="shared" si="6"/>
        <v>0.56756672534808039</v>
      </c>
      <c r="S19">
        <f t="shared" si="7"/>
        <v>0.59826461311373225</v>
      </c>
    </row>
    <row r="20" spans="1:19" x14ac:dyDescent="0.3">
      <c r="A20">
        <v>13.347200000000001</v>
      </c>
      <c r="B20">
        <f t="shared" si="0"/>
        <v>4.002600000000001</v>
      </c>
      <c r="C20">
        <v>1344.048</v>
      </c>
      <c r="D20">
        <v>287.76600000000002</v>
      </c>
      <c r="E20">
        <v>392.48200000000003</v>
      </c>
      <c r="I20">
        <f t="shared" si="1"/>
        <v>0.73301678755739719</v>
      </c>
      <c r="J20">
        <f t="shared" si="2"/>
        <v>0.52233244089485875</v>
      </c>
      <c r="K20" s="3">
        <f t="shared" si="3"/>
        <v>0.95713567002203837</v>
      </c>
      <c r="L20" s="2">
        <f t="shared" si="4"/>
        <v>0.76584418543352295</v>
      </c>
      <c r="M20" s="2">
        <f t="shared" si="5"/>
        <v>0.54572455844512813</v>
      </c>
      <c r="R20">
        <f t="shared" si="6"/>
        <v>0.64139108304546677</v>
      </c>
      <c r="S20">
        <f t="shared" si="7"/>
        <v>0.73507301850023476</v>
      </c>
    </row>
    <row r="21" spans="1:19" x14ac:dyDescent="0.3">
      <c r="A21">
        <v>13.8474</v>
      </c>
      <c r="B21">
        <f t="shared" si="0"/>
        <v>4.5028000000000006</v>
      </c>
      <c r="C21">
        <v>1353.3969999999999</v>
      </c>
      <c r="D21">
        <v>286.40600000000001</v>
      </c>
      <c r="E21">
        <v>392.30399999999997</v>
      </c>
      <c r="I21">
        <f t="shared" si="1"/>
        <v>0.73811554440750526</v>
      </c>
      <c r="J21">
        <f t="shared" si="2"/>
        <v>0.51986386531742079</v>
      </c>
      <c r="K21" s="3">
        <f t="shared" si="3"/>
        <v>0.95670158604044442</v>
      </c>
      <c r="L21" s="2">
        <f t="shared" si="4"/>
        <v>0.77152118819242921</v>
      </c>
      <c r="M21" s="2">
        <f t="shared" si="5"/>
        <v>0.5433918715124233</v>
      </c>
      <c r="R21">
        <f t="shared" si="6"/>
        <v>0.65268559450124131</v>
      </c>
      <c r="S21">
        <f t="shared" si="7"/>
        <v>0.72599084435126682</v>
      </c>
    </row>
    <row r="22" spans="1:19" x14ac:dyDescent="0.3">
      <c r="A22">
        <v>14.3475</v>
      </c>
      <c r="B22">
        <f t="shared" si="0"/>
        <v>5.0029000000000003</v>
      </c>
      <c r="C22">
        <v>1391.7460000000001</v>
      </c>
      <c r="D22">
        <v>282.125</v>
      </c>
      <c r="E22">
        <v>396.69600000000003</v>
      </c>
      <c r="I22">
        <f t="shared" si="1"/>
        <v>0.75903031886945815</v>
      </c>
      <c r="J22">
        <f t="shared" si="2"/>
        <v>0.51209329763579436</v>
      </c>
      <c r="K22" s="3">
        <f t="shared" si="3"/>
        <v>0.967412242485165</v>
      </c>
      <c r="L22" s="2">
        <f t="shared" si="4"/>
        <v>0.78459862872894925</v>
      </c>
      <c r="M22" s="2">
        <f t="shared" si="5"/>
        <v>0.52934341240119998</v>
      </c>
      <c r="R22">
        <f t="shared" si="6"/>
        <v>0.67870342613259171</v>
      </c>
      <c r="S22">
        <f t="shared" si="7"/>
        <v>0.67129402653832526</v>
      </c>
    </row>
    <row r="23" spans="1:19" x14ac:dyDescent="0.3">
      <c r="A23">
        <v>14.8475</v>
      </c>
      <c r="B23">
        <f t="shared" si="0"/>
        <v>5.5029000000000003</v>
      </c>
      <c r="C23">
        <v>1395.3810000000001</v>
      </c>
      <c r="D23">
        <v>292.76600000000002</v>
      </c>
      <c r="E23">
        <v>397.73200000000003</v>
      </c>
      <c r="I23">
        <f t="shared" si="1"/>
        <v>0.76101277487011521</v>
      </c>
      <c r="J23">
        <f t="shared" si="2"/>
        <v>0.53140808640014525</v>
      </c>
      <c r="K23" s="3">
        <f t="shared" si="3"/>
        <v>0.96993870880500344</v>
      </c>
      <c r="L23" s="2">
        <f t="shared" si="4"/>
        <v>0.78459882873187736</v>
      </c>
      <c r="M23" s="2">
        <f t="shared" si="5"/>
        <v>0.54787800669885378</v>
      </c>
      <c r="R23">
        <f t="shared" si="6"/>
        <v>0.67870382404244989</v>
      </c>
      <c r="S23">
        <f t="shared" si="7"/>
        <v>0.74345733779611611</v>
      </c>
    </row>
    <row r="24" spans="1:19" x14ac:dyDescent="0.3">
      <c r="A24">
        <v>15.3475</v>
      </c>
      <c r="B24">
        <f t="shared" si="0"/>
        <v>6.0029000000000003</v>
      </c>
      <c r="C24">
        <v>1414.079</v>
      </c>
      <c r="D24">
        <v>284.68799999999999</v>
      </c>
      <c r="E24">
        <v>397.339</v>
      </c>
      <c r="I24">
        <f t="shared" si="1"/>
        <v>0.77121028857033136</v>
      </c>
      <c r="J24">
        <f t="shared" si="2"/>
        <v>0.51674547352180422</v>
      </c>
      <c r="K24" s="3">
        <f t="shared" si="3"/>
        <v>0.96898030990182138</v>
      </c>
      <c r="L24" s="2">
        <f t="shared" si="4"/>
        <v>0.79589882342239915</v>
      </c>
      <c r="M24" s="2">
        <f t="shared" si="5"/>
        <v>0.53328789887811212</v>
      </c>
      <c r="R24">
        <f t="shared" si="6"/>
        <v>0.7011853913240691</v>
      </c>
      <c r="S24">
        <f t="shared" si="7"/>
        <v>0.68665164380333277</v>
      </c>
    </row>
    <row r="25" spans="1:19" x14ac:dyDescent="0.3">
      <c r="A25">
        <v>15.8469</v>
      </c>
      <c r="B25">
        <f t="shared" si="0"/>
        <v>6.5023</v>
      </c>
      <c r="C25">
        <v>1427.873</v>
      </c>
      <c r="D25">
        <v>294.39100000000002</v>
      </c>
      <c r="E25">
        <v>391.911</v>
      </c>
      <c r="I25">
        <f t="shared" si="1"/>
        <v>0.77873325915439295</v>
      </c>
      <c r="J25">
        <f t="shared" si="2"/>
        <v>0.53435767118936339</v>
      </c>
      <c r="K25" s="3">
        <f t="shared" si="3"/>
        <v>0.95574318713726247</v>
      </c>
      <c r="L25" s="2">
        <f t="shared" si="4"/>
        <v>0.81479341902183222</v>
      </c>
      <c r="M25" s="2">
        <f t="shared" si="5"/>
        <v>0.55910173190972456</v>
      </c>
      <c r="R25">
        <f t="shared" si="6"/>
        <v>0.73877657024594401</v>
      </c>
      <c r="S25">
        <f t="shared" si="7"/>
        <v>0.78715622663375895</v>
      </c>
    </row>
    <row r="26" spans="1:19" x14ac:dyDescent="0.3">
      <c r="A26">
        <v>16.3477</v>
      </c>
      <c r="B26">
        <f t="shared" si="0"/>
        <v>7.0030999999999999</v>
      </c>
      <c r="C26">
        <v>1441.048</v>
      </c>
      <c r="D26">
        <v>290.89100000000002</v>
      </c>
      <c r="E26">
        <v>394.286</v>
      </c>
      <c r="I26">
        <f t="shared" si="1"/>
        <v>0.7859186395694292</v>
      </c>
      <c r="J26">
        <f t="shared" si="2"/>
        <v>0.52800471933566284</v>
      </c>
      <c r="K26" s="3">
        <f t="shared" si="3"/>
        <v>0.96153503801527052</v>
      </c>
      <c r="L26" s="2">
        <f t="shared" si="4"/>
        <v>0.81735829532708892</v>
      </c>
      <c r="M26" s="2">
        <f t="shared" si="5"/>
        <v>0.54912686325558258</v>
      </c>
      <c r="R26">
        <f t="shared" si="6"/>
        <v>0.74387944337154166</v>
      </c>
      <c r="S26">
        <f t="shared" si="7"/>
        <v>0.74831968455009712</v>
      </c>
    </row>
    <row r="27" spans="1:19" x14ac:dyDescent="0.3">
      <c r="A27">
        <v>16.847300000000001</v>
      </c>
      <c r="B27">
        <f t="shared" si="0"/>
        <v>7.5027000000000008</v>
      </c>
      <c r="C27">
        <v>1483.444</v>
      </c>
      <c r="D27">
        <v>297.96899999999999</v>
      </c>
      <c r="E27">
        <v>396.214</v>
      </c>
      <c r="I27">
        <f t="shared" si="1"/>
        <v>0.80904056655811074</v>
      </c>
      <c r="J27">
        <f t="shared" si="2"/>
        <v>0.54085220311294646</v>
      </c>
      <c r="K27" s="3">
        <f t="shared" si="3"/>
        <v>0.96623680159118608</v>
      </c>
      <c r="L27" s="2">
        <f t="shared" si="4"/>
        <v>0.83731085922808302</v>
      </c>
      <c r="M27" s="2">
        <f t="shared" si="5"/>
        <v>0.55975119372629789</v>
      </c>
      <c r="R27">
        <f t="shared" si="6"/>
        <v>0.783575471561471</v>
      </c>
      <c r="S27">
        <f t="shared" si="7"/>
        <v>0.78968486656332904</v>
      </c>
    </row>
    <row r="28" spans="1:19" x14ac:dyDescent="0.3">
      <c r="A28">
        <v>17.3475</v>
      </c>
      <c r="B28">
        <f t="shared" si="0"/>
        <v>8.0029000000000003</v>
      </c>
      <c r="C28">
        <v>1453.19</v>
      </c>
      <c r="D28">
        <v>303.75</v>
      </c>
      <c r="E28">
        <v>399.94600000000003</v>
      </c>
      <c r="I28">
        <f t="shared" si="1"/>
        <v>0.79254064252953327</v>
      </c>
      <c r="J28">
        <f t="shared" si="2"/>
        <v>0.55134546444615873</v>
      </c>
      <c r="K28" s="3">
        <f t="shared" si="3"/>
        <v>0.9753379331603339</v>
      </c>
      <c r="L28" s="2">
        <f t="shared" si="4"/>
        <v>0.81258055857779199</v>
      </c>
      <c r="M28" s="2">
        <f t="shared" si="5"/>
        <v>0.56528660036800205</v>
      </c>
      <c r="R28">
        <f t="shared" si="6"/>
        <v>0.73437403977402682</v>
      </c>
      <c r="S28">
        <f t="shared" si="7"/>
        <v>0.81123663435542503</v>
      </c>
    </row>
    <row r="29" spans="1:19" x14ac:dyDescent="0.3">
      <c r="A29">
        <v>17.847100000000001</v>
      </c>
      <c r="B29">
        <f t="shared" si="0"/>
        <v>8.5025000000000013</v>
      </c>
      <c r="C29">
        <v>1462.3810000000001</v>
      </c>
      <c r="D29">
        <v>304.98399999999998</v>
      </c>
      <c r="E29">
        <v>395.714</v>
      </c>
      <c r="I29">
        <f t="shared" si="1"/>
        <v>0.79755322935265272</v>
      </c>
      <c r="J29">
        <f t="shared" si="2"/>
        <v>0.55358533375686347</v>
      </c>
      <c r="K29" s="3">
        <f t="shared" si="3"/>
        <v>0.96501746456423698</v>
      </c>
      <c r="L29" s="2">
        <f t="shared" si="4"/>
        <v>0.82646507305730021</v>
      </c>
      <c r="M29" s="2">
        <f t="shared" si="5"/>
        <v>0.57365317632550861</v>
      </c>
      <c r="R29">
        <f t="shared" si="6"/>
        <v>0.76199756128820084</v>
      </c>
      <c r="S29">
        <f t="shared" si="7"/>
        <v>0.84381138701995584</v>
      </c>
    </row>
    <row r="30" spans="1:19" x14ac:dyDescent="0.3">
      <c r="A30">
        <v>18.347300000000001</v>
      </c>
      <c r="B30">
        <f t="shared" si="0"/>
        <v>9.0027000000000008</v>
      </c>
      <c r="C30">
        <v>1469.873</v>
      </c>
      <c r="D30">
        <v>302</v>
      </c>
      <c r="E30">
        <v>384.32100000000003</v>
      </c>
      <c r="I30">
        <f t="shared" si="1"/>
        <v>0.80163921569568508</v>
      </c>
      <c r="J30">
        <f t="shared" si="2"/>
        <v>0.54816898851930851</v>
      </c>
      <c r="K30" s="3">
        <f t="shared" si="3"/>
        <v>0.93723365106817591</v>
      </c>
      <c r="L30" s="2">
        <f t="shared" si="4"/>
        <v>0.85532483258795466</v>
      </c>
      <c r="M30" s="2">
        <f t="shared" si="5"/>
        <v>0.58487975532521053</v>
      </c>
      <c r="R30">
        <f t="shared" si="6"/>
        <v>0.81941463478151588</v>
      </c>
      <c r="S30">
        <f t="shared" si="7"/>
        <v>0.88752138691017302</v>
      </c>
    </row>
    <row r="31" spans="1:19" x14ac:dyDescent="0.3">
      <c r="A31">
        <v>18.8475</v>
      </c>
      <c r="B31">
        <f t="shared" si="0"/>
        <v>9.5029000000000003</v>
      </c>
      <c r="C31">
        <v>1478.9369999999999</v>
      </c>
      <c r="D31">
        <v>303.04700000000003</v>
      </c>
      <c r="E31">
        <v>396.64299999999997</v>
      </c>
      <c r="I31">
        <f t="shared" si="1"/>
        <v>0.80658253926926293</v>
      </c>
      <c r="J31">
        <f t="shared" si="2"/>
        <v>0.55006942868811548</v>
      </c>
      <c r="K31" s="3">
        <f t="shared" si="3"/>
        <v>0.96728299276030827</v>
      </c>
      <c r="L31" s="2">
        <f t="shared" si="4"/>
        <v>0.83386407629016723</v>
      </c>
      <c r="M31" s="2">
        <f t="shared" si="5"/>
        <v>0.56867476509475046</v>
      </c>
      <c r="R31">
        <f t="shared" si="6"/>
        <v>0.77671802740807805</v>
      </c>
      <c r="S31">
        <f t="shared" si="7"/>
        <v>0.82442824685270866</v>
      </c>
    </row>
    <row r="32" spans="1:19" x14ac:dyDescent="0.3">
      <c r="A32">
        <v>19.3475</v>
      </c>
      <c r="B32">
        <f t="shared" si="0"/>
        <v>10.0029</v>
      </c>
      <c r="C32">
        <v>1496.2539999999999</v>
      </c>
      <c r="D32">
        <v>293.90600000000001</v>
      </c>
      <c r="E32">
        <v>389.589</v>
      </c>
      <c r="I32">
        <f t="shared" si="1"/>
        <v>0.81602688330320472</v>
      </c>
      <c r="J32">
        <f t="shared" si="2"/>
        <v>0.53347733357535065</v>
      </c>
      <c r="K32" s="3">
        <f t="shared" si="3"/>
        <v>0.95008058598411105</v>
      </c>
      <c r="L32" s="2">
        <f t="shared" si="4"/>
        <v>0.85890280818436993</v>
      </c>
      <c r="M32" s="2">
        <f t="shared" si="5"/>
        <v>0.56150745678353686</v>
      </c>
      <c r="R32">
        <f t="shared" si="6"/>
        <v>0.82653308937426639</v>
      </c>
      <c r="S32">
        <f t="shared" si="7"/>
        <v>0.79652276954705603</v>
      </c>
    </row>
    <row r="33" spans="1:19" x14ac:dyDescent="0.3">
      <c r="A33">
        <v>19.846900000000002</v>
      </c>
      <c r="B33">
        <f t="shared" si="0"/>
        <v>10.502300000000002</v>
      </c>
      <c r="C33">
        <v>1492.2860000000001</v>
      </c>
      <c r="D33">
        <v>308.29700000000003</v>
      </c>
      <c r="E33">
        <v>385.23200000000003</v>
      </c>
      <c r="I33">
        <f t="shared" si="1"/>
        <v>0.81386281578997044</v>
      </c>
      <c r="J33">
        <f t="shared" si="2"/>
        <v>0.55959885646866647</v>
      </c>
      <c r="K33" s="3">
        <f t="shared" si="3"/>
        <v>0.93945528313127713</v>
      </c>
      <c r="L33" s="2">
        <f t="shared" si="4"/>
        <v>0.86631352274405515</v>
      </c>
      <c r="M33" s="2">
        <f t="shared" si="5"/>
        <v>0.59566311086513901</v>
      </c>
      <c r="R33">
        <f t="shared" si="6"/>
        <v>0.84127685541498698</v>
      </c>
      <c r="S33">
        <f t="shared" si="7"/>
        <v>0.92950572332102099</v>
      </c>
    </row>
    <row r="34" spans="1:19" x14ac:dyDescent="0.3">
      <c r="A34">
        <v>20.347799999999999</v>
      </c>
      <c r="B34">
        <f t="shared" si="0"/>
        <v>11.0032</v>
      </c>
      <c r="C34">
        <v>1507.127</v>
      </c>
      <c r="D34">
        <v>306.84399999999999</v>
      </c>
      <c r="E34">
        <v>393.44600000000003</v>
      </c>
      <c r="I34">
        <f t="shared" si="1"/>
        <v>0.82195679914781128</v>
      </c>
      <c r="J34">
        <f t="shared" si="2"/>
        <v>0.55696147388483008</v>
      </c>
      <c r="K34" s="3">
        <f t="shared" si="3"/>
        <v>0.9594865518099962</v>
      </c>
      <c r="L34" s="2">
        <f t="shared" si="4"/>
        <v>0.85666317844398565</v>
      </c>
      <c r="M34" s="2">
        <f t="shared" si="5"/>
        <v>0.58047866625557798</v>
      </c>
      <c r="R34">
        <f t="shared" si="6"/>
        <v>0.82207730084751629</v>
      </c>
      <c r="S34">
        <f t="shared" si="7"/>
        <v>0.87038601532853777</v>
      </c>
    </row>
    <row r="35" spans="1:19" x14ac:dyDescent="0.3">
      <c r="A35">
        <v>20.847300000000001</v>
      </c>
      <c r="B35">
        <f t="shared" si="0"/>
        <v>11.502700000000001</v>
      </c>
      <c r="C35">
        <v>1506.143</v>
      </c>
      <c r="D35">
        <v>302.875</v>
      </c>
      <c r="E35">
        <v>384.411</v>
      </c>
      <c r="I35">
        <f t="shared" si="1"/>
        <v>0.82142014530884389</v>
      </c>
      <c r="J35">
        <f t="shared" si="2"/>
        <v>0.54975722648273362</v>
      </c>
      <c r="K35" s="3">
        <f t="shared" si="3"/>
        <v>0.93745313173302669</v>
      </c>
      <c r="L35" s="2">
        <f t="shared" si="4"/>
        <v>0.87622529330114041</v>
      </c>
      <c r="M35" s="2">
        <f t="shared" si="5"/>
        <v>0.58643702588781432</v>
      </c>
      <c r="R35">
        <f t="shared" si="6"/>
        <v>0.86099652279199845</v>
      </c>
      <c r="S35">
        <f t="shared" si="7"/>
        <v>0.89358452476563699</v>
      </c>
    </row>
    <row r="36" spans="1:19" x14ac:dyDescent="0.3">
      <c r="A36">
        <v>21.3475</v>
      </c>
      <c r="B36">
        <f t="shared" si="0"/>
        <v>12.0029</v>
      </c>
      <c r="C36">
        <v>1514.556</v>
      </c>
      <c r="D36">
        <v>307.60899999999998</v>
      </c>
      <c r="E36">
        <v>386.911</v>
      </c>
      <c r="I36">
        <f t="shared" si="1"/>
        <v>0.82600842655603179</v>
      </c>
      <c r="J36">
        <f t="shared" si="2"/>
        <v>0.55835004764713891</v>
      </c>
      <c r="K36" s="3">
        <f t="shared" si="3"/>
        <v>0.94354981686777195</v>
      </c>
      <c r="L36" s="2">
        <f t="shared" si="4"/>
        <v>0.87542640758287349</v>
      </c>
      <c r="M36" s="2">
        <f t="shared" si="5"/>
        <v>0.59175470935986152</v>
      </c>
      <c r="R36">
        <f t="shared" si="6"/>
        <v>0.85940712354735915</v>
      </c>
      <c r="S36">
        <f t="shared" si="7"/>
        <v>0.91428860068988471</v>
      </c>
    </row>
    <row r="37" spans="1:19" x14ac:dyDescent="0.3">
      <c r="A37">
        <v>21.846900000000002</v>
      </c>
      <c r="B37">
        <f t="shared" si="0"/>
        <v>12.502300000000002</v>
      </c>
      <c r="C37">
        <v>1520.127</v>
      </c>
      <c r="D37">
        <v>309.85899999999998</v>
      </c>
      <c r="E37">
        <v>382.536</v>
      </c>
      <c r="I37">
        <f t="shared" si="1"/>
        <v>0.82904673807725882</v>
      </c>
      <c r="J37">
        <f t="shared" si="2"/>
        <v>0.56243408812451789</v>
      </c>
      <c r="K37" s="3">
        <f t="shared" si="3"/>
        <v>0.93288061788196774</v>
      </c>
      <c r="L37" s="2">
        <f t="shared" si="4"/>
        <v>0.8886954259587303</v>
      </c>
      <c r="M37" s="2">
        <f t="shared" si="5"/>
        <v>0.60290038976421267</v>
      </c>
      <c r="R37">
        <f t="shared" si="6"/>
        <v>0.88580610315290553</v>
      </c>
      <c r="S37">
        <f t="shared" si="7"/>
        <v>0.95768362683841313</v>
      </c>
    </row>
    <row r="38" spans="1:19" x14ac:dyDescent="0.3">
      <c r="A38">
        <v>22.3476</v>
      </c>
      <c r="B38">
        <f t="shared" si="0"/>
        <v>13.003</v>
      </c>
      <c r="C38">
        <v>1520.079</v>
      </c>
      <c r="D38">
        <v>312.42200000000003</v>
      </c>
      <c r="E38">
        <v>383.64299999999997</v>
      </c>
      <c r="I38">
        <f t="shared" si="1"/>
        <v>0.82902055984121159</v>
      </c>
      <c r="J38">
        <f t="shared" si="2"/>
        <v>0.56708626401052786</v>
      </c>
      <c r="K38" s="3">
        <f t="shared" si="3"/>
        <v>0.93558023005963287</v>
      </c>
      <c r="L38" s="2">
        <f t="shared" si="4"/>
        <v>0.88610311890448001</v>
      </c>
      <c r="M38" s="2">
        <f t="shared" si="5"/>
        <v>0.60613322705032191</v>
      </c>
      <c r="R38">
        <f t="shared" si="6"/>
        <v>0.88064865599909159</v>
      </c>
      <c r="S38">
        <f t="shared" si="7"/>
        <v>0.97027048142917283</v>
      </c>
    </row>
    <row r="39" spans="1:19" x14ac:dyDescent="0.3">
      <c r="A39">
        <v>22.847000000000001</v>
      </c>
      <c r="B39">
        <f t="shared" si="0"/>
        <v>13.502400000000002</v>
      </c>
      <c r="C39">
        <v>1532.079</v>
      </c>
      <c r="D39">
        <v>316.53100000000001</v>
      </c>
      <c r="E39">
        <v>383.661</v>
      </c>
      <c r="I39">
        <f t="shared" si="1"/>
        <v>0.83556511885300944</v>
      </c>
      <c r="J39">
        <f t="shared" si="2"/>
        <v>0.57454462948677232</v>
      </c>
      <c r="K39" s="3">
        <f t="shared" si="3"/>
        <v>0.93562412619260305</v>
      </c>
      <c r="L39" s="2">
        <f t="shared" si="4"/>
        <v>0.89305640530372987</v>
      </c>
      <c r="M39" s="2">
        <f t="shared" si="5"/>
        <v>0.61407632980223015</v>
      </c>
      <c r="R39">
        <f t="shared" si="6"/>
        <v>0.89448235949137933</v>
      </c>
      <c r="S39">
        <f t="shared" si="7"/>
        <v>1.0011964670231022</v>
      </c>
    </row>
    <row r="40" spans="1:19" x14ac:dyDescent="0.3">
      <c r="A40">
        <v>23.347799999999999</v>
      </c>
      <c r="B40">
        <f t="shared" si="0"/>
        <v>14.0032</v>
      </c>
      <c r="C40">
        <v>1535.222</v>
      </c>
      <c r="D40">
        <v>305.32799999999997</v>
      </c>
      <c r="E40">
        <v>379.5</v>
      </c>
      <c r="I40">
        <f t="shared" si="1"/>
        <v>0.83727924793418274</v>
      </c>
      <c r="J40">
        <f t="shared" si="2"/>
        <v>0.5542097381676272</v>
      </c>
      <c r="K40" s="3">
        <f t="shared" si="3"/>
        <v>0.92547680345433303</v>
      </c>
      <c r="L40" s="2">
        <f t="shared" si="4"/>
        <v>0.90470041475815088</v>
      </c>
      <c r="M40" s="2">
        <f t="shared" si="5"/>
        <v>0.59883698445930234</v>
      </c>
      <c r="R40">
        <f t="shared" si="6"/>
        <v>0.91764835108223808</v>
      </c>
      <c r="S40">
        <f t="shared" si="7"/>
        <v>0.94186300637725084</v>
      </c>
    </row>
    <row r="41" spans="1:19" x14ac:dyDescent="0.3">
      <c r="A41">
        <v>23.8474</v>
      </c>
      <c r="B41">
        <f t="shared" si="0"/>
        <v>14.502800000000001</v>
      </c>
      <c r="C41">
        <v>1557.317</v>
      </c>
      <c r="D41">
        <v>309</v>
      </c>
      <c r="E41">
        <v>385.76799999999997</v>
      </c>
      <c r="I41">
        <f t="shared" si="1"/>
        <v>0.84932941721465538</v>
      </c>
      <c r="J41">
        <f t="shared" si="2"/>
        <v>0.56087489222670972</v>
      </c>
      <c r="K41" s="3">
        <f t="shared" si="3"/>
        <v>0.94076241242416636</v>
      </c>
      <c r="L41" s="2">
        <f t="shared" si="4"/>
        <v>0.90280968499378556</v>
      </c>
      <c r="M41" s="2">
        <f t="shared" si="5"/>
        <v>0.59619185972943101</v>
      </c>
      <c r="R41">
        <f t="shared" si="6"/>
        <v>0.91388670609274147</v>
      </c>
      <c r="S41">
        <f t="shared" si="7"/>
        <v>0.93156437474108134</v>
      </c>
    </row>
    <row r="42" spans="1:19" x14ac:dyDescent="0.3">
      <c r="A42">
        <v>24.3476</v>
      </c>
      <c r="B42">
        <f t="shared" si="0"/>
        <v>15.003</v>
      </c>
      <c r="C42">
        <v>1503.2539999999999</v>
      </c>
      <c r="D42">
        <v>302.59399999999999</v>
      </c>
      <c r="E42">
        <v>389.32100000000003</v>
      </c>
      <c r="I42">
        <f t="shared" si="1"/>
        <v>0.81984454272675344</v>
      </c>
      <c r="J42">
        <f t="shared" si="2"/>
        <v>0.5492471752053365</v>
      </c>
      <c r="K42" s="3">
        <f t="shared" si="3"/>
        <v>0.94942702133766643</v>
      </c>
      <c r="L42" s="2">
        <f t="shared" si="4"/>
        <v>0.86351507203961642</v>
      </c>
      <c r="M42" s="2">
        <f t="shared" si="5"/>
        <v>0.57850383743185585</v>
      </c>
      <c r="R42">
        <f t="shared" si="6"/>
        <v>0.83570928131259348</v>
      </c>
      <c r="S42">
        <f t="shared" si="7"/>
        <v>0.86269713987766494</v>
      </c>
    </row>
    <row r="43" spans="1:19" x14ac:dyDescent="0.3">
      <c r="A43">
        <v>24.847000000000001</v>
      </c>
      <c r="B43">
        <f t="shared" si="0"/>
        <v>15.502400000000002</v>
      </c>
      <c r="C43">
        <v>1551.921</v>
      </c>
      <c r="D43">
        <v>300.73399999999998</v>
      </c>
      <c r="E43">
        <v>386.911</v>
      </c>
      <c r="I43">
        <f t="shared" si="1"/>
        <v>0.84638654717901707</v>
      </c>
      <c r="J43">
        <f t="shared" si="2"/>
        <v>0.54587103507736989</v>
      </c>
      <c r="K43" s="3">
        <f t="shared" si="3"/>
        <v>0.94354981686777195</v>
      </c>
      <c r="L43" s="2">
        <f t="shared" si="4"/>
        <v>0.89702369927716152</v>
      </c>
      <c r="M43" s="2">
        <f t="shared" si="5"/>
        <v>0.57852910924137002</v>
      </c>
      <c r="R43">
        <f t="shared" si="6"/>
        <v>0.90237537084513486</v>
      </c>
      <c r="S43">
        <f t="shared" si="7"/>
        <v>0.86279553412502386</v>
      </c>
    </row>
    <row r="44" spans="1:19" x14ac:dyDescent="0.3">
      <c r="A44">
        <v>25.3477</v>
      </c>
      <c r="B44">
        <f t="shared" si="0"/>
        <v>16.0031</v>
      </c>
      <c r="C44">
        <v>1541.6189999999999</v>
      </c>
      <c r="D44">
        <v>308.15600000000001</v>
      </c>
      <c r="E44">
        <v>387.51799999999997</v>
      </c>
      <c r="I44">
        <f t="shared" si="1"/>
        <v>0.84076804326738863</v>
      </c>
      <c r="J44">
        <f t="shared" si="2"/>
        <v>0.55934292326541735</v>
      </c>
      <c r="K44" s="3">
        <f t="shared" si="3"/>
        <v>0.94503009201848798</v>
      </c>
      <c r="L44" s="2">
        <f t="shared" si="4"/>
        <v>0.88967330285916479</v>
      </c>
      <c r="M44" s="2">
        <f t="shared" si="5"/>
        <v>0.59187842587183426</v>
      </c>
      <c r="R44">
        <f t="shared" si="6"/>
        <v>0.88775160896351435</v>
      </c>
      <c r="S44">
        <f t="shared" si="7"/>
        <v>0.91477028337566901</v>
      </c>
    </row>
    <row r="45" spans="1:19" x14ac:dyDescent="0.3">
      <c r="A45">
        <v>25.847100000000001</v>
      </c>
      <c r="B45">
        <f t="shared" si="0"/>
        <v>16.502500000000001</v>
      </c>
      <c r="C45">
        <v>1544.778</v>
      </c>
      <c r="D45">
        <v>311.78100000000001</v>
      </c>
      <c r="E45">
        <v>380.786</v>
      </c>
      <c r="I45">
        <f t="shared" si="1"/>
        <v>0.84249089842724445</v>
      </c>
      <c r="J45">
        <f t="shared" si="2"/>
        <v>0.56592276625675009</v>
      </c>
      <c r="K45" s="3">
        <f t="shared" si="3"/>
        <v>0.92861293828764602</v>
      </c>
      <c r="L45" s="2">
        <f t="shared" si="4"/>
        <v>0.90725733369684702</v>
      </c>
      <c r="M45" s="2">
        <f t="shared" si="5"/>
        <v>0.60942804361557423</v>
      </c>
      <c r="R45">
        <f t="shared" si="6"/>
        <v>0.92273539286661688</v>
      </c>
      <c r="S45">
        <f t="shared" si="7"/>
        <v>0.98309864855909623</v>
      </c>
    </row>
    <row r="46" spans="1:19" x14ac:dyDescent="0.3">
      <c r="A46">
        <v>26.347300000000001</v>
      </c>
      <c r="B46">
        <f t="shared" si="0"/>
        <v>17.002700000000001</v>
      </c>
      <c r="C46">
        <v>1562.3810000000001</v>
      </c>
      <c r="D46">
        <v>313.93799999999999</v>
      </c>
      <c r="E46">
        <v>376.14299999999997</v>
      </c>
      <c r="I46">
        <f t="shared" si="1"/>
        <v>0.85209122111763413</v>
      </c>
      <c r="J46">
        <f t="shared" si="2"/>
        <v>0.56983799972773064</v>
      </c>
      <c r="K46" s="3">
        <f t="shared" si="3"/>
        <v>0.91729017465539697</v>
      </c>
      <c r="L46" s="2">
        <f t="shared" si="4"/>
        <v>0.92892221530416319</v>
      </c>
      <c r="M46" s="2">
        <f t="shared" si="5"/>
        <v>0.62121890702885219</v>
      </c>
      <c r="R46">
        <f t="shared" si="6"/>
        <v>0.96583811165919564</v>
      </c>
      <c r="S46">
        <f t="shared" si="7"/>
        <v>1.029005655360868</v>
      </c>
    </row>
    <row r="47" spans="1:19" x14ac:dyDescent="0.3">
      <c r="A47">
        <v>26.8475</v>
      </c>
      <c r="B47">
        <f t="shared" si="0"/>
        <v>17.5029</v>
      </c>
      <c r="C47">
        <v>1550.54</v>
      </c>
      <c r="D47">
        <v>301.73399999999998</v>
      </c>
      <c r="E47">
        <v>368.48200000000003</v>
      </c>
      <c r="I47">
        <f t="shared" si="1"/>
        <v>0.84563337751274259</v>
      </c>
      <c r="J47">
        <f t="shared" si="2"/>
        <v>0.54768616417842719</v>
      </c>
      <c r="K47" s="3">
        <f t="shared" si="3"/>
        <v>0.89860749272848373</v>
      </c>
      <c r="L47" s="2">
        <f t="shared" si="4"/>
        <v>0.94104866068399518</v>
      </c>
      <c r="M47" s="2">
        <f t="shared" si="5"/>
        <v>0.60948319328549361</v>
      </c>
      <c r="R47">
        <f t="shared" si="6"/>
        <v>0.98996391925114458</v>
      </c>
      <c r="S47">
        <f t="shared" si="7"/>
        <v>0.98331337043173306</v>
      </c>
    </row>
    <row r="48" spans="1:19" x14ac:dyDescent="0.3">
      <c r="A48">
        <v>27.3477</v>
      </c>
      <c r="B48">
        <f t="shared" si="0"/>
        <v>18.0031</v>
      </c>
      <c r="C48">
        <v>1523.2380000000001</v>
      </c>
      <c r="D48">
        <v>297.96899999999999</v>
      </c>
      <c r="E48">
        <v>374.32100000000003</v>
      </c>
      <c r="I48">
        <f t="shared" si="1"/>
        <v>0.83074341500106741</v>
      </c>
      <c r="J48">
        <f t="shared" si="2"/>
        <v>0.54085220311294646</v>
      </c>
      <c r="K48" s="3">
        <f t="shared" si="3"/>
        <v>0.91284691052919475</v>
      </c>
      <c r="L48" s="2">
        <f t="shared" si="4"/>
        <v>0.91005776041841413</v>
      </c>
      <c r="M48" s="2">
        <f t="shared" si="5"/>
        <v>0.59248949289799768</v>
      </c>
      <c r="R48">
        <f t="shared" si="6"/>
        <v>0.9283068982949304</v>
      </c>
      <c r="S48">
        <f t="shared" si="7"/>
        <v>0.91714943553299388</v>
      </c>
    </row>
    <row r="49" spans="1:19" x14ac:dyDescent="0.3">
      <c r="A49">
        <v>27.847100000000001</v>
      </c>
      <c r="B49">
        <f t="shared" si="0"/>
        <v>18.502500000000001</v>
      </c>
      <c r="C49">
        <v>1527.365</v>
      </c>
      <c r="D49">
        <v>290.48399999999998</v>
      </c>
      <c r="E49">
        <v>366</v>
      </c>
      <c r="I49">
        <f t="shared" si="1"/>
        <v>0.83299419792120821</v>
      </c>
      <c r="J49">
        <f t="shared" si="2"/>
        <v>0.5272659617915324</v>
      </c>
      <c r="K49" s="3">
        <f t="shared" si="3"/>
        <v>0.89255470372670853</v>
      </c>
      <c r="L49" s="2">
        <f t="shared" si="4"/>
        <v>0.93326962979768557</v>
      </c>
      <c r="M49" s="2">
        <f t="shared" si="5"/>
        <v>0.59073797896086833</v>
      </c>
      <c r="R49">
        <f t="shared" si="6"/>
        <v>0.97448738045214378</v>
      </c>
      <c r="S49">
        <f t="shared" si="7"/>
        <v>0.91033002295845344</v>
      </c>
    </row>
    <row r="50" spans="1:19" x14ac:dyDescent="0.3">
      <c r="A50">
        <v>28.3477</v>
      </c>
      <c r="B50">
        <f t="shared" si="0"/>
        <v>19.0031</v>
      </c>
      <c r="C50">
        <v>1500.2860000000001</v>
      </c>
      <c r="D50">
        <v>279.15600000000001</v>
      </c>
      <c r="E50">
        <v>361.51799999999997</v>
      </c>
      <c r="I50">
        <f t="shared" si="1"/>
        <v>0.81822585513116886</v>
      </c>
      <c r="J50">
        <f t="shared" si="2"/>
        <v>0.5067041793347552</v>
      </c>
      <c r="K50" s="3">
        <f t="shared" si="3"/>
        <v>0.88162456661713717</v>
      </c>
      <c r="L50" s="2">
        <f t="shared" si="4"/>
        <v>0.92808876489316294</v>
      </c>
      <c r="M50" s="2">
        <f t="shared" si="5"/>
        <v>0.57473917869487123</v>
      </c>
      <c r="R50">
        <f t="shared" si="6"/>
        <v>0.96417994526142625</v>
      </c>
      <c r="S50">
        <f t="shared" si="7"/>
        <v>0.84803967093858112</v>
      </c>
    </row>
    <row r="51" spans="1:19" x14ac:dyDescent="0.3">
      <c r="A51">
        <v>28.847100000000001</v>
      </c>
      <c r="B51">
        <f t="shared" si="0"/>
        <v>19.502500000000001</v>
      </c>
      <c r="C51">
        <v>1500.2539999999999</v>
      </c>
      <c r="D51">
        <v>289.125</v>
      </c>
      <c r="E51">
        <v>366.661</v>
      </c>
      <c r="I51">
        <f t="shared" si="1"/>
        <v>0.81820840297380404</v>
      </c>
      <c r="J51">
        <f t="shared" si="2"/>
        <v>0.52479920134319558</v>
      </c>
      <c r="K51" s="3">
        <f t="shared" si="3"/>
        <v>0.8941666672763352</v>
      </c>
      <c r="L51" s="2">
        <f t="shared" si="4"/>
        <v>0.91505133541389683</v>
      </c>
      <c r="M51" s="2">
        <f t="shared" si="5"/>
        <v>0.5869142974673317</v>
      </c>
      <c r="R51">
        <f t="shared" si="6"/>
        <v>0.93824171643523624</v>
      </c>
      <c r="S51">
        <f t="shared" si="7"/>
        <v>0.89544275252040206</v>
      </c>
    </row>
    <row r="52" spans="1:19" x14ac:dyDescent="0.3">
      <c r="A52">
        <v>29.347300000000001</v>
      </c>
      <c r="B52">
        <f t="shared" si="0"/>
        <v>20.002700000000001</v>
      </c>
      <c r="C52">
        <v>1496.46</v>
      </c>
      <c r="D52">
        <v>296.15600000000001</v>
      </c>
      <c r="E52">
        <v>360.161</v>
      </c>
      <c r="I52">
        <f t="shared" si="1"/>
        <v>0.81613923156624069</v>
      </c>
      <c r="J52">
        <f t="shared" si="2"/>
        <v>0.53756137405272952</v>
      </c>
      <c r="K52" s="3">
        <f t="shared" si="3"/>
        <v>0.8783152859259975</v>
      </c>
      <c r="L52" s="2">
        <f t="shared" si="4"/>
        <v>0.92920986876118716</v>
      </c>
      <c r="M52" s="2">
        <f t="shared" si="5"/>
        <v>0.61203691051099596</v>
      </c>
      <c r="R52">
        <f t="shared" si="6"/>
        <v>0.96641040401197864</v>
      </c>
      <c r="S52">
        <f t="shared" si="7"/>
        <v>0.99325611253057877</v>
      </c>
    </row>
    <row r="53" spans="1:19" x14ac:dyDescent="0.3">
      <c r="A53">
        <v>29.847200000000001</v>
      </c>
      <c r="B53">
        <f t="shared" si="0"/>
        <v>20.502600000000001</v>
      </c>
      <c r="C53">
        <v>1518.7619999999999</v>
      </c>
      <c r="D53">
        <v>295.67200000000003</v>
      </c>
      <c r="E53">
        <v>370.964</v>
      </c>
      <c r="I53">
        <f t="shared" si="1"/>
        <v>0.82830229448966686</v>
      </c>
      <c r="J53">
        <f t="shared" si="2"/>
        <v>0.53668285156781781</v>
      </c>
      <c r="K53" s="3">
        <f t="shared" si="3"/>
        <v>0.90466028173025881</v>
      </c>
      <c r="L53" s="2">
        <f t="shared" si="4"/>
        <v>0.91559484948919256</v>
      </c>
      <c r="M53" s="2">
        <f t="shared" si="5"/>
        <v>0.5932424164144301</v>
      </c>
      <c r="R53">
        <f t="shared" si="6"/>
        <v>0.93932304864705729</v>
      </c>
      <c r="S53">
        <f t="shared" si="7"/>
        <v>0.92008089727405284</v>
      </c>
    </row>
    <row r="54" spans="1:19" x14ac:dyDescent="0.3">
      <c r="A54">
        <v>30.3474</v>
      </c>
      <c r="B54">
        <f t="shared" si="0"/>
        <v>21.002800000000001</v>
      </c>
      <c r="C54">
        <v>1538.5709999999999</v>
      </c>
      <c r="D54">
        <v>295.46899999999999</v>
      </c>
      <c r="E54">
        <v>366.23200000000003</v>
      </c>
      <c r="I54">
        <f t="shared" si="1"/>
        <v>0.839105725278392</v>
      </c>
      <c r="J54">
        <f t="shared" si="2"/>
        <v>0.53631438036030321</v>
      </c>
      <c r="K54" s="3">
        <f t="shared" si="3"/>
        <v>0.89312047610721301</v>
      </c>
      <c r="L54" s="2">
        <f t="shared" si="4"/>
        <v>0.93952131624587576</v>
      </c>
      <c r="M54" s="2">
        <f t="shared" si="5"/>
        <v>0.60049500006751866</v>
      </c>
      <c r="R54">
        <f t="shared" si="6"/>
        <v>0.98692523669525012</v>
      </c>
      <c r="S54">
        <f t="shared" si="7"/>
        <v>0.94831838891676157</v>
      </c>
    </row>
    <row r="55" spans="1:19" x14ac:dyDescent="0.3">
      <c r="A55">
        <v>30.846900000000002</v>
      </c>
      <c r="B55">
        <f t="shared" si="0"/>
        <v>21.502300000000002</v>
      </c>
      <c r="C55">
        <v>1538.921</v>
      </c>
      <c r="D55">
        <v>317.48399999999998</v>
      </c>
      <c r="E55">
        <v>378.286</v>
      </c>
      <c r="I55">
        <f t="shared" si="1"/>
        <v>0.83929660824956942</v>
      </c>
      <c r="J55">
        <f t="shared" si="2"/>
        <v>0.57627444752007984</v>
      </c>
      <c r="K55" s="3">
        <f t="shared" si="3"/>
        <v>0.92251625315290076</v>
      </c>
      <c r="L55" s="2">
        <f t="shared" si="4"/>
        <v>0.90979059217774205</v>
      </c>
      <c r="M55" s="2">
        <f t="shared" si="5"/>
        <v>0.6246767420633903</v>
      </c>
      <c r="R55">
        <f t="shared" si="6"/>
        <v>0.92777536169312835</v>
      </c>
      <c r="S55">
        <f t="shared" si="7"/>
        <v>1.042468524947771</v>
      </c>
    </row>
    <row r="56" spans="1:19" x14ac:dyDescent="0.3">
      <c r="A56">
        <v>31.347799999999999</v>
      </c>
      <c r="B56">
        <f t="shared" si="0"/>
        <v>22.0032</v>
      </c>
      <c r="C56">
        <v>1532.127</v>
      </c>
      <c r="D56">
        <v>304.03100000000001</v>
      </c>
      <c r="E56">
        <v>374.411</v>
      </c>
      <c r="I56">
        <f t="shared" si="1"/>
        <v>0.83559129708905655</v>
      </c>
      <c r="J56">
        <f t="shared" si="2"/>
        <v>0.55185551572355585</v>
      </c>
      <c r="K56" s="3">
        <f t="shared" si="3"/>
        <v>0.91306639119404553</v>
      </c>
      <c r="L56" s="2">
        <f t="shared" si="4"/>
        <v>0.91514845486353691</v>
      </c>
      <c r="M56" s="2">
        <f t="shared" si="5"/>
        <v>0.60439801644859259</v>
      </c>
      <c r="R56">
        <f t="shared" si="6"/>
        <v>0.93843493753854068</v>
      </c>
      <c r="S56">
        <f t="shared" si="7"/>
        <v>0.96351454489560306</v>
      </c>
    </row>
    <row r="57" spans="1:19" x14ac:dyDescent="0.3">
      <c r="A57">
        <v>31.847200000000001</v>
      </c>
      <c r="B57">
        <f t="shared" si="0"/>
        <v>22.502600000000001</v>
      </c>
      <c r="C57">
        <v>1544.048</v>
      </c>
      <c r="D57">
        <v>312.56200000000001</v>
      </c>
      <c r="E57">
        <v>369.42899999999997</v>
      </c>
      <c r="I57">
        <f t="shared" si="1"/>
        <v>0.84209277108736003</v>
      </c>
      <c r="J57">
        <f t="shared" si="2"/>
        <v>0.56734038208467585</v>
      </c>
      <c r="K57" s="3">
        <f t="shared" si="3"/>
        <v>0.90091691705752508</v>
      </c>
      <c r="L57" s="2">
        <f t="shared" si="4"/>
        <v>0.93470635875915176</v>
      </c>
      <c r="M57" s="2">
        <f t="shared" si="5"/>
        <v>0.62973662869786051</v>
      </c>
      <c r="R57">
        <f t="shared" si="6"/>
        <v>0.97734578169013242</v>
      </c>
      <c r="S57">
        <f t="shared" si="7"/>
        <v>1.0621688846248443</v>
      </c>
    </row>
    <row r="58" spans="1:19" x14ac:dyDescent="0.3">
      <c r="A58">
        <v>32.3476</v>
      </c>
      <c r="B58">
        <f t="shared" si="0"/>
        <v>23.003</v>
      </c>
      <c r="C58">
        <v>1531.7619999999999</v>
      </c>
      <c r="D58">
        <v>301.73399999999998</v>
      </c>
      <c r="E58">
        <v>376.911</v>
      </c>
      <c r="I58">
        <f t="shared" si="1"/>
        <v>0.83539223341911439</v>
      </c>
      <c r="J58">
        <f t="shared" si="2"/>
        <v>0.54768616417842719</v>
      </c>
      <c r="K58" s="3">
        <f t="shared" si="3"/>
        <v>0.9191630763287908</v>
      </c>
      <c r="L58" s="2">
        <f t="shared" si="4"/>
        <v>0.90886182760488632</v>
      </c>
      <c r="M58" s="2">
        <f t="shared" si="5"/>
        <v>0.59585309536793907</v>
      </c>
      <c r="R58">
        <f t="shared" si="6"/>
        <v>0.92592756584850244</v>
      </c>
      <c r="S58">
        <f t="shared" si="7"/>
        <v>0.93024541638306191</v>
      </c>
    </row>
    <row r="59" spans="1:19" x14ac:dyDescent="0.3">
      <c r="A59">
        <v>32.847000000000001</v>
      </c>
      <c r="B59">
        <f t="shared" si="0"/>
        <v>23.502400000000002</v>
      </c>
      <c r="C59">
        <v>1564.19</v>
      </c>
      <c r="D59">
        <v>301.15600000000001</v>
      </c>
      <c r="E59">
        <v>376.661</v>
      </c>
      <c r="I59">
        <f t="shared" si="1"/>
        <v>0.85307781338866262</v>
      </c>
      <c r="J59">
        <f t="shared" si="2"/>
        <v>0.54663701955801614</v>
      </c>
      <c r="K59" s="3">
        <f t="shared" si="3"/>
        <v>0.91855340781531636</v>
      </c>
      <c r="L59" s="2">
        <f t="shared" si="4"/>
        <v>0.92871879428069337</v>
      </c>
      <c r="M59" s="2">
        <f t="shared" si="5"/>
        <v>0.59510640851916863</v>
      </c>
      <c r="R59">
        <f t="shared" si="6"/>
        <v>0.96543340143136969</v>
      </c>
      <c r="S59">
        <f t="shared" si="7"/>
        <v>0.92733823672676152</v>
      </c>
    </row>
    <row r="60" spans="1:19" x14ac:dyDescent="0.3">
      <c r="A60">
        <v>33.347200000000001</v>
      </c>
      <c r="B60">
        <f t="shared" si="0"/>
        <v>24.002600000000001</v>
      </c>
      <c r="C60">
        <v>1542.857</v>
      </c>
      <c r="D60">
        <v>304.5</v>
      </c>
      <c r="E60">
        <v>372.14299999999997</v>
      </c>
      <c r="I60">
        <f t="shared" si="1"/>
        <v>0.84144322360543911</v>
      </c>
      <c r="J60">
        <f t="shared" si="2"/>
        <v>0.55270681127195176</v>
      </c>
      <c r="K60" s="3">
        <f t="shared" si="3"/>
        <v>0.90753547843980453</v>
      </c>
      <c r="L60" s="2">
        <f t="shared" si="4"/>
        <v>0.9271739161669047</v>
      </c>
      <c r="M60" s="2">
        <f t="shared" si="5"/>
        <v>0.60901950877131683</v>
      </c>
      <c r="R60">
        <f t="shared" si="6"/>
        <v>0.96235983527419511</v>
      </c>
      <c r="S60">
        <f t="shared" si="7"/>
        <v>0.98150804308630568</v>
      </c>
    </row>
    <row r="61" spans="1:19" x14ac:dyDescent="0.3">
      <c r="A61">
        <v>33.8474</v>
      </c>
      <c r="B61">
        <f t="shared" si="0"/>
        <v>24.502800000000001</v>
      </c>
      <c r="C61">
        <v>1546.952</v>
      </c>
      <c r="D61">
        <v>309.70299999999997</v>
      </c>
      <c r="E61">
        <v>372.714</v>
      </c>
      <c r="I61">
        <f t="shared" si="1"/>
        <v>0.84367655436821509</v>
      </c>
      <c r="J61">
        <f t="shared" si="2"/>
        <v>0.56215092798475297</v>
      </c>
      <c r="K61" s="3">
        <f t="shared" si="3"/>
        <v>0.90892796132458042</v>
      </c>
      <c r="L61" s="2">
        <f t="shared" si="4"/>
        <v>0.92821058463062955</v>
      </c>
      <c r="M61" s="2">
        <f t="shared" si="5"/>
        <v>0.6184768781516311</v>
      </c>
      <c r="R61">
        <f t="shared" si="6"/>
        <v>0.96442230808540019</v>
      </c>
      <c r="S61">
        <f t="shared" si="7"/>
        <v>1.0183297333435297</v>
      </c>
    </row>
    <row r="62" spans="1:19" x14ac:dyDescent="0.3">
      <c r="A62">
        <v>34.3476</v>
      </c>
      <c r="B62">
        <f t="shared" si="0"/>
        <v>25.003</v>
      </c>
      <c r="C62">
        <v>1553.9369999999999</v>
      </c>
      <c r="D62">
        <v>314.125</v>
      </c>
      <c r="E62">
        <v>373.57100000000003</v>
      </c>
      <c r="I62">
        <f t="shared" si="1"/>
        <v>0.84748603309299897</v>
      </c>
      <c r="J62">
        <f t="shared" si="2"/>
        <v>0.57017742886962841</v>
      </c>
      <c r="K62" s="3">
        <f t="shared" si="3"/>
        <v>0.91101790498877122</v>
      </c>
      <c r="L62" s="2">
        <f t="shared" si="4"/>
        <v>0.93026276262204166</v>
      </c>
      <c r="M62" s="2">
        <f t="shared" si="5"/>
        <v>0.62586852107660407</v>
      </c>
      <c r="R62">
        <f t="shared" si="6"/>
        <v>0.96850515757793021</v>
      </c>
      <c r="S62">
        <f t="shared" si="7"/>
        <v>1.047108643770978</v>
      </c>
    </row>
    <row r="63" spans="1:19" x14ac:dyDescent="0.3">
      <c r="A63">
        <v>34.847200000000001</v>
      </c>
      <c r="B63">
        <f t="shared" si="0"/>
        <v>25.502600000000001</v>
      </c>
      <c r="C63">
        <v>1528.6189999999999</v>
      </c>
      <c r="D63">
        <v>305.46899999999999</v>
      </c>
      <c r="E63">
        <v>376.339</v>
      </c>
      <c r="I63">
        <f t="shared" si="1"/>
        <v>0.83367810433794098</v>
      </c>
      <c r="J63">
        <f t="shared" si="2"/>
        <v>0.55446567137087632</v>
      </c>
      <c r="K63" s="3">
        <f t="shared" si="3"/>
        <v>0.9177681547699611</v>
      </c>
      <c r="L63" s="2">
        <f t="shared" si="4"/>
        <v>0.90837549767337777</v>
      </c>
      <c r="M63" s="2">
        <f t="shared" si="5"/>
        <v>0.60414568591111484</v>
      </c>
      <c r="R63">
        <f t="shared" si="6"/>
        <v>0.92496000264376521</v>
      </c>
      <c r="S63">
        <f t="shared" si="7"/>
        <v>0.96253211135411698</v>
      </c>
    </row>
    <row r="64" spans="1:19" x14ac:dyDescent="0.3">
      <c r="A64">
        <v>35.3474</v>
      </c>
      <c r="B64">
        <f t="shared" si="0"/>
        <v>26.002800000000001</v>
      </c>
      <c r="C64">
        <v>1557.6030000000001</v>
      </c>
      <c r="D64">
        <v>306.25</v>
      </c>
      <c r="E64">
        <v>374.51799999999997</v>
      </c>
      <c r="I64">
        <f t="shared" si="1"/>
        <v>0.84948539587110328</v>
      </c>
      <c r="J64">
        <f t="shared" si="2"/>
        <v>0.55588328719880209</v>
      </c>
      <c r="K64" s="3">
        <f t="shared" si="3"/>
        <v>0.91332732931781258</v>
      </c>
      <c r="L64" s="2">
        <f t="shared" si="4"/>
        <v>0.93009961336162528</v>
      </c>
      <c r="M64" s="2">
        <f t="shared" si="5"/>
        <v>0.60863533735928543</v>
      </c>
      <c r="R64">
        <f t="shared" si="6"/>
        <v>0.96818056883470949</v>
      </c>
      <c r="S64">
        <f t="shared" si="7"/>
        <v>0.98001229514936405</v>
      </c>
    </row>
    <row r="65" spans="1:19" x14ac:dyDescent="0.3">
      <c r="A65">
        <v>35.847499999999997</v>
      </c>
      <c r="B65">
        <f t="shared" si="0"/>
        <v>26.502899999999997</v>
      </c>
      <c r="C65">
        <v>1527.143</v>
      </c>
      <c r="D65">
        <v>300.23399999999998</v>
      </c>
      <c r="E65">
        <v>374.375</v>
      </c>
      <c r="I65">
        <f t="shared" si="1"/>
        <v>0.83287312357948995</v>
      </c>
      <c r="J65">
        <f t="shared" si="2"/>
        <v>0.54496347052684124</v>
      </c>
      <c r="K65" s="3">
        <f t="shared" si="3"/>
        <v>0.91297859892810518</v>
      </c>
      <c r="L65" s="2">
        <f t="shared" si="4"/>
        <v>0.91225919704726466</v>
      </c>
      <c r="M65" s="2">
        <f t="shared" si="5"/>
        <v>0.59690716865287197</v>
      </c>
      <c r="R65">
        <f t="shared" si="6"/>
        <v>0.9326867008561861</v>
      </c>
      <c r="S65">
        <f t="shared" si="7"/>
        <v>0.93434938636090825</v>
      </c>
    </row>
    <row r="66" spans="1:19" x14ac:dyDescent="0.3">
      <c r="A66">
        <v>36.347499999999997</v>
      </c>
      <c r="B66">
        <f t="shared" si="0"/>
        <v>27.002899999999997</v>
      </c>
      <c r="C66">
        <v>1522.0630000000001</v>
      </c>
      <c r="D66">
        <v>304.43799999999999</v>
      </c>
      <c r="E66">
        <v>364.44600000000003</v>
      </c>
      <c r="I66">
        <f t="shared" si="1"/>
        <v>0.8301025935978289</v>
      </c>
      <c r="J66">
        <f t="shared" si="2"/>
        <v>0.55259427326768618</v>
      </c>
      <c r="K66" s="3">
        <f t="shared" si="3"/>
        <v>0.88876500424695093</v>
      </c>
      <c r="L66" s="2">
        <f t="shared" si="4"/>
        <v>0.93399558897030766</v>
      </c>
      <c r="M66" s="2">
        <f t="shared" si="5"/>
        <v>0.62175521158812763</v>
      </c>
      <c r="R66">
        <f t="shared" si="6"/>
        <v>0.97593169086378506</v>
      </c>
      <c r="S66">
        <f t="shared" si="7"/>
        <v>1.0310937244180292</v>
      </c>
    </row>
    <row r="67" spans="1:19" x14ac:dyDescent="0.3">
      <c r="A67">
        <v>36.847499999999997</v>
      </c>
      <c r="B67">
        <f t="shared" ref="B67:B76" si="8">A67-$A$12</f>
        <v>27.502899999999997</v>
      </c>
      <c r="C67">
        <v>1546.19</v>
      </c>
      <c r="D67">
        <v>296.875</v>
      </c>
      <c r="E67">
        <v>365.411</v>
      </c>
      <c r="I67">
        <f t="shared" ref="I67:I76" si="9">C67/$F$2</f>
        <v>0.84326097487096596</v>
      </c>
      <c r="J67">
        <f t="shared" ref="J67:J76" si="10">D67/$G$2</f>
        <v>0.53886645187638971</v>
      </c>
      <c r="K67" s="3">
        <f t="shared" ref="K67:K76" si="11">E67/$H$2</f>
        <v>0.89111832470896257</v>
      </c>
      <c r="L67" s="2">
        <f t="shared" ref="L67:L76" si="12">I67/K67</f>
        <v>0.94629517931456886</v>
      </c>
      <c r="M67" s="2">
        <f t="shared" ref="M67:M76" si="13">J67/K67</f>
        <v>0.60470808077297977</v>
      </c>
      <c r="R67">
        <f t="shared" ref="R67:R76" si="14">(L67-$L$12)/($N$12-$L$12)</f>
        <v>1.0004019738536343</v>
      </c>
      <c r="S67">
        <f t="shared" ref="S67:S76" si="15">(M67-$M$12)/($O$12-$M$12)</f>
        <v>0.96472176141145216</v>
      </c>
    </row>
    <row r="68" spans="1:19" x14ac:dyDescent="0.3">
      <c r="A68">
        <v>37.347499999999997</v>
      </c>
      <c r="B68">
        <f t="shared" si="8"/>
        <v>28.002899999999997</v>
      </c>
      <c r="C68">
        <v>1525.81</v>
      </c>
      <c r="D68">
        <v>295.70299999999997</v>
      </c>
      <c r="E68">
        <v>365.85700000000003</v>
      </c>
      <c r="I68">
        <f t="shared" si="9"/>
        <v>0.8321461321492627</v>
      </c>
      <c r="J68">
        <f t="shared" si="10"/>
        <v>0.53673912056995055</v>
      </c>
      <c r="K68" s="3">
        <f t="shared" si="11"/>
        <v>0.89220597333700113</v>
      </c>
      <c r="L68" s="2">
        <f t="shared" si="12"/>
        <v>0.93268388356210563</v>
      </c>
      <c r="M68" s="2">
        <f t="shared" si="13"/>
        <v>0.60158655804831196</v>
      </c>
      <c r="R68">
        <f t="shared" si="14"/>
        <v>0.97332202650589894</v>
      </c>
      <c r="S68">
        <f t="shared" si="15"/>
        <v>0.95256830326929121</v>
      </c>
    </row>
    <row r="69" spans="1:19" x14ac:dyDescent="0.3">
      <c r="A69">
        <v>37.846899999999998</v>
      </c>
      <c r="B69">
        <f t="shared" si="8"/>
        <v>28.502299999999998</v>
      </c>
      <c r="C69">
        <v>1545.54</v>
      </c>
      <c r="D69">
        <v>306.84399999999999</v>
      </c>
      <c r="E69">
        <v>365.26799999999997</v>
      </c>
      <c r="I69">
        <f t="shared" si="9"/>
        <v>0.84290647792449358</v>
      </c>
      <c r="J69">
        <f t="shared" si="10"/>
        <v>0.55696147388483008</v>
      </c>
      <c r="K69" s="3">
        <f t="shared" si="11"/>
        <v>0.89076959431925506</v>
      </c>
      <c r="L69" s="2">
        <f t="shared" si="12"/>
        <v>0.94626768055398269</v>
      </c>
      <c r="M69" s="2">
        <f t="shared" si="13"/>
        <v>0.62525873967495693</v>
      </c>
      <c r="R69">
        <f t="shared" si="14"/>
        <v>1.0003472645149833</v>
      </c>
      <c r="S69">
        <f t="shared" si="15"/>
        <v>1.0447344971142127</v>
      </c>
    </row>
    <row r="70" spans="1:19" x14ac:dyDescent="0.3">
      <c r="A70">
        <v>38.347799999999999</v>
      </c>
      <c r="B70">
        <f t="shared" si="8"/>
        <v>29.0032</v>
      </c>
      <c r="C70">
        <v>1533.444</v>
      </c>
      <c r="D70">
        <v>303.89100000000002</v>
      </c>
      <c r="E70">
        <v>364.42899999999997</v>
      </c>
      <c r="I70">
        <f t="shared" si="9"/>
        <v>0.8363095624406014</v>
      </c>
      <c r="J70">
        <f t="shared" si="10"/>
        <v>0.55160139764940785</v>
      </c>
      <c r="K70" s="3">
        <f t="shared" si="11"/>
        <v>0.88872354678803456</v>
      </c>
      <c r="L70" s="2">
        <f t="shared" si="12"/>
        <v>0.94102329736073242</v>
      </c>
      <c r="M70" s="2">
        <f t="shared" si="13"/>
        <v>0.62066702254370198</v>
      </c>
      <c r="R70">
        <f t="shared" si="14"/>
        <v>0.98991345840810585</v>
      </c>
      <c r="S70">
        <f t="shared" si="15"/>
        <v>1.0268569268135548</v>
      </c>
    </row>
    <row r="71" spans="1:19" x14ac:dyDescent="0.3">
      <c r="A71">
        <v>38.847299999999997</v>
      </c>
      <c r="B71">
        <f t="shared" si="8"/>
        <v>29.502699999999997</v>
      </c>
      <c r="C71">
        <v>1537.0160000000001</v>
      </c>
      <c r="D71">
        <v>293.15600000000001</v>
      </c>
      <c r="E71">
        <v>364.60700000000003</v>
      </c>
      <c r="I71">
        <f t="shared" si="9"/>
        <v>0.8382576595064466</v>
      </c>
      <c r="J71">
        <f t="shared" si="10"/>
        <v>0.53211598674955762</v>
      </c>
      <c r="K71" s="3">
        <f t="shared" si="11"/>
        <v>0.8891576307696285</v>
      </c>
      <c r="L71" s="2">
        <f t="shared" si="12"/>
        <v>0.94275483952252159</v>
      </c>
      <c r="M71" s="2">
        <f t="shared" si="13"/>
        <v>0.59844955307752778</v>
      </c>
      <c r="R71">
        <f t="shared" si="14"/>
        <v>0.99335839645253476</v>
      </c>
      <c r="S71">
        <f t="shared" si="15"/>
        <v>0.9403545659471535</v>
      </c>
    </row>
    <row r="72" spans="1:19" x14ac:dyDescent="0.3">
      <c r="A72">
        <v>39.347499999999997</v>
      </c>
      <c r="B72">
        <f t="shared" si="8"/>
        <v>30.002899999999997</v>
      </c>
      <c r="C72">
        <v>1550.8409999999999</v>
      </c>
      <c r="D72">
        <v>302.75</v>
      </c>
      <c r="E72">
        <v>361.411</v>
      </c>
      <c r="I72">
        <f t="shared" si="9"/>
        <v>0.84579753686795511</v>
      </c>
      <c r="J72">
        <f t="shared" si="10"/>
        <v>0.54953033534510143</v>
      </c>
      <c r="K72" s="3">
        <f t="shared" si="11"/>
        <v>0.88136362849337013</v>
      </c>
      <c r="L72" s="2">
        <f t="shared" si="12"/>
        <v>0.95964651765104858</v>
      </c>
      <c r="M72" s="2">
        <f t="shared" si="13"/>
        <v>0.62350012818714262</v>
      </c>
      <c r="R72">
        <f t="shared" si="14"/>
        <v>1.0269647306806795</v>
      </c>
      <c r="S72">
        <f t="shared" si="15"/>
        <v>1.0378874506594256</v>
      </c>
    </row>
    <row r="73" spans="1:19" x14ac:dyDescent="0.3">
      <c r="A73">
        <v>39.847000000000001</v>
      </c>
      <c r="B73">
        <f t="shared" si="8"/>
        <v>30.502400000000002</v>
      </c>
      <c r="C73">
        <v>1547.73</v>
      </c>
      <c r="D73">
        <v>294</v>
      </c>
      <c r="E73">
        <v>358.339</v>
      </c>
      <c r="I73">
        <f t="shared" si="9"/>
        <v>0.84410085994414663</v>
      </c>
      <c r="J73">
        <f t="shared" si="10"/>
        <v>0.53364795571085</v>
      </c>
      <c r="K73" s="3">
        <f t="shared" si="11"/>
        <v>0.87387202179979506</v>
      </c>
      <c r="L73" s="2">
        <f t="shared" si="12"/>
        <v>0.96593189721953465</v>
      </c>
      <c r="M73" s="2">
        <f t="shared" si="13"/>
        <v>0.61067060438869303</v>
      </c>
      <c r="R73">
        <f t="shared" si="14"/>
        <v>1.0394696200659779</v>
      </c>
      <c r="S73">
        <f t="shared" si="15"/>
        <v>0.98793648306398441</v>
      </c>
    </row>
    <row r="74" spans="1:19" x14ac:dyDescent="0.3">
      <c r="A74">
        <v>40.347799999999999</v>
      </c>
      <c r="B74">
        <f t="shared" si="8"/>
        <v>31.0032</v>
      </c>
      <c r="C74">
        <v>1532.556</v>
      </c>
      <c r="D74">
        <v>305.32799999999997</v>
      </c>
      <c r="E74">
        <v>362.036</v>
      </c>
      <c r="I74">
        <f t="shared" si="9"/>
        <v>0.83582526507372834</v>
      </c>
      <c r="J74">
        <f t="shared" si="10"/>
        <v>0.5542097381676272</v>
      </c>
      <c r="K74" s="3">
        <f t="shared" si="11"/>
        <v>0.88288779977705645</v>
      </c>
      <c r="L74" s="2">
        <f t="shared" si="12"/>
        <v>0.94669477286331039</v>
      </c>
      <c r="M74" s="2">
        <f t="shared" si="13"/>
        <v>0.62772386061691443</v>
      </c>
      <c r="R74">
        <f t="shared" si="14"/>
        <v>1.0011969732759676</v>
      </c>
      <c r="S74">
        <f t="shared" si="15"/>
        <v>1.0543322949923728</v>
      </c>
    </row>
    <row r="75" spans="1:19" x14ac:dyDescent="0.3">
      <c r="A75">
        <v>40.8474</v>
      </c>
      <c r="B75">
        <f t="shared" si="8"/>
        <v>31.502800000000001</v>
      </c>
      <c r="C75">
        <v>1527.6189999999999</v>
      </c>
      <c r="D75">
        <v>294.60899999999998</v>
      </c>
      <c r="E75">
        <v>363.44600000000003</v>
      </c>
      <c r="I75">
        <f t="shared" si="9"/>
        <v>0.83313272442029118</v>
      </c>
      <c r="J75">
        <f t="shared" si="10"/>
        <v>0.53475336933339379</v>
      </c>
      <c r="K75" s="3">
        <f t="shared" si="11"/>
        <v>0.88632633019305285</v>
      </c>
      <c r="L75" s="2">
        <f t="shared" si="12"/>
        <v>0.93998417517261901</v>
      </c>
      <c r="M75" s="2">
        <f t="shared" si="13"/>
        <v>0.60333688746098502</v>
      </c>
      <c r="R75">
        <f t="shared" si="14"/>
        <v>0.98784610386275462</v>
      </c>
      <c r="S75">
        <f t="shared" si="15"/>
        <v>0.95938310397018278</v>
      </c>
    </row>
    <row r="76" spans="1:19" x14ac:dyDescent="0.3">
      <c r="A76">
        <v>41.3476</v>
      </c>
      <c r="B76">
        <f t="shared" si="8"/>
        <v>32.003</v>
      </c>
      <c r="C76">
        <v>1537.6189999999999</v>
      </c>
      <c r="D76">
        <v>297.95299999999997</v>
      </c>
      <c r="E76">
        <v>361.30399999999997</v>
      </c>
      <c r="I76">
        <f t="shared" si="9"/>
        <v>0.83858652359678931</v>
      </c>
      <c r="J76">
        <f t="shared" si="10"/>
        <v>0.54082316104732953</v>
      </c>
      <c r="K76" s="3">
        <f t="shared" si="11"/>
        <v>0.88110269036960298</v>
      </c>
      <c r="L76" s="2">
        <f t="shared" si="12"/>
        <v>0.95174663834589013</v>
      </c>
      <c r="M76" s="2">
        <f t="shared" si="13"/>
        <v>0.61380264407144902</v>
      </c>
      <c r="R76">
        <f t="shared" si="14"/>
        <v>1.0112477615156796</v>
      </c>
      <c r="S76">
        <f t="shared" si="15"/>
        <v>1.0001308883403428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E32F-5C09-4256-BEC2-EC774E1EDB8A}">
  <dimension ref="A1:S76"/>
  <sheetViews>
    <sheetView topLeftCell="B13" workbookViewId="0">
      <selection activeCell="E2" sqref="E2:E76"/>
    </sheetView>
  </sheetViews>
  <sheetFormatPr baseColWidth="10" defaultRowHeight="14.4" x14ac:dyDescent="0.3"/>
  <sheetData>
    <row r="1" spans="1:19" x14ac:dyDescent="0.3">
      <c r="A1" t="s">
        <v>0</v>
      </c>
      <c r="B1" t="s">
        <v>2</v>
      </c>
      <c r="C1" t="s">
        <v>13</v>
      </c>
      <c r="D1" t="s">
        <v>1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-7.9443999999999999</v>
      </c>
      <c r="C2">
        <v>533.60400000000004</v>
      </c>
      <c r="D2">
        <v>88.358000000000004</v>
      </c>
      <c r="E2">
        <v>168.05699999999999</v>
      </c>
      <c r="F2">
        <f>AVERAGE(C2:C11)</f>
        <v>514.14920000000006</v>
      </c>
      <c r="G2">
        <f>AVERAGE(D2:D11)</f>
        <v>84.983100000000007</v>
      </c>
      <c r="H2">
        <f>AVERAGE(E2:E11)</f>
        <v>168.2132</v>
      </c>
      <c r="I2">
        <f>C2/$F$2</f>
        <v>1.0378388218828309</v>
      </c>
      <c r="J2">
        <f>D2/$G$2</f>
        <v>1.0397126016819815</v>
      </c>
      <c r="K2" s="3">
        <f>E2/$H$2</f>
        <v>0.99907141651190268</v>
      </c>
      <c r="L2" s="2">
        <f>I2/K2</f>
        <v>1.0388034376023672</v>
      </c>
      <c r="M2" s="2">
        <f>J2/K2</f>
        <v>1.0406789589797003</v>
      </c>
      <c r="R2">
        <f>(L2-$L$12)/($N$12-$L$12)</f>
        <v>1.2057933936284801</v>
      </c>
      <c r="S2">
        <f>(M2-$M$12)/($O$12-$M$12)</f>
        <v>2.454454664899592</v>
      </c>
    </row>
    <row r="3" spans="1:19" x14ac:dyDescent="0.3">
      <c r="A3">
        <v>0.50309999999999999</v>
      </c>
      <c r="B3">
        <f t="shared" ref="B3:B66" si="0">A3-$A$12</f>
        <v>-7.4413</v>
      </c>
      <c r="C3">
        <v>525.774</v>
      </c>
      <c r="D3">
        <v>88.415000000000006</v>
      </c>
      <c r="E3">
        <v>170.58500000000001</v>
      </c>
      <c r="I3">
        <f t="shared" ref="I3:I66" si="1">C3/$F$2</f>
        <v>1.0226097794181144</v>
      </c>
      <c r="J3">
        <f t="shared" ref="J3:J66" si="2">D3/$G$2</f>
        <v>1.0403833232725095</v>
      </c>
      <c r="K3" s="3">
        <f t="shared" ref="K3:K66" si="3">E3/$H$2</f>
        <v>1.0140999636175996</v>
      </c>
      <c r="L3" s="2">
        <f t="shared" ref="L3:L66" si="4">I3/K3</f>
        <v>1.0083914960120477</v>
      </c>
      <c r="M3" s="2">
        <f t="shared" ref="M3:M66" si="5">J3/K3</f>
        <v>1.0259179179547047</v>
      </c>
      <c r="R3">
        <f t="shared" ref="R3:R66" si="6">(L3-$L$12)/($N$12-$L$12)</f>
        <v>1.1461500624674943</v>
      </c>
      <c r="S3">
        <f t="shared" ref="S3:S66" si="7">(M3-$M$12)/($O$12-$M$12)</f>
        <v>2.3490835275434678</v>
      </c>
    </row>
    <row r="4" spans="1:19" x14ac:dyDescent="0.3">
      <c r="A4">
        <v>1.0026999999999999</v>
      </c>
      <c r="B4">
        <f t="shared" si="0"/>
        <v>-6.9417</v>
      </c>
      <c r="C4">
        <v>515.67899999999997</v>
      </c>
      <c r="D4">
        <v>80.34</v>
      </c>
      <c r="E4">
        <v>167.52799999999999</v>
      </c>
      <c r="I4">
        <f t="shared" si="1"/>
        <v>1.0029754009147538</v>
      </c>
      <c r="J4">
        <f t="shared" si="2"/>
        <v>0.94536443128104286</v>
      </c>
      <c r="K4" s="3">
        <f t="shared" si="3"/>
        <v>0.99592659791264893</v>
      </c>
      <c r="L4" s="2">
        <f t="shared" si="4"/>
        <v>1.0070776330473334</v>
      </c>
      <c r="M4" s="2">
        <f t="shared" si="5"/>
        <v>0.94923103094386807</v>
      </c>
      <c r="R4">
        <f t="shared" si="6"/>
        <v>1.1435733389895841</v>
      </c>
      <c r="S4">
        <f t="shared" si="7"/>
        <v>1.8016570627738648</v>
      </c>
    </row>
    <row r="5" spans="1:19" x14ac:dyDescent="0.3">
      <c r="A5">
        <v>1.5028999999999999</v>
      </c>
      <c r="B5">
        <f t="shared" si="0"/>
        <v>-6.4414999999999996</v>
      </c>
      <c r="C5">
        <v>510.01900000000001</v>
      </c>
      <c r="D5">
        <v>87.623000000000005</v>
      </c>
      <c r="E5">
        <v>164.41499999999999</v>
      </c>
      <c r="I5">
        <f t="shared" si="1"/>
        <v>0.99196692321995239</v>
      </c>
      <c r="J5">
        <f t="shared" si="2"/>
        <v>1.0310638232778047</v>
      </c>
      <c r="K5" s="3">
        <f t="shared" si="3"/>
        <v>0.97742032135409107</v>
      </c>
      <c r="L5" s="2">
        <f t="shared" si="4"/>
        <v>1.0148826472583554</v>
      </c>
      <c r="M5" s="2">
        <f t="shared" si="5"/>
        <v>1.0548827364765625</v>
      </c>
      <c r="R5">
        <f t="shared" si="6"/>
        <v>1.1588803869109299</v>
      </c>
      <c r="S5">
        <f t="shared" si="7"/>
        <v>2.5558477974749509</v>
      </c>
    </row>
    <row r="6" spans="1:19" x14ac:dyDescent="0.3">
      <c r="A6">
        <v>2.0023</v>
      </c>
      <c r="B6">
        <f t="shared" si="0"/>
        <v>-5.9420999999999999</v>
      </c>
      <c r="C6">
        <v>505.90600000000001</v>
      </c>
      <c r="D6">
        <v>77.433999999999997</v>
      </c>
      <c r="E6">
        <v>165.226</v>
      </c>
      <c r="I6">
        <f t="shared" si="1"/>
        <v>0.98396729976434849</v>
      </c>
      <c r="J6">
        <f t="shared" si="2"/>
        <v>0.91116939720956269</v>
      </c>
      <c r="K6" s="3">
        <f t="shared" si="3"/>
        <v>0.98224158389472405</v>
      </c>
      <c r="L6" s="2">
        <f t="shared" si="4"/>
        <v>1.001756915913478</v>
      </c>
      <c r="M6" s="2">
        <f t="shared" si="5"/>
        <v>0.92764286520699901</v>
      </c>
      <c r="R6">
        <f t="shared" si="6"/>
        <v>1.1331384480410402</v>
      </c>
      <c r="S6">
        <f t="shared" si="7"/>
        <v>1.6475507518927812</v>
      </c>
    </row>
    <row r="7" spans="1:19" x14ac:dyDescent="0.3">
      <c r="A7">
        <v>2.5030000000000001</v>
      </c>
      <c r="B7">
        <f t="shared" si="0"/>
        <v>-5.4413999999999998</v>
      </c>
      <c r="C7">
        <v>513.69799999999998</v>
      </c>
      <c r="D7">
        <v>87</v>
      </c>
      <c r="E7">
        <v>169.98099999999999</v>
      </c>
      <c r="I7">
        <f t="shared" si="1"/>
        <v>0.99912243372157328</v>
      </c>
      <c r="J7">
        <f t="shared" si="2"/>
        <v>1.0237329539637881</v>
      </c>
      <c r="K7" s="3">
        <f t="shared" si="3"/>
        <v>1.0105092822679789</v>
      </c>
      <c r="L7" s="2">
        <f t="shared" si="4"/>
        <v>0.98873157451770355</v>
      </c>
      <c r="M7" s="2">
        <f t="shared" si="5"/>
        <v>1.0130861456968807</v>
      </c>
      <c r="R7">
        <f t="shared" si="6"/>
        <v>1.1075933920620968</v>
      </c>
      <c r="S7">
        <f t="shared" si="7"/>
        <v>2.2574844028738665</v>
      </c>
    </row>
    <row r="8" spans="1:19" x14ac:dyDescent="0.3">
      <c r="A8">
        <v>3.0024000000000002</v>
      </c>
      <c r="B8">
        <f t="shared" si="0"/>
        <v>-4.9420000000000002</v>
      </c>
      <c r="C8">
        <v>511.34</v>
      </c>
      <c r="D8">
        <v>88.906000000000006</v>
      </c>
      <c r="E8">
        <v>167.26400000000001</v>
      </c>
      <c r="I8">
        <f t="shared" si="1"/>
        <v>0.99453621633564715</v>
      </c>
      <c r="J8">
        <f t="shared" si="2"/>
        <v>1.0461609425874085</v>
      </c>
      <c r="K8" s="3">
        <f t="shared" si="3"/>
        <v>0.99435716103135785</v>
      </c>
      <c r="L8" s="2">
        <f t="shared" si="4"/>
        <v>1.0001800714183056</v>
      </c>
      <c r="M8" s="2">
        <f t="shared" si="5"/>
        <v>1.0520977608310471</v>
      </c>
      <c r="R8">
        <f t="shared" si="6"/>
        <v>1.1300459701032002</v>
      </c>
      <c r="S8">
        <f t="shared" si="7"/>
        <v>2.5359673533531479</v>
      </c>
    </row>
    <row r="9" spans="1:19" x14ac:dyDescent="0.3">
      <c r="A9">
        <v>3.5032000000000001</v>
      </c>
      <c r="B9">
        <f t="shared" si="0"/>
        <v>-4.4412000000000003</v>
      </c>
      <c r="C9">
        <v>504.81099999999998</v>
      </c>
      <c r="D9">
        <v>83.037999999999997</v>
      </c>
      <c r="E9">
        <v>169.34</v>
      </c>
      <c r="I9">
        <f t="shared" si="1"/>
        <v>0.98183756777215625</v>
      </c>
      <c r="J9">
        <f t="shared" si="2"/>
        <v>0.97711191989936808</v>
      </c>
      <c r="K9" s="3">
        <f t="shared" si="3"/>
        <v>1.0066986419615107</v>
      </c>
      <c r="L9" s="2">
        <f t="shared" si="4"/>
        <v>0.97530435310718833</v>
      </c>
      <c r="M9" s="2">
        <f t="shared" si="5"/>
        <v>0.9706101500201747</v>
      </c>
      <c r="R9">
        <f t="shared" si="6"/>
        <v>1.0812601765131704</v>
      </c>
      <c r="S9">
        <f t="shared" si="7"/>
        <v>1.9542711019143126</v>
      </c>
    </row>
    <row r="10" spans="1:19" x14ac:dyDescent="0.3">
      <c r="A10">
        <v>4.0026000000000002</v>
      </c>
      <c r="B10">
        <f t="shared" si="0"/>
        <v>-3.9417999999999997</v>
      </c>
      <c r="C10">
        <v>513.73599999999999</v>
      </c>
      <c r="D10">
        <v>81.283000000000001</v>
      </c>
      <c r="E10">
        <v>172.642</v>
      </c>
      <c r="I10">
        <f t="shared" si="1"/>
        <v>0.99919634222906484</v>
      </c>
      <c r="J10">
        <f t="shared" si="2"/>
        <v>0.95646075513837447</v>
      </c>
      <c r="K10" s="3">
        <f t="shared" si="3"/>
        <v>1.0263284926509928</v>
      </c>
      <c r="L10" s="2">
        <f t="shared" si="4"/>
        <v>0.97356387295470481</v>
      </c>
      <c r="M10" s="2">
        <f t="shared" si="5"/>
        <v>0.93192458553678958</v>
      </c>
      <c r="R10">
        <f t="shared" si="6"/>
        <v>1.0778467793841053</v>
      </c>
      <c r="S10">
        <f t="shared" si="7"/>
        <v>1.6781156517685341</v>
      </c>
    </row>
    <row r="11" spans="1:19" x14ac:dyDescent="0.3">
      <c r="A11">
        <v>4.5026000000000002</v>
      </c>
      <c r="B11">
        <f t="shared" si="0"/>
        <v>-3.4417999999999997</v>
      </c>
      <c r="C11">
        <v>506.92500000000001</v>
      </c>
      <c r="D11">
        <v>87.433999999999997</v>
      </c>
      <c r="E11">
        <v>167.09399999999999</v>
      </c>
      <c r="I11">
        <f t="shared" si="1"/>
        <v>0.98594921474155739</v>
      </c>
      <c r="J11">
        <f t="shared" si="2"/>
        <v>1.0288398516881589</v>
      </c>
      <c r="K11" s="3">
        <f t="shared" si="3"/>
        <v>0.99334653879719303</v>
      </c>
      <c r="L11" s="2">
        <f t="shared" si="4"/>
        <v>0.99255312847358101</v>
      </c>
      <c r="M11" s="2">
        <f t="shared" si="5"/>
        <v>1.0357310480327877</v>
      </c>
      <c r="R11">
        <f t="shared" si="6"/>
        <v>1.1150881522194862</v>
      </c>
      <c r="S11">
        <f t="shared" si="7"/>
        <v>2.4191341883065021</v>
      </c>
    </row>
    <row r="12" spans="1:19" x14ac:dyDescent="0.3">
      <c r="A12" s="4">
        <v>7.9443999999999999</v>
      </c>
      <c r="B12" s="4">
        <f t="shared" si="0"/>
        <v>0</v>
      </c>
      <c r="C12" s="4">
        <v>220.71700000000001</v>
      </c>
      <c r="D12" s="4">
        <v>59.962000000000003</v>
      </c>
      <c r="E12" s="4">
        <v>170.321</v>
      </c>
      <c r="F12" s="4"/>
      <c r="G12" s="4"/>
      <c r="H12" s="4"/>
      <c r="I12" s="4">
        <f t="shared" si="1"/>
        <v>0.42928589600061612</v>
      </c>
      <c r="J12" s="4">
        <f t="shared" si="2"/>
        <v>0.70557557914455926</v>
      </c>
      <c r="K12" s="4">
        <f t="shared" si="3"/>
        <v>1.0125305267363085</v>
      </c>
      <c r="L12" s="4">
        <f t="shared" si="4"/>
        <v>0.4239732873875261</v>
      </c>
      <c r="M12" s="4">
        <f t="shared" si="5"/>
        <v>0.6968437597815863</v>
      </c>
      <c r="N12" s="4">
        <f>AVERAGE(L66:L76)</f>
        <v>0.93387005201043605</v>
      </c>
      <c r="O12" s="4">
        <f>AVERAGE(M66:M76)</f>
        <v>0.83692994842267077</v>
      </c>
      <c r="P12" s="5">
        <f>(N12-L12)/(1-L12)</f>
        <v>0.88519638665776035</v>
      </c>
      <c r="Q12" s="5">
        <f>(O12-M12)/(1-M12)</f>
        <v>0.4620923802860108</v>
      </c>
      <c r="R12">
        <f t="shared" si="6"/>
        <v>0</v>
      </c>
      <c r="S12">
        <f t="shared" si="7"/>
        <v>0</v>
      </c>
    </row>
    <row r="13" spans="1:19" x14ac:dyDescent="0.3">
      <c r="A13">
        <v>8.4468999999999994</v>
      </c>
      <c r="B13">
        <f t="shared" si="0"/>
        <v>0.5024999999999995</v>
      </c>
      <c r="C13">
        <v>272.54700000000003</v>
      </c>
      <c r="D13">
        <v>61.283000000000001</v>
      </c>
      <c r="E13">
        <v>171.58500000000001</v>
      </c>
      <c r="I13">
        <f t="shared" si="1"/>
        <v>0.53009321029771128</v>
      </c>
      <c r="J13">
        <f t="shared" si="2"/>
        <v>0.72111984618118186</v>
      </c>
      <c r="K13" s="3">
        <f t="shared" si="3"/>
        <v>1.0200448002891569</v>
      </c>
      <c r="L13" s="2">
        <f t="shared" si="4"/>
        <v>0.51967640063205389</v>
      </c>
      <c r="M13" s="2">
        <f t="shared" si="5"/>
        <v>0.70694919083628738</v>
      </c>
      <c r="R13">
        <f t="shared" si="6"/>
        <v>0.18769115610157724</v>
      </c>
      <c r="S13">
        <f t="shared" si="7"/>
        <v>7.2137240314191511E-2</v>
      </c>
    </row>
    <row r="14" spans="1:19" x14ac:dyDescent="0.3">
      <c r="A14">
        <v>8.9474999999999998</v>
      </c>
      <c r="B14">
        <f t="shared" si="0"/>
        <v>1.0030999999999999</v>
      </c>
      <c r="C14">
        <v>316.26400000000001</v>
      </c>
      <c r="D14">
        <v>61.603999999999999</v>
      </c>
      <c r="E14">
        <v>168.113</v>
      </c>
      <c r="I14">
        <f t="shared" si="1"/>
        <v>0.61512105824534968</v>
      </c>
      <c r="J14">
        <f t="shared" si="2"/>
        <v>0.72489706776994478</v>
      </c>
      <c r="K14" s="3">
        <f t="shared" si="3"/>
        <v>0.99940432736550999</v>
      </c>
      <c r="L14" s="2">
        <f t="shared" si="4"/>
        <v>0.61548768741760984</v>
      </c>
      <c r="M14" s="2">
        <f t="shared" si="5"/>
        <v>0.72532912648158843</v>
      </c>
      <c r="R14">
        <f t="shared" si="6"/>
        <v>0.37559446012903547</v>
      </c>
      <c r="S14">
        <f t="shared" si="7"/>
        <v>0.20334172109560797</v>
      </c>
    </row>
    <row r="15" spans="1:19" x14ac:dyDescent="0.3">
      <c r="A15">
        <v>9.4468999999999994</v>
      </c>
      <c r="B15">
        <f t="shared" si="0"/>
        <v>1.5024999999999995</v>
      </c>
      <c r="C15">
        <v>352.226</v>
      </c>
      <c r="D15">
        <v>63.887</v>
      </c>
      <c r="E15">
        <v>167.58500000000001</v>
      </c>
      <c r="I15">
        <f t="shared" si="1"/>
        <v>0.68506573578253149</v>
      </c>
      <c r="J15">
        <f t="shared" si="2"/>
        <v>0.75176123252740834</v>
      </c>
      <c r="K15" s="3">
        <f t="shared" si="3"/>
        <v>0.99626545360292773</v>
      </c>
      <c r="L15" s="2">
        <f t="shared" si="4"/>
        <v>0.68763373587334264</v>
      </c>
      <c r="M15" s="2">
        <f t="shared" si="5"/>
        <v>0.75457924372336094</v>
      </c>
      <c r="R15">
        <f t="shared" si="6"/>
        <v>0.51708594127049323</v>
      </c>
      <c r="S15">
        <f t="shared" si="7"/>
        <v>0.41214258523157493</v>
      </c>
    </row>
    <row r="16" spans="1:19" x14ac:dyDescent="0.3">
      <c r="A16">
        <v>9.9471000000000007</v>
      </c>
      <c r="B16">
        <f t="shared" si="0"/>
        <v>2.0027000000000008</v>
      </c>
      <c r="C16">
        <v>376.47199999999998</v>
      </c>
      <c r="D16">
        <v>63.66</v>
      </c>
      <c r="E16">
        <v>170.208</v>
      </c>
      <c r="I16">
        <f t="shared" si="1"/>
        <v>0.73222325348361905</v>
      </c>
      <c r="J16">
        <f t="shared" si="2"/>
        <v>0.74909011321074415</v>
      </c>
      <c r="K16" s="3">
        <f t="shared" si="3"/>
        <v>1.0118587601924225</v>
      </c>
      <c r="L16" s="2">
        <f t="shared" si="4"/>
        <v>0.72364175939374598</v>
      </c>
      <c r="M16" s="2">
        <f t="shared" si="5"/>
        <v>0.74031094326671809</v>
      </c>
      <c r="R16">
        <f t="shared" si="6"/>
        <v>0.5877042036692216</v>
      </c>
      <c r="S16">
        <f t="shared" si="7"/>
        <v>0.31028885792945143</v>
      </c>
    </row>
    <row r="17" spans="1:19" x14ac:dyDescent="0.3">
      <c r="A17">
        <v>10.4467</v>
      </c>
      <c r="B17">
        <f t="shared" si="0"/>
        <v>2.5023</v>
      </c>
      <c r="C17">
        <v>391.755</v>
      </c>
      <c r="D17">
        <v>64.584999999999994</v>
      </c>
      <c r="E17">
        <v>168.566</v>
      </c>
      <c r="I17">
        <f t="shared" si="1"/>
        <v>0.76194808822030635</v>
      </c>
      <c r="J17">
        <f t="shared" si="2"/>
        <v>0.75997463025001433</v>
      </c>
      <c r="K17" s="3">
        <f t="shared" si="3"/>
        <v>1.0020973383777254</v>
      </c>
      <c r="L17" s="2">
        <f t="shared" si="4"/>
        <v>0.76035336991694669</v>
      </c>
      <c r="M17" s="2">
        <f t="shared" si="5"/>
        <v>0.75838404229305856</v>
      </c>
      <c r="R17">
        <f t="shared" si="6"/>
        <v>0.659702327741161</v>
      </c>
      <c r="S17">
        <f t="shared" si="7"/>
        <v>0.43930299702238973</v>
      </c>
    </row>
    <row r="18" spans="1:19" x14ac:dyDescent="0.3">
      <c r="A18">
        <v>10.9472</v>
      </c>
      <c r="B18">
        <f t="shared" si="0"/>
        <v>3.0028000000000006</v>
      </c>
      <c r="C18">
        <v>406.84899999999999</v>
      </c>
      <c r="D18">
        <v>66.66</v>
      </c>
      <c r="E18">
        <v>169.18899999999999</v>
      </c>
      <c r="I18">
        <f t="shared" si="1"/>
        <v>0.79130532538025911</v>
      </c>
      <c r="J18">
        <f t="shared" si="2"/>
        <v>0.78439124955432304</v>
      </c>
      <c r="K18" s="3">
        <f t="shared" si="3"/>
        <v>1.0058009716241056</v>
      </c>
      <c r="L18" s="2">
        <f t="shared" si="4"/>
        <v>0.7867414604924351</v>
      </c>
      <c r="M18" s="2">
        <f t="shared" si="5"/>
        <v>0.77986726169864029</v>
      </c>
      <c r="R18">
        <f t="shared" si="6"/>
        <v>0.71145415753557728</v>
      </c>
      <c r="S18">
        <f t="shared" si="7"/>
        <v>0.59266015245634907</v>
      </c>
    </row>
    <row r="19" spans="1:19" x14ac:dyDescent="0.3">
      <c r="A19">
        <v>11.4472</v>
      </c>
      <c r="B19">
        <f t="shared" si="0"/>
        <v>3.5028000000000006</v>
      </c>
      <c r="C19">
        <v>421.58499999999998</v>
      </c>
      <c r="D19">
        <v>65.641999999999996</v>
      </c>
      <c r="E19">
        <v>172.434</v>
      </c>
      <c r="I19">
        <f t="shared" si="1"/>
        <v>0.81996626660121208</v>
      </c>
      <c r="J19">
        <f t="shared" si="2"/>
        <v>0.77241239728840194</v>
      </c>
      <c r="K19" s="3">
        <f t="shared" si="3"/>
        <v>1.0250919666233089</v>
      </c>
      <c r="L19" s="2">
        <f t="shared" si="4"/>
        <v>0.79989531993135354</v>
      </c>
      <c r="M19" s="2">
        <f t="shared" si="5"/>
        <v>0.75350546335150503</v>
      </c>
      <c r="R19">
        <f t="shared" si="6"/>
        <v>0.73725126069752089</v>
      </c>
      <c r="S19">
        <f t="shared" si="7"/>
        <v>0.40447744434743649</v>
      </c>
    </row>
    <row r="20" spans="1:19" x14ac:dyDescent="0.3">
      <c r="A20">
        <v>11.9472</v>
      </c>
      <c r="B20">
        <f t="shared" si="0"/>
        <v>4.0028000000000006</v>
      </c>
      <c r="C20">
        <v>429.245</v>
      </c>
      <c r="D20">
        <v>68.132000000000005</v>
      </c>
      <c r="E20">
        <v>173.453</v>
      </c>
      <c r="I20">
        <f t="shared" si="1"/>
        <v>0.83486466574293994</v>
      </c>
      <c r="J20">
        <f t="shared" si="2"/>
        <v>0.80171234045357254</v>
      </c>
      <c r="K20" s="3">
        <f t="shared" si="3"/>
        <v>1.0311497551916258</v>
      </c>
      <c r="L20" s="2">
        <f t="shared" si="4"/>
        <v>0.80964443965541277</v>
      </c>
      <c r="M20" s="2">
        <f t="shared" si="5"/>
        <v>0.77749360499492604</v>
      </c>
      <c r="R20">
        <f t="shared" si="6"/>
        <v>0.75637105199737176</v>
      </c>
      <c r="S20">
        <f t="shared" si="7"/>
        <v>0.57571589316326621</v>
      </c>
    </row>
    <row r="21" spans="1:19" x14ac:dyDescent="0.3">
      <c r="A21">
        <v>12.4473</v>
      </c>
      <c r="B21">
        <f t="shared" si="0"/>
        <v>4.5029000000000003</v>
      </c>
      <c r="C21">
        <v>446.79199999999997</v>
      </c>
      <c r="D21">
        <v>67.376999999999995</v>
      </c>
      <c r="E21">
        <v>175.66</v>
      </c>
      <c r="I21">
        <f t="shared" si="1"/>
        <v>0.86899289155754778</v>
      </c>
      <c r="J21">
        <f t="shared" si="2"/>
        <v>0.79282822114043838</v>
      </c>
      <c r="K21" s="3">
        <f t="shared" si="3"/>
        <v>1.0442700097257527</v>
      </c>
      <c r="L21" s="2">
        <f t="shared" si="4"/>
        <v>0.83215345022286302</v>
      </c>
      <c r="M21" s="2">
        <f t="shared" si="5"/>
        <v>0.75921764845918704</v>
      </c>
      <c r="R21">
        <f t="shared" si="6"/>
        <v>0.80051530261660564</v>
      </c>
      <c r="S21">
        <f t="shared" si="7"/>
        <v>0.44525366335298905</v>
      </c>
    </row>
    <row r="22" spans="1:19" x14ac:dyDescent="0.3">
      <c r="A22">
        <v>12.9473</v>
      </c>
      <c r="B22">
        <f t="shared" si="0"/>
        <v>5.0029000000000003</v>
      </c>
      <c r="C22">
        <v>445.07499999999999</v>
      </c>
      <c r="D22">
        <v>65.716999999999999</v>
      </c>
      <c r="E22">
        <v>172.566</v>
      </c>
      <c r="I22">
        <f t="shared" si="1"/>
        <v>0.86565339399536156</v>
      </c>
      <c r="J22">
        <f t="shared" si="2"/>
        <v>0.77329492569699143</v>
      </c>
      <c r="K22" s="3">
        <f t="shared" si="3"/>
        <v>1.0258766850639545</v>
      </c>
      <c r="L22" s="2">
        <f t="shared" si="4"/>
        <v>0.8438181767834948</v>
      </c>
      <c r="M22" s="2">
        <f t="shared" si="5"/>
        <v>0.75378935592905427</v>
      </c>
      <c r="R22">
        <f t="shared" si="6"/>
        <v>0.82339194622358813</v>
      </c>
      <c r="S22">
        <f t="shared" si="7"/>
        <v>0.40650400085741906</v>
      </c>
    </row>
    <row r="23" spans="1:19" x14ac:dyDescent="0.3">
      <c r="A23">
        <v>13.4467</v>
      </c>
      <c r="B23">
        <f t="shared" si="0"/>
        <v>5.5023</v>
      </c>
      <c r="C23">
        <v>444.86799999999999</v>
      </c>
      <c r="D23">
        <v>69.471999999999994</v>
      </c>
      <c r="E23">
        <v>175.26400000000001</v>
      </c>
      <c r="I23">
        <f t="shared" si="1"/>
        <v>0.86525078712560466</v>
      </c>
      <c r="J23">
        <f t="shared" si="2"/>
        <v>0.81748018135370426</v>
      </c>
      <c r="K23" s="3">
        <f t="shared" si="3"/>
        <v>1.0419158544038161</v>
      </c>
      <c r="L23" s="2">
        <f t="shared" si="4"/>
        <v>0.83044209709305261</v>
      </c>
      <c r="M23" s="2">
        <f t="shared" si="5"/>
        <v>0.78459328351565027</v>
      </c>
      <c r="R23">
        <f t="shared" si="6"/>
        <v>0.7971590288597481</v>
      </c>
      <c r="S23">
        <f t="shared" si="7"/>
        <v>0.62639668182341279</v>
      </c>
    </row>
    <row r="24" spans="1:19" x14ac:dyDescent="0.3">
      <c r="A24">
        <v>13.9475</v>
      </c>
      <c r="B24">
        <f t="shared" si="0"/>
        <v>6.0030999999999999</v>
      </c>
      <c r="C24">
        <v>458.62299999999999</v>
      </c>
      <c r="D24">
        <v>68.887</v>
      </c>
      <c r="E24">
        <v>175.321</v>
      </c>
      <c r="I24">
        <f t="shared" si="1"/>
        <v>0.89200372187684029</v>
      </c>
      <c r="J24">
        <f t="shared" si="2"/>
        <v>0.81059645976670647</v>
      </c>
      <c r="K24" s="3">
        <f t="shared" si="3"/>
        <v>1.0422547100940949</v>
      </c>
      <c r="L24" s="2">
        <f t="shared" si="4"/>
        <v>0.8558404325141501</v>
      </c>
      <c r="M24" s="2">
        <f t="shared" si="5"/>
        <v>0.77773355391555465</v>
      </c>
      <c r="R24">
        <f t="shared" si="6"/>
        <v>0.84696976935322943</v>
      </c>
      <c r="S24">
        <f t="shared" si="7"/>
        <v>0.57742875952758277</v>
      </c>
    </row>
    <row r="25" spans="1:19" x14ac:dyDescent="0.3">
      <c r="A25">
        <v>14.447100000000001</v>
      </c>
      <c r="B25">
        <f t="shared" si="0"/>
        <v>6.5027000000000008</v>
      </c>
      <c r="C25">
        <v>451.45299999999997</v>
      </c>
      <c r="D25">
        <v>64.924999999999997</v>
      </c>
      <c r="E25">
        <v>166.18899999999999</v>
      </c>
      <c r="I25">
        <f t="shared" si="1"/>
        <v>0.87805835348960948</v>
      </c>
      <c r="J25">
        <f t="shared" si="2"/>
        <v>0.7639754257022866</v>
      </c>
      <c r="K25" s="3">
        <f t="shared" si="3"/>
        <v>0.98796646160943369</v>
      </c>
      <c r="L25" s="2">
        <f t="shared" si="4"/>
        <v>0.88875319923231011</v>
      </c>
      <c r="M25" s="2">
        <f t="shared" si="5"/>
        <v>0.77328072904189737</v>
      </c>
      <c r="R25">
        <f t="shared" si="6"/>
        <v>0.9115176719909337</v>
      </c>
      <c r="S25">
        <f t="shared" si="7"/>
        <v>0.54564243628721043</v>
      </c>
    </row>
    <row r="26" spans="1:19" x14ac:dyDescent="0.3">
      <c r="A26">
        <v>14.9473</v>
      </c>
      <c r="B26">
        <f t="shared" si="0"/>
        <v>7.0029000000000003</v>
      </c>
      <c r="C26">
        <v>455.92500000000001</v>
      </c>
      <c r="D26">
        <v>68.075000000000003</v>
      </c>
      <c r="E26">
        <v>170.15100000000001</v>
      </c>
      <c r="I26">
        <f t="shared" si="1"/>
        <v>0.88675621784493674</v>
      </c>
      <c r="J26">
        <f t="shared" si="2"/>
        <v>0.80104161886304448</v>
      </c>
      <c r="K26" s="3">
        <f t="shared" si="3"/>
        <v>1.0115199045021437</v>
      </c>
      <c r="L26" s="2">
        <f t="shared" si="4"/>
        <v>0.87665721049887402</v>
      </c>
      <c r="M26" s="2">
        <f t="shared" si="5"/>
        <v>0.79191879002846344</v>
      </c>
      <c r="R26">
        <f t="shared" si="6"/>
        <v>0.88779524507500385</v>
      </c>
      <c r="S26">
        <f t="shared" si="7"/>
        <v>0.67868953512947194</v>
      </c>
    </row>
    <row r="27" spans="1:19" x14ac:dyDescent="0.3">
      <c r="A27">
        <v>15.4467</v>
      </c>
      <c r="B27">
        <f t="shared" si="0"/>
        <v>7.5023</v>
      </c>
      <c r="C27">
        <v>471.358</v>
      </c>
      <c r="D27">
        <v>66.075000000000003</v>
      </c>
      <c r="E27">
        <v>168.86799999999999</v>
      </c>
      <c r="I27">
        <f t="shared" si="1"/>
        <v>0.91677279669014355</v>
      </c>
      <c r="J27">
        <f t="shared" si="2"/>
        <v>0.77750752796732525</v>
      </c>
      <c r="K27" s="3">
        <f t="shared" si="3"/>
        <v>1.0038926790525358</v>
      </c>
      <c r="L27" s="2">
        <f t="shared" si="4"/>
        <v>0.91321793237438975</v>
      </c>
      <c r="M27" s="2">
        <f t="shared" si="5"/>
        <v>0.77449267654898069</v>
      </c>
      <c r="R27">
        <f t="shared" si="6"/>
        <v>0.95949744915263491</v>
      </c>
      <c r="S27">
        <f t="shared" si="7"/>
        <v>0.55429387808057984</v>
      </c>
    </row>
    <row r="28" spans="1:19" x14ac:dyDescent="0.3">
      <c r="A28">
        <v>15.9475</v>
      </c>
      <c r="B28">
        <f t="shared" si="0"/>
        <v>8.0030999999999999</v>
      </c>
      <c r="C28">
        <v>471.358</v>
      </c>
      <c r="D28">
        <v>69.774000000000001</v>
      </c>
      <c r="E28">
        <v>170.17</v>
      </c>
      <c r="I28">
        <f t="shared" si="1"/>
        <v>0.91677279669014355</v>
      </c>
      <c r="J28">
        <f t="shared" si="2"/>
        <v>0.82103382907895794</v>
      </c>
      <c r="K28" s="3">
        <f t="shared" si="3"/>
        <v>1.0116328563989032</v>
      </c>
      <c r="L28" s="2">
        <f t="shared" si="4"/>
        <v>0.90623074457424024</v>
      </c>
      <c r="M28" s="2">
        <f t="shared" si="5"/>
        <v>0.81159268788637584</v>
      </c>
      <c r="R28">
        <f t="shared" si="6"/>
        <v>0.94579430709540535</v>
      </c>
      <c r="S28">
        <f t="shared" si="7"/>
        <v>0.81913091660155268</v>
      </c>
    </row>
    <row r="29" spans="1:19" x14ac:dyDescent="0.3">
      <c r="A29">
        <v>16.447099999999999</v>
      </c>
      <c r="B29">
        <f t="shared" si="0"/>
        <v>8.502699999999999</v>
      </c>
      <c r="C29">
        <v>474.07499999999999</v>
      </c>
      <c r="D29">
        <v>68.754999999999995</v>
      </c>
      <c r="E29">
        <v>170.37700000000001</v>
      </c>
      <c r="I29">
        <f t="shared" si="1"/>
        <v>0.92205725497579283</v>
      </c>
      <c r="J29">
        <f t="shared" si="2"/>
        <v>0.80904320976758892</v>
      </c>
      <c r="K29" s="3">
        <f t="shared" si="3"/>
        <v>1.0128634375899157</v>
      </c>
      <c r="L29" s="2">
        <f t="shared" si="4"/>
        <v>0.91034706235403851</v>
      </c>
      <c r="M29" s="2">
        <f t="shared" si="5"/>
        <v>0.79876830354612061</v>
      </c>
      <c r="R29">
        <f t="shared" si="6"/>
        <v>0.95386715255235277</v>
      </c>
      <c r="S29">
        <f t="shared" si="7"/>
        <v>0.72758453030423786</v>
      </c>
    </row>
    <row r="30" spans="1:19" x14ac:dyDescent="0.3">
      <c r="A30">
        <v>16.947299999999998</v>
      </c>
      <c r="B30">
        <f t="shared" si="0"/>
        <v>9.0028999999999986</v>
      </c>
      <c r="C30">
        <v>468.07499999999999</v>
      </c>
      <c r="D30">
        <v>68.491</v>
      </c>
      <c r="E30">
        <v>170.13200000000001</v>
      </c>
      <c r="I30">
        <f t="shared" si="1"/>
        <v>0.91038749063501401</v>
      </c>
      <c r="J30">
        <f t="shared" si="2"/>
        <v>0.80593670976935405</v>
      </c>
      <c r="K30" s="3">
        <f t="shared" si="3"/>
        <v>1.0114069526053842</v>
      </c>
      <c r="L30" s="2">
        <f t="shared" si="4"/>
        <v>0.90011986598456339</v>
      </c>
      <c r="M30" s="2">
        <f t="shared" si="5"/>
        <v>0.79684711252306617</v>
      </c>
      <c r="R30">
        <f t="shared" si="6"/>
        <v>0.93380976627527268</v>
      </c>
      <c r="S30">
        <f t="shared" si="7"/>
        <v>0.71387018029092764</v>
      </c>
    </row>
    <row r="31" spans="1:19" x14ac:dyDescent="0.3">
      <c r="A31">
        <v>17.4467</v>
      </c>
      <c r="B31">
        <f t="shared" si="0"/>
        <v>9.5023</v>
      </c>
      <c r="C31">
        <v>468.03800000000001</v>
      </c>
      <c r="D31">
        <v>69.302000000000007</v>
      </c>
      <c r="E31">
        <v>168.92500000000001</v>
      </c>
      <c r="I31">
        <f t="shared" si="1"/>
        <v>0.91031552708824592</v>
      </c>
      <c r="J31">
        <f t="shared" si="2"/>
        <v>0.81547978362756834</v>
      </c>
      <c r="K31" s="3">
        <f t="shared" si="3"/>
        <v>1.0042315347428146</v>
      </c>
      <c r="L31" s="2">
        <f t="shared" si="4"/>
        <v>0.90647972663134835</v>
      </c>
      <c r="M31" s="2">
        <f t="shared" si="5"/>
        <v>0.8120435929513149</v>
      </c>
      <c r="R31">
        <f t="shared" si="6"/>
        <v>0.94628260604998338</v>
      </c>
      <c r="S31">
        <f t="shared" si="7"/>
        <v>0.82234968548457454</v>
      </c>
    </row>
    <row r="32" spans="1:19" x14ac:dyDescent="0.3">
      <c r="A32">
        <v>17.947399999999998</v>
      </c>
      <c r="B32">
        <f t="shared" si="0"/>
        <v>10.002999999999998</v>
      </c>
      <c r="C32">
        <v>486.18900000000002</v>
      </c>
      <c r="D32">
        <v>67.849000000000004</v>
      </c>
      <c r="E32">
        <v>169.18899999999999</v>
      </c>
      <c r="I32">
        <f t="shared" si="1"/>
        <v>0.94561850917982559</v>
      </c>
      <c r="J32">
        <f t="shared" si="2"/>
        <v>0.7983822665918282</v>
      </c>
      <c r="K32" s="3">
        <f t="shared" si="3"/>
        <v>1.0058009716241056</v>
      </c>
      <c r="L32" s="2">
        <f t="shared" si="4"/>
        <v>0.94016464077669248</v>
      </c>
      <c r="M32" s="2">
        <f t="shared" si="5"/>
        <v>0.79377758534340004</v>
      </c>
      <c r="R32">
        <f t="shared" si="6"/>
        <v>1.0123448297831652</v>
      </c>
      <c r="S32">
        <f t="shared" si="7"/>
        <v>0.69195847572217406</v>
      </c>
    </row>
    <row r="33" spans="1:19" x14ac:dyDescent="0.3">
      <c r="A33">
        <v>18.4468</v>
      </c>
      <c r="B33">
        <f t="shared" si="0"/>
        <v>10.5024</v>
      </c>
      <c r="C33">
        <v>476.34</v>
      </c>
      <c r="D33">
        <v>69.075000000000003</v>
      </c>
      <c r="E33">
        <v>173.62299999999999</v>
      </c>
      <c r="I33">
        <f t="shared" si="1"/>
        <v>0.92646259101443684</v>
      </c>
      <c r="J33">
        <f t="shared" si="2"/>
        <v>0.81280866431090415</v>
      </c>
      <c r="K33" s="3">
        <f t="shared" si="3"/>
        <v>1.0321603774257906</v>
      </c>
      <c r="L33" s="2">
        <f t="shared" si="4"/>
        <v>0.89759557843620763</v>
      </c>
      <c r="M33" s="2">
        <f t="shared" si="5"/>
        <v>0.78748291649990487</v>
      </c>
      <c r="R33">
        <f t="shared" si="6"/>
        <v>0.92885918073817364</v>
      </c>
      <c r="S33">
        <f t="shared" si="7"/>
        <v>0.64702421842988112</v>
      </c>
    </row>
    <row r="34" spans="1:19" x14ac:dyDescent="0.3">
      <c r="A34">
        <v>18.946999999999999</v>
      </c>
      <c r="B34">
        <f t="shared" si="0"/>
        <v>11.002599999999999</v>
      </c>
      <c r="C34">
        <v>479.79199999999997</v>
      </c>
      <c r="D34">
        <v>70.792000000000002</v>
      </c>
      <c r="E34">
        <v>171.58500000000001</v>
      </c>
      <c r="I34">
        <f t="shared" si="1"/>
        <v>0.93317659543183173</v>
      </c>
      <c r="J34">
        <f t="shared" si="2"/>
        <v>0.83301268134487916</v>
      </c>
      <c r="K34" s="3">
        <f t="shared" si="3"/>
        <v>1.0200448002891569</v>
      </c>
      <c r="L34" s="2">
        <f t="shared" si="4"/>
        <v>0.91483883371328378</v>
      </c>
      <c r="M34" s="2">
        <f t="shared" si="5"/>
        <v>0.81664323087450785</v>
      </c>
      <c r="R34">
        <f t="shared" si="6"/>
        <v>0.96267633054854407</v>
      </c>
      <c r="S34">
        <f t="shared" si="7"/>
        <v>0.85518402816897521</v>
      </c>
    </row>
    <row r="35" spans="1:19" x14ac:dyDescent="0.3">
      <c r="A35">
        <v>19.447199999999999</v>
      </c>
      <c r="B35">
        <f t="shared" si="0"/>
        <v>11.502799999999999</v>
      </c>
      <c r="C35">
        <v>483.09399999999999</v>
      </c>
      <c r="D35">
        <v>72.019000000000005</v>
      </c>
      <c r="E35">
        <v>171.50899999999999</v>
      </c>
      <c r="I35">
        <f t="shared" si="1"/>
        <v>0.93959885574070701</v>
      </c>
      <c r="J35">
        <f t="shared" si="2"/>
        <v>0.84745084610940291</v>
      </c>
      <c r="K35" s="3">
        <f t="shared" si="3"/>
        <v>1.0195929927021183</v>
      </c>
      <c r="L35" s="2">
        <f t="shared" si="4"/>
        <v>0.92154306911289041</v>
      </c>
      <c r="M35" s="2">
        <f t="shared" si="5"/>
        <v>0.83116582025882157</v>
      </c>
      <c r="R35">
        <f t="shared" si="6"/>
        <v>0.97582455164887738</v>
      </c>
      <c r="S35">
        <f t="shared" si="7"/>
        <v>0.95885298743748759</v>
      </c>
    </row>
    <row r="36" spans="1:19" x14ac:dyDescent="0.3">
      <c r="A36">
        <v>19.947399999999998</v>
      </c>
      <c r="B36">
        <f t="shared" si="0"/>
        <v>12.002999999999998</v>
      </c>
      <c r="C36">
        <v>476.32100000000003</v>
      </c>
      <c r="D36">
        <v>68.415000000000006</v>
      </c>
      <c r="E36">
        <v>166.05699999999999</v>
      </c>
      <c r="I36">
        <f t="shared" si="1"/>
        <v>0.92642563676069123</v>
      </c>
      <c r="J36">
        <f t="shared" si="2"/>
        <v>0.80504241431531687</v>
      </c>
      <c r="K36" s="3">
        <f t="shared" si="3"/>
        <v>0.98718174316878815</v>
      </c>
      <c r="L36" s="2">
        <f t="shared" si="4"/>
        <v>0.93845499389699627</v>
      </c>
      <c r="M36" s="2">
        <f t="shared" si="5"/>
        <v>0.81549564696282162</v>
      </c>
      <c r="R36">
        <f t="shared" si="6"/>
        <v>1.0089919022921257</v>
      </c>
      <c r="S36">
        <f t="shared" si="7"/>
        <v>0.84699204348569945</v>
      </c>
    </row>
    <row r="37" spans="1:19" x14ac:dyDescent="0.3">
      <c r="A37">
        <v>20.4468</v>
      </c>
      <c r="B37">
        <f t="shared" si="0"/>
        <v>12.5024</v>
      </c>
      <c r="C37">
        <v>481.86799999999999</v>
      </c>
      <c r="D37">
        <v>70.150999999999996</v>
      </c>
      <c r="E37">
        <v>166.69800000000001</v>
      </c>
      <c r="I37">
        <f t="shared" si="1"/>
        <v>0.9372143338937412</v>
      </c>
      <c r="J37">
        <f t="shared" si="2"/>
        <v>0.82547000521280101</v>
      </c>
      <c r="K37" s="3">
        <f t="shared" si="3"/>
        <v>0.99099238347525642</v>
      </c>
      <c r="L37" s="2">
        <f t="shared" si="4"/>
        <v>0.94573313531136949</v>
      </c>
      <c r="M37" s="2">
        <f t="shared" si="5"/>
        <v>0.83297310754095388</v>
      </c>
      <c r="R37">
        <f t="shared" si="6"/>
        <v>1.0232656571369043</v>
      </c>
      <c r="S37">
        <f t="shared" si="7"/>
        <v>0.9717542398711787</v>
      </c>
    </row>
    <row r="38" spans="1:19" x14ac:dyDescent="0.3">
      <c r="A38">
        <v>20.947399999999998</v>
      </c>
      <c r="B38">
        <f t="shared" si="0"/>
        <v>13.002999999999998</v>
      </c>
      <c r="C38">
        <v>471.96199999999999</v>
      </c>
      <c r="D38">
        <v>70.641999999999996</v>
      </c>
      <c r="E38">
        <v>171.453</v>
      </c>
      <c r="I38">
        <f t="shared" si="1"/>
        <v>0.91794755296711528</v>
      </c>
      <c r="J38">
        <f t="shared" si="2"/>
        <v>0.83124762452770007</v>
      </c>
      <c r="K38" s="3">
        <f t="shared" si="3"/>
        <v>1.0192600818485114</v>
      </c>
      <c r="L38" s="2">
        <f t="shared" si="4"/>
        <v>0.9006018869122614</v>
      </c>
      <c r="M38" s="2">
        <f t="shared" si="5"/>
        <v>0.81554025251353379</v>
      </c>
      <c r="R38">
        <f t="shared" si="6"/>
        <v>0.93475509670515777</v>
      </c>
      <c r="S38">
        <f t="shared" si="7"/>
        <v>0.8473104585353548</v>
      </c>
    </row>
    <row r="39" spans="1:19" x14ac:dyDescent="0.3">
      <c r="A39">
        <v>21.4468</v>
      </c>
      <c r="B39">
        <f t="shared" si="0"/>
        <v>13.5024</v>
      </c>
      <c r="C39">
        <v>485.15100000000001</v>
      </c>
      <c r="D39">
        <v>72.754999999999995</v>
      </c>
      <c r="E39">
        <v>173.03800000000001</v>
      </c>
      <c r="I39">
        <f t="shared" si="1"/>
        <v>0.94359963994887075</v>
      </c>
      <c r="J39">
        <f t="shared" si="2"/>
        <v>0.85611139155902749</v>
      </c>
      <c r="K39" s="3">
        <f t="shared" si="3"/>
        <v>1.0286826479729296</v>
      </c>
      <c r="L39" s="2">
        <f t="shared" si="4"/>
        <v>0.91728935236565023</v>
      </c>
      <c r="M39" s="2">
        <f t="shared" si="5"/>
        <v>0.83224052942473326</v>
      </c>
      <c r="R39">
        <f t="shared" si="6"/>
        <v>0.96748224190626508</v>
      </c>
      <c r="S39">
        <f t="shared" si="7"/>
        <v>0.96652475848313435</v>
      </c>
    </row>
    <row r="40" spans="1:19" x14ac:dyDescent="0.3">
      <c r="A40">
        <v>21.946999999999999</v>
      </c>
      <c r="B40">
        <f t="shared" si="0"/>
        <v>14.002599999999999</v>
      </c>
      <c r="C40">
        <v>476.226</v>
      </c>
      <c r="D40">
        <v>67.491</v>
      </c>
      <c r="E40">
        <v>164.28299999999999</v>
      </c>
      <c r="I40">
        <f t="shared" si="1"/>
        <v>0.92624086549196216</v>
      </c>
      <c r="J40">
        <f t="shared" si="2"/>
        <v>0.79416966432149438</v>
      </c>
      <c r="K40" s="3">
        <f t="shared" si="3"/>
        <v>0.97663560291344542</v>
      </c>
      <c r="L40" s="2">
        <f t="shared" si="4"/>
        <v>0.94839965154746719</v>
      </c>
      <c r="M40" s="2">
        <f t="shared" si="5"/>
        <v>0.81316886457177195</v>
      </c>
      <c r="R40">
        <f t="shared" si="6"/>
        <v>1.0284951789168075</v>
      </c>
      <c r="S40">
        <f t="shared" si="7"/>
        <v>0.83038239471431974</v>
      </c>
    </row>
    <row r="41" spans="1:19" x14ac:dyDescent="0.3">
      <c r="A41">
        <v>22.447199999999999</v>
      </c>
      <c r="B41">
        <f t="shared" si="0"/>
        <v>14.502799999999999</v>
      </c>
      <c r="C41">
        <v>479.54700000000003</v>
      </c>
      <c r="D41">
        <v>70.697999999999993</v>
      </c>
      <c r="E41">
        <v>168.90600000000001</v>
      </c>
      <c r="I41">
        <f t="shared" si="1"/>
        <v>0.93270008005458327</v>
      </c>
      <c r="J41">
        <f t="shared" si="2"/>
        <v>0.83190657907278021</v>
      </c>
      <c r="K41" s="3">
        <f t="shared" si="3"/>
        <v>1.0041185828460548</v>
      </c>
      <c r="L41" s="2">
        <f t="shared" si="4"/>
        <v>0.92887443374561973</v>
      </c>
      <c r="M41" s="2">
        <f t="shared" si="5"/>
        <v>0.82849435642834124</v>
      </c>
      <c r="R41">
        <f t="shared" si="6"/>
        <v>0.99020268687425228</v>
      </c>
      <c r="S41">
        <f t="shared" si="7"/>
        <v>0.9397828431470685</v>
      </c>
    </row>
    <row r="42" spans="1:19" x14ac:dyDescent="0.3">
      <c r="A42">
        <v>22.947299999999998</v>
      </c>
      <c r="B42">
        <f t="shared" si="0"/>
        <v>15.002899999999999</v>
      </c>
      <c r="C42">
        <v>469.37700000000001</v>
      </c>
      <c r="D42">
        <v>68.433999999999997</v>
      </c>
      <c r="E42">
        <v>166.566</v>
      </c>
      <c r="I42">
        <f t="shared" si="1"/>
        <v>0.91291982949696304</v>
      </c>
      <c r="J42">
        <f t="shared" si="2"/>
        <v>0.805265988178826</v>
      </c>
      <c r="K42" s="3">
        <f t="shared" si="3"/>
        <v>0.99020766503461088</v>
      </c>
      <c r="L42" s="2">
        <f t="shared" si="4"/>
        <v>0.92194785168124671</v>
      </c>
      <c r="M42" s="2">
        <f t="shared" si="5"/>
        <v>0.81322940289568391</v>
      </c>
      <c r="R42">
        <f t="shared" si="6"/>
        <v>0.97661840365273478</v>
      </c>
      <c r="S42">
        <f t="shared" si="7"/>
        <v>0.83081454526748422</v>
      </c>
    </row>
    <row r="43" spans="1:19" x14ac:dyDescent="0.3">
      <c r="A43">
        <v>23.4467</v>
      </c>
      <c r="B43">
        <f t="shared" si="0"/>
        <v>15.5023</v>
      </c>
      <c r="C43">
        <v>479.37700000000001</v>
      </c>
      <c r="D43">
        <v>66.942999999999998</v>
      </c>
      <c r="E43">
        <v>164.71700000000001</v>
      </c>
      <c r="I43">
        <f t="shared" si="1"/>
        <v>0.93236943673159456</v>
      </c>
      <c r="J43">
        <f t="shared" si="2"/>
        <v>0.78772132341606738</v>
      </c>
      <c r="K43" s="3">
        <f t="shared" si="3"/>
        <v>0.97921566202890153</v>
      </c>
      <c r="L43" s="2">
        <f t="shared" si="4"/>
        <v>0.95215944034203537</v>
      </c>
      <c r="M43" s="2">
        <f t="shared" si="5"/>
        <v>0.80444109909755279</v>
      </c>
      <c r="R43">
        <f t="shared" si="6"/>
        <v>1.0358688063948103</v>
      </c>
      <c r="S43">
        <f t="shared" si="7"/>
        <v>0.76807956844084169</v>
      </c>
    </row>
    <row r="44" spans="1:19" x14ac:dyDescent="0.3">
      <c r="A44">
        <v>23.947500000000002</v>
      </c>
      <c r="B44">
        <f t="shared" si="0"/>
        <v>16.003100000000003</v>
      </c>
      <c r="C44">
        <v>470.39600000000002</v>
      </c>
      <c r="D44">
        <v>68.679000000000002</v>
      </c>
      <c r="E44">
        <v>167.39599999999999</v>
      </c>
      <c r="I44">
        <f t="shared" si="1"/>
        <v>0.91490174447417205</v>
      </c>
      <c r="J44">
        <f t="shared" si="2"/>
        <v>0.80814891431355174</v>
      </c>
      <c r="K44" s="3">
        <f t="shared" si="3"/>
        <v>0.99514187947200328</v>
      </c>
      <c r="L44" s="2">
        <f t="shared" si="4"/>
        <v>0.9193681457357572</v>
      </c>
      <c r="M44" s="2">
        <f t="shared" si="5"/>
        <v>0.81209416565036419</v>
      </c>
      <c r="R44">
        <f t="shared" si="6"/>
        <v>0.97155913259146942</v>
      </c>
      <c r="S44">
        <f t="shared" si="7"/>
        <v>0.8227106967986797</v>
      </c>
    </row>
    <row r="45" spans="1:19" x14ac:dyDescent="0.3">
      <c r="A45">
        <v>24.447099999999999</v>
      </c>
      <c r="B45">
        <f t="shared" si="0"/>
        <v>16.502699999999997</v>
      </c>
      <c r="C45">
        <v>472.755</v>
      </c>
      <c r="D45">
        <v>69.697999999999993</v>
      </c>
      <c r="E45">
        <v>169.49100000000001</v>
      </c>
      <c r="I45">
        <f t="shared" si="1"/>
        <v>0.91948990682082155</v>
      </c>
      <c r="J45">
        <f t="shared" si="2"/>
        <v>0.82013953362492054</v>
      </c>
      <c r="K45" s="3">
        <f t="shared" si="3"/>
        <v>1.007596312298916</v>
      </c>
      <c r="L45" s="2">
        <f t="shared" si="4"/>
        <v>0.91255783253407086</v>
      </c>
      <c r="M45" s="2">
        <f t="shared" si="5"/>
        <v>0.81395646611062222</v>
      </c>
      <c r="R45">
        <f t="shared" si="6"/>
        <v>0.95820287368929169</v>
      </c>
      <c r="S45">
        <f t="shared" si="7"/>
        <v>0.8360046587397062</v>
      </c>
    </row>
    <row r="46" spans="1:19" x14ac:dyDescent="0.3">
      <c r="A46">
        <v>24.947299999999998</v>
      </c>
      <c r="B46">
        <f t="shared" si="0"/>
        <v>17.002899999999997</v>
      </c>
      <c r="C46">
        <v>473.17</v>
      </c>
      <c r="D46">
        <v>67.509</v>
      </c>
      <c r="E46">
        <v>165.52799999999999</v>
      </c>
      <c r="I46">
        <f t="shared" si="1"/>
        <v>0.92029706552105883</v>
      </c>
      <c r="J46">
        <f t="shared" si="2"/>
        <v>0.79438147113955593</v>
      </c>
      <c r="K46" s="3">
        <f t="shared" si="3"/>
        <v>0.98403692456953429</v>
      </c>
      <c r="L46" s="2">
        <f t="shared" si="4"/>
        <v>0.93522615111586549</v>
      </c>
      <c r="M46" s="2">
        <f t="shared" si="5"/>
        <v>0.80726795032316201</v>
      </c>
      <c r="R46">
        <f t="shared" si="6"/>
        <v>1.0026595562072889</v>
      </c>
      <c r="S46">
        <f t="shared" si="7"/>
        <v>0.7882589398194999</v>
      </c>
    </row>
    <row r="47" spans="1:19" x14ac:dyDescent="0.3">
      <c r="A47">
        <v>25.4467</v>
      </c>
      <c r="B47">
        <f t="shared" si="0"/>
        <v>17.502299999999998</v>
      </c>
      <c r="C47">
        <v>467.90600000000001</v>
      </c>
      <c r="D47">
        <v>67.415000000000006</v>
      </c>
      <c r="E47">
        <v>163.92500000000001</v>
      </c>
      <c r="I47">
        <f t="shared" si="1"/>
        <v>0.91005879227274877</v>
      </c>
      <c r="J47">
        <f t="shared" si="2"/>
        <v>0.7932753688674572</v>
      </c>
      <c r="K47" s="3">
        <f t="shared" si="3"/>
        <v>0.97450735138502809</v>
      </c>
      <c r="L47" s="2">
        <f t="shared" si="4"/>
        <v>0.93386549724773116</v>
      </c>
      <c r="M47" s="2">
        <f t="shared" si="5"/>
        <v>0.81402707505490524</v>
      </c>
      <c r="R47">
        <f t="shared" si="6"/>
        <v>0.99999106728455445</v>
      </c>
      <c r="S47">
        <f t="shared" si="7"/>
        <v>0.8365086980384262</v>
      </c>
    </row>
    <row r="48" spans="1:19" x14ac:dyDescent="0.3">
      <c r="A48">
        <v>25.947299999999998</v>
      </c>
      <c r="B48">
        <f t="shared" si="0"/>
        <v>18.002899999999997</v>
      </c>
      <c r="C48">
        <v>471.37700000000001</v>
      </c>
      <c r="D48">
        <v>68.415000000000006</v>
      </c>
      <c r="E48">
        <v>163.05699999999999</v>
      </c>
      <c r="I48">
        <f t="shared" si="1"/>
        <v>0.91680975094388939</v>
      </c>
      <c r="J48">
        <f t="shared" si="2"/>
        <v>0.80504241431531687</v>
      </c>
      <c r="K48" s="3">
        <f t="shared" si="3"/>
        <v>0.96934723315411619</v>
      </c>
      <c r="L48" s="2">
        <f t="shared" si="4"/>
        <v>0.94580117380716355</v>
      </c>
      <c r="M48" s="2">
        <f t="shared" si="5"/>
        <v>0.83049952254552262</v>
      </c>
      <c r="R48">
        <f t="shared" si="6"/>
        <v>1.0233990929625747</v>
      </c>
      <c r="S48">
        <f t="shared" si="7"/>
        <v>0.95409664621811097</v>
      </c>
    </row>
    <row r="49" spans="1:19" x14ac:dyDescent="0.3">
      <c r="A49">
        <v>26.4467</v>
      </c>
      <c r="B49">
        <f t="shared" si="0"/>
        <v>18.502299999999998</v>
      </c>
      <c r="C49">
        <v>471.49099999999999</v>
      </c>
      <c r="D49">
        <v>69.528000000000006</v>
      </c>
      <c r="E49">
        <v>166.37700000000001</v>
      </c>
      <c r="I49">
        <f t="shared" si="1"/>
        <v>0.91703147646636407</v>
      </c>
      <c r="J49">
        <f t="shared" si="2"/>
        <v>0.81813913589878462</v>
      </c>
      <c r="K49" s="3">
        <f t="shared" si="3"/>
        <v>0.98908409090368654</v>
      </c>
      <c r="L49" s="2">
        <f t="shared" si="4"/>
        <v>0.92715218544108735</v>
      </c>
      <c r="M49" s="2">
        <f t="shared" si="5"/>
        <v>0.82716843130221984</v>
      </c>
      <c r="R49">
        <f t="shared" si="6"/>
        <v>0.98682504570446339</v>
      </c>
      <c r="S49">
        <f t="shared" si="7"/>
        <v>0.93031777639792201</v>
      </c>
    </row>
    <row r="50" spans="1:19" x14ac:dyDescent="0.3">
      <c r="A50">
        <v>26.947500000000002</v>
      </c>
      <c r="B50">
        <f t="shared" si="0"/>
        <v>19.003100000000003</v>
      </c>
      <c r="C50">
        <v>471.56599999999997</v>
      </c>
      <c r="D50">
        <v>70.34</v>
      </c>
      <c r="E50">
        <v>166.226</v>
      </c>
      <c r="I50">
        <f t="shared" si="1"/>
        <v>0.91717734852062383</v>
      </c>
      <c r="J50">
        <f t="shared" si="2"/>
        <v>0.82769397680244661</v>
      </c>
      <c r="K50" s="3">
        <f t="shared" si="3"/>
        <v>0.98818642056628136</v>
      </c>
      <c r="L50" s="2">
        <f t="shared" si="4"/>
        <v>0.92814202809530033</v>
      </c>
      <c r="M50" s="2">
        <f t="shared" si="5"/>
        <v>0.83758889980307116</v>
      </c>
      <c r="R50">
        <f t="shared" si="6"/>
        <v>0.98876630660841325</v>
      </c>
      <c r="S50">
        <f t="shared" si="7"/>
        <v>1.0047038996976976</v>
      </c>
    </row>
    <row r="51" spans="1:19" x14ac:dyDescent="0.3">
      <c r="A51">
        <v>27.447099999999999</v>
      </c>
      <c r="B51">
        <f t="shared" si="0"/>
        <v>19.502699999999997</v>
      </c>
      <c r="C51">
        <v>464.09399999999999</v>
      </c>
      <c r="D51">
        <v>71.113</v>
      </c>
      <c r="E51">
        <v>166.05699999999999</v>
      </c>
      <c r="I51">
        <f t="shared" si="1"/>
        <v>0.90264460199490715</v>
      </c>
      <c r="J51">
        <f t="shared" si="2"/>
        <v>0.83678990293364197</v>
      </c>
      <c r="K51" s="3">
        <f t="shared" si="3"/>
        <v>0.98718174316878815</v>
      </c>
      <c r="L51" s="2">
        <f t="shared" si="4"/>
        <v>0.91436516957604752</v>
      </c>
      <c r="M51" s="2">
        <f t="shared" si="5"/>
        <v>0.84765536713391976</v>
      </c>
      <c r="R51">
        <f t="shared" si="6"/>
        <v>0.96174738929984527</v>
      </c>
      <c r="S51">
        <f t="shared" si="7"/>
        <v>1.0765629989315266</v>
      </c>
    </row>
    <row r="52" spans="1:19" x14ac:dyDescent="0.3">
      <c r="A52">
        <v>27.947299999999998</v>
      </c>
      <c r="B52">
        <f t="shared" si="0"/>
        <v>20.002899999999997</v>
      </c>
      <c r="C52">
        <v>471.86799999999999</v>
      </c>
      <c r="D52">
        <v>68.623000000000005</v>
      </c>
      <c r="E52">
        <v>162.547</v>
      </c>
      <c r="I52">
        <f t="shared" si="1"/>
        <v>0.91776472665910969</v>
      </c>
      <c r="J52">
        <f t="shared" si="2"/>
        <v>0.8074899597684716</v>
      </c>
      <c r="K52" s="3">
        <f t="shared" si="3"/>
        <v>0.96631536645162208</v>
      </c>
      <c r="L52" s="2">
        <f t="shared" si="4"/>
        <v>0.94975694118288345</v>
      </c>
      <c r="M52" s="2">
        <f t="shared" si="5"/>
        <v>0.83563812374590651</v>
      </c>
      <c r="R52">
        <f t="shared" si="6"/>
        <v>1.0311570699692443</v>
      </c>
      <c r="S52">
        <f t="shared" si="7"/>
        <v>0.9907783580287558</v>
      </c>
    </row>
    <row r="53" spans="1:19" x14ac:dyDescent="0.3">
      <c r="A53">
        <v>28.4467</v>
      </c>
      <c r="B53">
        <f t="shared" si="0"/>
        <v>20.502299999999998</v>
      </c>
      <c r="C53">
        <v>476.94299999999998</v>
      </c>
      <c r="D53">
        <v>70.528000000000006</v>
      </c>
      <c r="E53">
        <v>164.47200000000001</v>
      </c>
      <c r="I53">
        <f t="shared" si="1"/>
        <v>0.9276354023306852</v>
      </c>
      <c r="J53">
        <f t="shared" si="2"/>
        <v>0.82990618134664418</v>
      </c>
      <c r="K53" s="3">
        <f t="shared" si="3"/>
        <v>0.97775917704436988</v>
      </c>
      <c r="L53" s="2">
        <f t="shared" si="4"/>
        <v>0.94873607337013</v>
      </c>
      <c r="M53" s="2">
        <f t="shared" si="5"/>
        <v>0.84878383228816656</v>
      </c>
      <c r="R53">
        <f t="shared" si="6"/>
        <v>1.0291549631045176</v>
      </c>
      <c r="S53">
        <f t="shared" si="7"/>
        <v>1.0846185050823725</v>
      </c>
    </row>
    <row r="54" spans="1:19" x14ac:dyDescent="0.3">
      <c r="A54">
        <v>28.947399999999998</v>
      </c>
      <c r="B54">
        <f t="shared" si="0"/>
        <v>21.003</v>
      </c>
      <c r="C54">
        <v>478.17</v>
      </c>
      <c r="D54">
        <v>67.774000000000001</v>
      </c>
      <c r="E54">
        <v>161.47200000000001</v>
      </c>
      <c r="I54">
        <f t="shared" si="1"/>
        <v>0.93002186913837448</v>
      </c>
      <c r="J54">
        <f t="shared" si="2"/>
        <v>0.79749973818323872</v>
      </c>
      <c r="K54" s="3">
        <f t="shared" si="3"/>
        <v>0.95992466702969803</v>
      </c>
      <c r="L54" s="2">
        <f t="shared" si="4"/>
        <v>0.96884880770503379</v>
      </c>
      <c r="M54" s="2">
        <f t="shared" si="5"/>
        <v>0.83079408788498788</v>
      </c>
      <c r="R54">
        <f t="shared" si="6"/>
        <v>1.0685996815854795</v>
      </c>
      <c r="S54">
        <f t="shared" si="7"/>
        <v>0.95619938983846853</v>
      </c>
    </row>
    <row r="55" spans="1:19" x14ac:dyDescent="0.3">
      <c r="A55">
        <v>29.4468</v>
      </c>
      <c r="B55">
        <f t="shared" si="0"/>
        <v>21.502400000000002</v>
      </c>
      <c r="C55">
        <v>477.54700000000003</v>
      </c>
      <c r="D55">
        <v>71.113</v>
      </c>
      <c r="E55">
        <v>165.434</v>
      </c>
      <c r="I55">
        <f t="shared" si="1"/>
        <v>0.92881015860765703</v>
      </c>
      <c r="J55">
        <f t="shared" si="2"/>
        <v>0.83678990293364197</v>
      </c>
      <c r="K55" s="3">
        <f t="shared" si="3"/>
        <v>0.98347810992240803</v>
      </c>
      <c r="L55" s="2">
        <f t="shared" si="4"/>
        <v>0.94441365724035886</v>
      </c>
      <c r="M55" s="2">
        <f t="shared" si="5"/>
        <v>0.85084751199969355</v>
      </c>
      <c r="R55">
        <f t="shared" si="6"/>
        <v>1.020677921417525</v>
      </c>
      <c r="S55">
        <f t="shared" si="7"/>
        <v>1.0993500052505607</v>
      </c>
    </row>
    <row r="56" spans="1:19" x14ac:dyDescent="0.3">
      <c r="A56">
        <v>29.947299999999998</v>
      </c>
      <c r="B56">
        <f t="shared" si="0"/>
        <v>22.002899999999997</v>
      </c>
      <c r="C56">
        <v>472.45299999999997</v>
      </c>
      <c r="D56">
        <v>70.584999999999994</v>
      </c>
      <c r="E56">
        <v>165.69800000000001</v>
      </c>
      <c r="I56">
        <f t="shared" si="1"/>
        <v>0.91890252868233557</v>
      </c>
      <c r="J56">
        <f t="shared" si="2"/>
        <v>0.83057690293717212</v>
      </c>
      <c r="K56" s="3">
        <f t="shared" si="3"/>
        <v>0.9850475468036991</v>
      </c>
      <c r="L56" s="2">
        <f t="shared" si="4"/>
        <v>0.93285093868210511</v>
      </c>
      <c r="M56" s="2">
        <f t="shared" si="5"/>
        <v>0.84318458091920923</v>
      </c>
      <c r="R56">
        <f t="shared" si="6"/>
        <v>0.99800133399731472</v>
      </c>
      <c r="S56">
        <f t="shared" si="7"/>
        <v>1.0446484593321579</v>
      </c>
    </row>
    <row r="57" spans="1:19" x14ac:dyDescent="0.3">
      <c r="A57">
        <v>30.4467</v>
      </c>
      <c r="B57">
        <f t="shared" si="0"/>
        <v>22.502299999999998</v>
      </c>
      <c r="C57">
        <v>468.79199999999997</v>
      </c>
      <c r="D57">
        <v>69.584999999999994</v>
      </c>
      <c r="E57">
        <v>163.52799999999999</v>
      </c>
      <c r="I57">
        <f t="shared" si="1"/>
        <v>0.91178202747373704</v>
      </c>
      <c r="J57">
        <f t="shared" si="2"/>
        <v>0.81880985748931245</v>
      </c>
      <c r="K57" s="3">
        <f t="shared" si="3"/>
        <v>0.97214725122641976</v>
      </c>
      <c r="L57" s="2">
        <f t="shared" si="4"/>
        <v>0.93790526725603707</v>
      </c>
      <c r="M57" s="2">
        <f t="shared" si="5"/>
        <v>0.84226937478487607</v>
      </c>
      <c r="R57">
        <f t="shared" si="6"/>
        <v>1.0079137886834506</v>
      </c>
      <c r="S57">
        <f t="shared" si="7"/>
        <v>1.038115294691081</v>
      </c>
    </row>
    <row r="58" spans="1:19" x14ac:dyDescent="0.3">
      <c r="A58">
        <v>30.947500000000002</v>
      </c>
      <c r="B58">
        <f t="shared" si="0"/>
        <v>23.003100000000003</v>
      </c>
      <c r="C58">
        <v>480.49099999999999</v>
      </c>
      <c r="D58">
        <v>71.603999999999999</v>
      </c>
      <c r="E58">
        <v>169.113</v>
      </c>
      <c r="I58">
        <f t="shared" si="1"/>
        <v>0.93453612297753241</v>
      </c>
      <c r="J58">
        <f t="shared" si="2"/>
        <v>0.84256752224854115</v>
      </c>
      <c r="K58" s="3">
        <f t="shared" si="3"/>
        <v>1.0053491640370673</v>
      </c>
      <c r="L58" s="2">
        <f t="shared" si="4"/>
        <v>0.92956373408102422</v>
      </c>
      <c r="M58" s="2">
        <f t="shared" si="5"/>
        <v>0.83808447093658256</v>
      </c>
      <c r="R58">
        <f t="shared" si="6"/>
        <v>0.99155452980252479</v>
      </c>
      <c r="S58">
        <f t="shared" si="7"/>
        <v>1.0082415156348483</v>
      </c>
    </row>
    <row r="59" spans="1:19" x14ac:dyDescent="0.3">
      <c r="A59">
        <v>31.447099999999999</v>
      </c>
      <c r="B59">
        <f t="shared" si="0"/>
        <v>23.502699999999997</v>
      </c>
      <c r="C59">
        <v>476.84899999999999</v>
      </c>
      <c r="D59">
        <v>70.320999999999998</v>
      </c>
      <c r="E59">
        <v>169.755</v>
      </c>
      <c r="I59">
        <f t="shared" si="1"/>
        <v>0.92745257602267961</v>
      </c>
      <c r="J59">
        <f t="shared" si="2"/>
        <v>0.82747040293893714</v>
      </c>
      <c r="K59" s="3">
        <f t="shared" si="3"/>
        <v>1.0091657491802071</v>
      </c>
      <c r="L59" s="2">
        <f t="shared" si="4"/>
        <v>0.9190289868399647</v>
      </c>
      <c r="M59" s="2">
        <f t="shared" si="5"/>
        <v>0.81995490196841336</v>
      </c>
      <c r="R59">
        <f t="shared" si="6"/>
        <v>0.97089398050711895</v>
      </c>
      <c r="S59">
        <f t="shared" si="7"/>
        <v>0.87882426798155489</v>
      </c>
    </row>
    <row r="60" spans="1:19" x14ac:dyDescent="0.3">
      <c r="A60">
        <v>31.947299999999998</v>
      </c>
      <c r="B60">
        <f t="shared" si="0"/>
        <v>24.002899999999997</v>
      </c>
      <c r="C60">
        <v>483.34</v>
      </c>
      <c r="D60">
        <v>68.792000000000002</v>
      </c>
      <c r="E60">
        <v>168</v>
      </c>
      <c r="I60">
        <f t="shared" si="1"/>
        <v>0.94007731607867895</v>
      </c>
      <c r="J60">
        <f t="shared" si="2"/>
        <v>0.80947859044915982</v>
      </c>
      <c r="K60" s="3">
        <f t="shared" si="3"/>
        <v>0.99873256082162398</v>
      </c>
      <c r="L60" s="2">
        <f t="shared" si="4"/>
        <v>0.94127031895836932</v>
      </c>
      <c r="M60" s="2">
        <f t="shared" si="5"/>
        <v>0.81050585732703939</v>
      </c>
      <c r="R60">
        <f t="shared" si="6"/>
        <v>1.0145132651575186</v>
      </c>
      <c r="S60">
        <f t="shared" si="7"/>
        <v>0.81137261744387468</v>
      </c>
    </row>
    <row r="61" spans="1:19" x14ac:dyDescent="0.3">
      <c r="A61">
        <v>32.4467</v>
      </c>
      <c r="B61">
        <f t="shared" si="0"/>
        <v>24.502299999999998</v>
      </c>
      <c r="C61">
        <v>475.79199999999997</v>
      </c>
      <c r="D61">
        <v>73.093999999999994</v>
      </c>
      <c r="E61">
        <v>174</v>
      </c>
      <c r="I61">
        <f t="shared" si="1"/>
        <v>0.92539675253797904</v>
      </c>
      <c r="J61">
        <f t="shared" si="2"/>
        <v>0.86010041996585185</v>
      </c>
      <c r="K61" s="3">
        <f t="shared" si="3"/>
        <v>1.0344015808509677</v>
      </c>
      <c r="L61" s="2">
        <f t="shared" si="4"/>
        <v>0.89462039663230797</v>
      </c>
      <c r="M61" s="2">
        <f t="shared" si="5"/>
        <v>0.83149565496436684</v>
      </c>
      <c r="R61">
        <f t="shared" si="6"/>
        <v>0.92302430981856709</v>
      </c>
      <c r="S61">
        <f t="shared" si="7"/>
        <v>0.96120750010390277</v>
      </c>
    </row>
    <row r="62" spans="1:19" x14ac:dyDescent="0.3">
      <c r="A62">
        <v>32.947299999999998</v>
      </c>
      <c r="B62">
        <f t="shared" si="0"/>
        <v>25.002899999999997</v>
      </c>
      <c r="C62">
        <v>481.52800000000002</v>
      </c>
      <c r="D62">
        <v>69.075000000000003</v>
      </c>
      <c r="E62">
        <v>170.453</v>
      </c>
      <c r="I62">
        <f t="shared" si="1"/>
        <v>0.93655304724776378</v>
      </c>
      <c r="J62">
        <f t="shared" si="2"/>
        <v>0.81280866431090415</v>
      </c>
      <c r="K62" s="3">
        <f t="shared" si="3"/>
        <v>1.013315245176954</v>
      </c>
      <c r="L62" s="2">
        <f t="shared" si="4"/>
        <v>0.92424647877888644</v>
      </c>
      <c r="M62" s="2">
        <f t="shared" si="5"/>
        <v>0.80212813157564244</v>
      </c>
      <c r="R62">
        <f t="shared" si="6"/>
        <v>0.98112642813361106</v>
      </c>
      <c r="S62">
        <f t="shared" si="7"/>
        <v>0.7515685365943231</v>
      </c>
    </row>
    <row r="63" spans="1:19" x14ac:dyDescent="0.3">
      <c r="A63">
        <v>33.4467</v>
      </c>
      <c r="B63">
        <f t="shared" si="0"/>
        <v>25.502299999999998</v>
      </c>
      <c r="C63">
        <v>476.84899999999999</v>
      </c>
      <c r="D63">
        <v>68.245000000000005</v>
      </c>
      <c r="E63">
        <v>169.28299999999999</v>
      </c>
      <c r="I63">
        <f t="shared" si="1"/>
        <v>0.92745257602267961</v>
      </c>
      <c r="J63">
        <f t="shared" si="2"/>
        <v>0.80304201658918062</v>
      </c>
      <c r="K63" s="3">
        <f t="shared" si="3"/>
        <v>1.0063597862712319</v>
      </c>
      <c r="L63" s="2">
        <f t="shared" si="4"/>
        <v>0.92159145136261889</v>
      </c>
      <c r="M63" s="2">
        <f t="shared" si="5"/>
        <v>0.79796711627818018</v>
      </c>
      <c r="R63">
        <f t="shared" si="6"/>
        <v>0.97591943801232439</v>
      </c>
      <c r="S63">
        <f t="shared" si="7"/>
        <v>0.72186528506163117</v>
      </c>
    </row>
    <row r="64" spans="1:19" x14ac:dyDescent="0.3">
      <c r="A64">
        <v>33.947499999999998</v>
      </c>
      <c r="B64">
        <f t="shared" si="0"/>
        <v>26.003099999999996</v>
      </c>
      <c r="C64">
        <v>469.60399999999998</v>
      </c>
      <c r="D64">
        <v>68.716999999999999</v>
      </c>
      <c r="E64">
        <v>168.642</v>
      </c>
      <c r="I64">
        <f t="shared" si="1"/>
        <v>0.91336133558118915</v>
      </c>
      <c r="J64">
        <f t="shared" si="2"/>
        <v>0.80859606204057033</v>
      </c>
      <c r="K64" s="3">
        <f t="shared" si="3"/>
        <v>1.0025491459647637</v>
      </c>
      <c r="L64" s="2">
        <f t="shared" si="4"/>
        <v>0.9110389642816481</v>
      </c>
      <c r="M64" s="2">
        <f t="shared" si="5"/>
        <v>0.80654007366636349</v>
      </c>
      <c r="R64">
        <f t="shared" si="6"/>
        <v>0.95522409767460958</v>
      </c>
      <c r="S64">
        <f t="shared" si="7"/>
        <v>0.78306301962308844</v>
      </c>
    </row>
    <row r="65" spans="1:19" x14ac:dyDescent="0.3">
      <c r="A65">
        <v>34.446800000000003</v>
      </c>
      <c r="B65">
        <f t="shared" si="0"/>
        <v>26.502400000000002</v>
      </c>
      <c r="C65">
        <v>479.90600000000001</v>
      </c>
      <c r="D65">
        <v>69.113</v>
      </c>
      <c r="E65">
        <v>161.18899999999999</v>
      </c>
      <c r="I65">
        <f t="shared" si="1"/>
        <v>0.93339832095430653</v>
      </c>
      <c r="J65">
        <f t="shared" si="2"/>
        <v>0.81325581203792274</v>
      </c>
      <c r="K65" s="3">
        <f t="shared" si="3"/>
        <v>0.95824227825164732</v>
      </c>
      <c r="L65" s="2">
        <f t="shared" si="4"/>
        <v>0.97407340725701475</v>
      </c>
      <c r="M65" s="2">
        <f t="shared" si="5"/>
        <v>0.84869539833051577</v>
      </c>
      <c r="R65">
        <f t="shared" si="6"/>
        <v>1.0788460685297947</v>
      </c>
      <c r="S65">
        <f t="shared" si="7"/>
        <v>1.0839872225947222</v>
      </c>
    </row>
    <row r="66" spans="1:19" x14ac:dyDescent="0.3">
      <c r="A66">
        <v>34.947000000000003</v>
      </c>
      <c r="B66">
        <f t="shared" si="0"/>
        <v>27.002600000000001</v>
      </c>
      <c r="C66">
        <v>477.18900000000002</v>
      </c>
      <c r="D66">
        <v>70.302000000000007</v>
      </c>
      <c r="E66">
        <v>166.52799999999999</v>
      </c>
      <c r="I66">
        <f t="shared" si="1"/>
        <v>0.92811386266865714</v>
      </c>
      <c r="J66">
        <f t="shared" si="2"/>
        <v>0.8272468290754279</v>
      </c>
      <c r="K66" s="3">
        <f t="shared" si="3"/>
        <v>0.98998176124109161</v>
      </c>
      <c r="L66" s="2">
        <f t="shared" si="4"/>
        <v>0.93750602183329745</v>
      </c>
      <c r="M66" s="2">
        <f t="shared" si="5"/>
        <v>0.83561825223764641</v>
      </c>
      <c r="R66">
        <f t="shared" si="6"/>
        <v>1.0071307960260356</v>
      </c>
      <c r="S66">
        <f t="shared" si="7"/>
        <v>0.99063650601284425</v>
      </c>
    </row>
    <row r="67" spans="1:19" x14ac:dyDescent="0.3">
      <c r="A67">
        <v>35.447000000000003</v>
      </c>
      <c r="B67">
        <f t="shared" ref="B67:B76" si="8">A67-$A$12</f>
        <v>27.502600000000001</v>
      </c>
      <c r="C67">
        <v>479.887</v>
      </c>
      <c r="D67">
        <v>71.150999999999996</v>
      </c>
      <c r="E67">
        <v>164.39599999999999</v>
      </c>
      <c r="I67">
        <f t="shared" ref="I67:I76" si="9">C67/$F$2</f>
        <v>0.93336136670056069</v>
      </c>
      <c r="J67">
        <f t="shared" ref="J67:J76" si="10">D67/$G$2</f>
        <v>0.83723705066066068</v>
      </c>
      <c r="K67" s="3">
        <f t="shared" ref="K67:K76" si="11">E67/$H$2</f>
        <v>0.97730736945733143</v>
      </c>
      <c r="L67" s="2">
        <f t="shared" ref="L67:L76" si="12">I67/K67</f>
        <v>0.95503359114014197</v>
      </c>
      <c r="M67" s="2">
        <f t="shared" ref="M67:M76" si="13">J67/K67</f>
        <v>0.85667731240536182</v>
      </c>
      <c r="R67">
        <f t="shared" ref="R67:R76" si="14">(L67-$L$12)/($N$12-$L$12)</f>
        <v>1.0415055371950774</v>
      </c>
      <c r="S67">
        <f t="shared" ref="S67:S76" si="15">(M67-$M$12)/($O$12-$M$12)</f>
        <v>1.1409658166465353</v>
      </c>
    </row>
    <row r="68" spans="1:19" x14ac:dyDescent="0.3">
      <c r="A68">
        <v>35.947000000000003</v>
      </c>
      <c r="B68">
        <f t="shared" si="8"/>
        <v>28.002600000000001</v>
      </c>
      <c r="C68">
        <v>482.18900000000002</v>
      </c>
      <c r="D68">
        <v>72.942999999999998</v>
      </c>
      <c r="E68">
        <v>173.17</v>
      </c>
      <c r="I68">
        <f t="shared" si="9"/>
        <v>0.9378386662859729</v>
      </c>
      <c r="J68">
        <f t="shared" si="10"/>
        <v>0.85832359610322517</v>
      </c>
      <c r="K68" s="3">
        <f t="shared" si="11"/>
        <v>1.0294673664135752</v>
      </c>
      <c r="L68" s="2">
        <f t="shared" si="12"/>
        <v>0.91099407021825729</v>
      </c>
      <c r="M68" s="2">
        <f t="shared" si="13"/>
        <v>0.8337550311025641</v>
      </c>
      <c r="R68">
        <f t="shared" si="14"/>
        <v>0.95513605227698084</v>
      </c>
      <c r="S68">
        <f t="shared" si="15"/>
        <v>0.97733597186913879</v>
      </c>
    </row>
    <row r="69" spans="1:19" x14ac:dyDescent="0.3">
      <c r="A69">
        <v>36.447200000000002</v>
      </c>
      <c r="B69">
        <f t="shared" si="8"/>
        <v>28.502800000000001</v>
      </c>
      <c r="C69">
        <v>470.41500000000002</v>
      </c>
      <c r="D69">
        <v>70.320999999999998</v>
      </c>
      <c r="E69">
        <v>168.792</v>
      </c>
      <c r="I69">
        <f t="shared" si="9"/>
        <v>0.91493869872791778</v>
      </c>
      <c r="J69">
        <f t="shared" si="10"/>
        <v>0.82747040293893714</v>
      </c>
      <c r="K69" s="3">
        <f t="shared" si="11"/>
        <v>1.0034408714654974</v>
      </c>
      <c r="L69" s="2">
        <f t="shared" si="12"/>
        <v>0.91180130762630318</v>
      </c>
      <c r="M69" s="2">
        <f t="shared" si="13"/>
        <v>0.82463294696222578</v>
      </c>
      <c r="R69">
        <f t="shared" si="14"/>
        <v>0.95671919118676174</v>
      </c>
      <c r="S69">
        <f t="shared" si="15"/>
        <v>0.91221831659685448</v>
      </c>
    </row>
    <row r="70" spans="1:19" x14ac:dyDescent="0.3">
      <c r="A70">
        <v>36.947400000000002</v>
      </c>
      <c r="B70">
        <f t="shared" si="8"/>
        <v>29.003</v>
      </c>
      <c r="C70">
        <v>483.642</v>
      </c>
      <c r="D70">
        <v>71.093999999999994</v>
      </c>
      <c r="E70">
        <v>167.15100000000001</v>
      </c>
      <c r="I70">
        <f t="shared" si="9"/>
        <v>0.94066469421716481</v>
      </c>
      <c r="J70">
        <f t="shared" si="10"/>
        <v>0.83656632907013262</v>
      </c>
      <c r="K70" s="3">
        <f t="shared" si="11"/>
        <v>0.99368539448747195</v>
      </c>
      <c r="L70" s="2">
        <f t="shared" si="12"/>
        <v>0.94664236732828866</v>
      </c>
      <c r="M70" s="2">
        <f t="shared" si="13"/>
        <v>0.84188248484986639</v>
      </c>
      <c r="R70">
        <f t="shared" si="14"/>
        <v>1.0250488259663664</v>
      </c>
      <c r="S70">
        <f t="shared" si="15"/>
        <v>1.0353534954104899</v>
      </c>
    </row>
    <row r="71" spans="1:19" x14ac:dyDescent="0.3">
      <c r="A71">
        <v>37.446800000000003</v>
      </c>
      <c r="B71">
        <f t="shared" si="8"/>
        <v>29.502400000000002</v>
      </c>
      <c r="C71">
        <v>480.05700000000002</v>
      </c>
      <c r="D71">
        <v>72.66</v>
      </c>
      <c r="E71">
        <v>169.30199999999999</v>
      </c>
      <c r="I71">
        <f t="shared" si="9"/>
        <v>0.93369201002354951</v>
      </c>
      <c r="J71">
        <f t="shared" si="10"/>
        <v>0.85499352224148084</v>
      </c>
      <c r="K71" s="3">
        <f t="shared" si="11"/>
        <v>1.0064727381679914</v>
      </c>
      <c r="L71" s="2">
        <f t="shared" si="12"/>
        <v>0.9276873328164662</v>
      </c>
      <c r="M71" s="2">
        <f t="shared" si="13"/>
        <v>0.8494949637659962</v>
      </c>
      <c r="R71">
        <f t="shared" si="14"/>
        <v>0.98787456673010621</v>
      </c>
      <c r="S71">
        <f t="shared" si="15"/>
        <v>1.0896948904471826</v>
      </c>
    </row>
    <row r="72" spans="1:19" x14ac:dyDescent="0.3">
      <c r="A72">
        <v>37.947499999999998</v>
      </c>
      <c r="B72">
        <f t="shared" si="8"/>
        <v>30.003099999999996</v>
      </c>
      <c r="C72">
        <v>476.73599999999999</v>
      </c>
      <c r="D72">
        <v>70.942999999999998</v>
      </c>
      <c r="E72">
        <v>170.15100000000001</v>
      </c>
      <c r="I72">
        <f t="shared" si="9"/>
        <v>0.92723279546092829</v>
      </c>
      <c r="J72">
        <f t="shared" si="10"/>
        <v>0.83478950520750583</v>
      </c>
      <c r="K72" s="3">
        <f t="shared" si="11"/>
        <v>1.0115199045021437</v>
      </c>
      <c r="L72" s="2">
        <f t="shared" si="12"/>
        <v>0.9166728122046196</v>
      </c>
      <c r="M72" s="2">
        <f t="shared" si="13"/>
        <v>0.82528233156062103</v>
      </c>
      <c r="R72">
        <f t="shared" si="14"/>
        <v>0.96627309487140089</v>
      </c>
      <c r="S72">
        <f t="shared" si="15"/>
        <v>0.9168539241802619</v>
      </c>
    </row>
    <row r="73" spans="1:19" x14ac:dyDescent="0.3">
      <c r="A73">
        <v>38.4467</v>
      </c>
      <c r="B73">
        <f t="shared" si="8"/>
        <v>30.502299999999998</v>
      </c>
      <c r="C73">
        <v>475.113</v>
      </c>
      <c r="D73">
        <v>73.037999999999997</v>
      </c>
      <c r="E73">
        <v>170.113</v>
      </c>
      <c r="I73">
        <f t="shared" si="9"/>
        <v>0.92407612420674767</v>
      </c>
      <c r="J73">
        <f t="shared" si="10"/>
        <v>0.85944146542077182</v>
      </c>
      <c r="K73" s="3">
        <f t="shared" si="11"/>
        <v>1.0112940007086246</v>
      </c>
      <c r="L73" s="2">
        <f t="shared" si="12"/>
        <v>0.91375616147157757</v>
      </c>
      <c r="M73" s="2">
        <f t="shared" si="13"/>
        <v>0.8498433342020737</v>
      </c>
      <c r="R73">
        <f t="shared" si="14"/>
        <v>0.96055301399346282</v>
      </c>
      <c r="S73">
        <f t="shared" si="15"/>
        <v>1.0921817197303325</v>
      </c>
    </row>
    <row r="74" spans="1:19" x14ac:dyDescent="0.3">
      <c r="A74">
        <v>38.947299999999998</v>
      </c>
      <c r="B74">
        <f t="shared" si="8"/>
        <v>31.002899999999997</v>
      </c>
      <c r="C74">
        <v>465.84899999999999</v>
      </c>
      <c r="D74">
        <v>67.774000000000001</v>
      </c>
      <c r="E74">
        <v>162.15100000000001</v>
      </c>
      <c r="I74">
        <f t="shared" si="9"/>
        <v>0.90605800806458503</v>
      </c>
      <c r="J74">
        <f t="shared" si="10"/>
        <v>0.79749973818323872</v>
      </c>
      <c r="K74" s="3">
        <f t="shared" si="11"/>
        <v>0.96396121112968547</v>
      </c>
      <c r="L74" s="2">
        <f t="shared" si="12"/>
        <v>0.93993201967406703</v>
      </c>
      <c r="M74" s="2">
        <f t="shared" si="13"/>
        <v>0.82731517510816932</v>
      </c>
      <c r="R74">
        <f t="shared" si="14"/>
        <v>1.0118886176265778</v>
      </c>
      <c r="S74">
        <f t="shared" si="15"/>
        <v>0.93136530154920905</v>
      </c>
    </row>
    <row r="75" spans="1:19" x14ac:dyDescent="0.3">
      <c r="A75">
        <v>39.446800000000003</v>
      </c>
      <c r="B75">
        <f t="shared" si="8"/>
        <v>31.502400000000002</v>
      </c>
      <c r="C75">
        <v>463.642</v>
      </c>
      <c r="D75">
        <v>64.980999999999995</v>
      </c>
      <c r="E75">
        <v>155.113</v>
      </c>
      <c r="I75">
        <f t="shared" si="9"/>
        <v>0.90176547974790189</v>
      </c>
      <c r="J75">
        <f t="shared" si="10"/>
        <v>0.76463438024736674</v>
      </c>
      <c r="K75" s="3">
        <f t="shared" si="11"/>
        <v>0.92212145063526529</v>
      </c>
      <c r="L75" s="2">
        <f t="shared" si="12"/>
        <v>0.97792484832302751</v>
      </c>
      <c r="M75" s="2">
        <f t="shared" si="13"/>
        <v>0.82921222548352713</v>
      </c>
      <c r="R75">
        <f t="shared" si="14"/>
        <v>1.0863994427287096</v>
      </c>
      <c r="S75">
        <f t="shared" si="15"/>
        <v>0.94490732445496639</v>
      </c>
    </row>
    <row r="76" spans="1:19" x14ac:dyDescent="0.3">
      <c r="A76">
        <v>39.947600000000001</v>
      </c>
      <c r="B76">
        <f t="shared" si="8"/>
        <v>32.0032</v>
      </c>
      <c r="C76">
        <v>462.245</v>
      </c>
      <c r="D76">
        <v>68.057000000000002</v>
      </c>
      <c r="E76">
        <v>161.81100000000001</v>
      </c>
      <c r="I76">
        <f t="shared" si="9"/>
        <v>0.8990483696172239</v>
      </c>
      <c r="J76">
        <f t="shared" si="10"/>
        <v>0.80082981204498305</v>
      </c>
      <c r="K76" s="3">
        <f t="shared" si="11"/>
        <v>0.96193996666135595</v>
      </c>
      <c r="L76" s="2">
        <f t="shared" si="12"/>
        <v>0.93462003947874994</v>
      </c>
      <c r="M76" s="2">
        <f t="shared" si="13"/>
        <v>0.83251537497132544</v>
      </c>
      <c r="R76">
        <f t="shared" si="14"/>
        <v>1.0014708613985197</v>
      </c>
      <c r="S76">
        <f t="shared" si="15"/>
        <v>0.96848673310217659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8DD4-0B7E-4842-AA08-A2CBC58CA6C1}">
  <dimension ref="A1:S76"/>
  <sheetViews>
    <sheetView workbookViewId="0">
      <selection activeCell="E2" sqref="E2:E76"/>
    </sheetView>
  </sheetViews>
  <sheetFormatPr baseColWidth="10" defaultRowHeight="14.4" x14ac:dyDescent="0.3"/>
  <sheetData>
    <row r="1" spans="1:19" x14ac:dyDescent="0.3">
      <c r="A1" t="s">
        <v>0</v>
      </c>
      <c r="B1" t="s">
        <v>2</v>
      </c>
      <c r="C1" t="s">
        <v>13</v>
      </c>
      <c r="D1" t="s">
        <v>1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-7.9444999999999997</v>
      </c>
      <c r="C2">
        <v>2007.46</v>
      </c>
      <c r="D2">
        <v>288.03399999999999</v>
      </c>
      <c r="E2">
        <v>267.67200000000003</v>
      </c>
      <c r="F2">
        <f>AVERAGE(C2:C11)</f>
        <v>1971.4014999999999</v>
      </c>
      <c r="G2">
        <f>AVERAGE(D2:D11)</f>
        <v>275.88810000000001</v>
      </c>
      <c r="H2">
        <f>AVERAGE(E2:E11)</f>
        <v>270.86370000000005</v>
      </c>
      <c r="I2">
        <f>C2/$F$2</f>
        <v>1.0182907946453323</v>
      </c>
      <c r="J2">
        <f>D2/$G$2</f>
        <v>1.0440247332161119</v>
      </c>
      <c r="K2" s="3">
        <f>E2/$H$2</f>
        <v>0.98821658273146229</v>
      </c>
      <c r="L2" s="2">
        <f>I2/K2</f>
        <v>1.0304328144653716</v>
      </c>
      <c r="M2" s="2">
        <f>J2/K2</f>
        <v>1.0564736025076549</v>
      </c>
      <c r="R2">
        <f>(L2-$L$12)/($N$12-$L$12)</f>
        <v>1.1084244142965753</v>
      </c>
      <c r="S2">
        <f>(M2-$M$12)/($O$12-$M$12)</f>
        <v>2.1963266621058155</v>
      </c>
    </row>
    <row r="3" spans="1:19" x14ac:dyDescent="0.3">
      <c r="A3">
        <v>0.50280000000000002</v>
      </c>
      <c r="B3">
        <f t="shared" ref="B3:B66" si="0">A3-$A$12</f>
        <v>-7.4417</v>
      </c>
      <c r="C3">
        <v>2007.1110000000001</v>
      </c>
      <c r="D3">
        <v>275.35599999999999</v>
      </c>
      <c r="E3">
        <v>273.34399999999999</v>
      </c>
      <c r="I3">
        <f t="shared" ref="I3:I66" si="1">C3/$F$2</f>
        <v>1.0181137632288502</v>
      </c>
      <c r="J3">
        <f t="shared" ref="J3:J66" si="2">D3/$G$2</f>
        <v>0.99807131949511407</v>
      </c>
      <c r="K3" s="3">
        <f t="shared" ref="K3:K66" si="3">E3/$H$2</f>
        <v>1.0091570040577602</v>
      </c>
      <c r="L3" s="2">
        <f t="shared" ref="L3:L66" si="4">I3/K3</f>
        <v>1.0088754863069624</v>
      </c>
      <c r="M3" s="2">
        <f t="shared" ref="M3:M66" si="5">J3/K3</f>
        <v>0.98901490598779851</v>
      </c>
      <c r="R3">
        <f t="shared" ref="R3:R66" si="6">(L3-$L$12)/($N$12-$L$12)</f>
        <v>1.069155138885755</v>
      </c>
      <c r="S3">
        <f t="shared" ref="S3:S66" si="7">(M3-$M$12)/($O$12-$M$12)</f>
        <v>1.9771771670501339</v>
      </c>
    </row>
    <row r="4" spans="1:19" x14ac:dyDescent="0.3">
      <c r="A4">
        <v>1.0026999999999999</v>
      </c>
      <c r="B4">
        <f t="shared" si="0"/>
        <v>-6.9417999999999997</v>
      </c>
      <c r="C4">
        <v>1977.5239999999999</v>
      </c>
      <c r="D4">
        <v>283.39</v>
      </c>
      <c r="E4">
        <v>272.77</v>
      </c>
      <c r="I4">
        <f t="shared" si="1"/>
        <v>1.0031056585885727</v>
      </c>
      <c r="J4">
        <f t="shared" si="2"/>
        <v>1.0271918216117331</v>
      </c>
      <c r="K4" s="3">
        <f t="shared" si="3"/>
        <v>1.0070378570476588</v>
      </c>
      <c r="L4" s="2">
        <f t="shared" si="4"/>
        <v>0.99609528238529765</v>
      </c>
      <c r="M4" s="2">
        <f t="shared" si="5"/>
        <v>1.0200131151207759</v>
      </c>
      <c r="R4">
        <f t="shared" si="6"/>
        <v>1.0458744547528038</v>
      </c>
      <c r="S4">
        <f t="shared" si="7"/>
        <v>2.077879407525872</v>
      </c>
    </row>
    <row r="5" spans="1:19" x14ac:dyDescent="0.3">
      <c r="A5">
        <v>1.5026999999999999</v>
      </c>
      <c r="B5">
        <f t="shared" si="0"/>
        <v>-6.4417999999999997</v>
      </c>
      <c r="C5">
        <v>1988.873</v>
      </c>
      <c r="D5">
        <v>269.77999999999997</v>
      </c>
      <c r="E5">
        <v>275.62299999999999</v>
      </c>
      <c r="I5">
        <f t="shared" si="1"/>
        <v>1.0088624767709673</v>
      </c>
      <c r="J5">
        <f t="shared" si="2"/>
        <v>0.97786022666436123</v>
      </c>
      <c r="K5" s="3">
        <f t="shared" si="3"/>
        <v>1.0175708299044868</v>
      </c>
      <c r="L5" s="2">
        <f t="shared" si="4"/>
        <v>0.99144201771749207</v>
      </c>
      <c r="M5" s="2">
        <f t="shared" si="5"/>
        <v>0.96097509669783587</v>
      </c>
      <c r="R5">
        <f t="shared" si="6"/>
        <v>1.0373979714680133</v>
      </c>
      <c r="S5">
        <f t="shared" si="7"/>
        <v>1.8860857234800061</v>
      </c>
    </row>
    <row r="6" spans="1:19" x14ac:dyDescent="0.3">
      <c r="A6">
        <v>2.0026999999999999</v>
      </c>
      <c r="B6">
        <f t="shared" si="0"/>
        <v>-5.9417999999999997</v>
      </c>
      <c r="C6">
        <v>1977.3810000000001</v>
      </c>
      <c r="D6">
        <v>275.54199999999997</v>
      </c>
      <c r="E6">
        <v>268.18</v>
      </c>
      <c r="I6">
        <f t="shared" si="1"/>
        <v>1.0030331213606158</v>
      </c>
      <c r="J6">
        <f t="shared" si="2"/>
        <v>0.99874550587720157</v>
      </c>
      <c r="K6" s="3">
        <f t="shared" si="3"/>
        <v>0.99009206475433942</v>
      </c>
      <c r="L6" s="2">
        <f t="shared" si="4"/>
        <v>1.0130705588570568</v>
      </c>
      <c r="M6" s="2">
        <f t="shared" si="5"/>
        <v>1.0087400368419368</v>
      </c>
      <c r="R6">
        <f t="shared" si="6"/>
        <v>1.0767969699200786</v>
      </c>
      <c r="S6">
        <f t="shared" si="7"/>
        <v>2.041257155096142</v>
      </c>
    </row>
    <row r="7" spans="1:19" x14ac:dyDescent="0.3">
      <c r="A7">
        <v>2.5028000000000001</v>
      </c>
      <c r="B7">
        <f t="shared" si="0"/>
        <v>-5.4416999999999991</v>
      </c>
      <c r="C7">
        <v>1962.5239999999999</v>
      </c>
      <c r="D7">
        <v>279.39</v>
      </c>
      <c r="E7">
        <v>272.62299999999999</v>
      </c>
      <c r="I7">
        <f t="shared" si="1"/>
        <v>0.99549685845323743</v>
      </c>
      <c r="J7">
        <f t="shared" si="2"/>
        <v>1.0126931897388831</v>
      </c>
      <c r="K7" s="3">
        <f t="shared" si="3"/>
        <v>1.0064951486670231</v>
      </c>
      <c r="L7" s="2">
        <f t="shared" si="4"/>
        <v>0.98907268432604822</v>
      </c>
      <c r="M7" s="2">
        <f t="shared" si="5"/>
        <v>1.0061580436627724</v>
      </c>
      <c r="R7">
        <f t="shared" si="6"/>
        <v>1.0330819446948918</v>
      </c>
      <c r="S7">
        <f t="shared" si="7"/>
        <v>2.0328691705864719</v>
      </c>
    </row>
    <row r="8" spans="1:19" x14ac:dyDescent="0.3">
      <c r="A8">
        <v>3.0030000000000001</v>
      </c>
      <c r="B8">
        <f t="shared" si="0"/>
        <v>-4.9414999999999996</v>
      </c>
      <c r="C8">
        <v>1945.9680000000001</v>
      </c>
      <c r="D8">
        <v>274.983</v>
      </c>
      <c r="E8">
        <v>271.83600000000001</v>
      </c>
      <c r="I8">
        <f t="shared" si="1"/>
        <v>0.98709877211719688</v>
      </c>
      <c r="J8">
        <f t="shared" si="2"/>
        <v>0.99671932207297087</v>
      </c>
      <c r="K8" s="3">
        <f t="shared" si="3"/>
        <v>1.003589628289062</v>
      </c>
      <c r="L8" s="2">
        <f t="shared" si="4"/>
        <v>0.98356812814020511</v>
      </c>
      <c r="M8" s="2">
        <f t="shared" si="5"/>
        <v>0.99315426741924018</v>
      </c>
      <c r="R8">
        <f t="shared" si="6"/>
        <v>1.0230547311511815</v>
      </c>
      <c r="S8">
        <f t="shared" si="7"/>
        <v>1.9906244913293158</v>
      </c>
    </row>
    <row r="9" spans="1:19" x14ac:dyDescent="0.3">
      <c r="A9">
        <v>3.5024999999999999</v>
      </c>
      <c r="B9">
        <f t="shared" si="0"/>
        <v>-4.4420000000000002</v>
      </c>
      <c r="C9">
        <v>1947.3330000000001</v>
      </c>
      <c r="D9">
        <v>274.55900000000003</v>
      </c>
      <c r="E9">
        <v>271.55700000000002</v>
      </c>
      <c r="I9">
        <f t="shared" si="1"/>
        <v>0.98779117292951235</v>
      </c>
      <c r="J9">
        <f t="shared" si="2"/>
        <v>0.99518246709444891</v>
      </c>
      <c r="K9" s="3">
        <f t="shared" si="3"/>
        <v>1.0025595899339776</v>
      </c>
      <c r="L9" s="2">
        <f t="shared" si="4"/>
        <v>0.98526928757876842</v>
      </c>
      <c r="M9" s="2">
        <f t="shared" si="5"/>
        <v>0.99264171136200041</v>
      </c>
      <c r="R9">
        <f t="shared" si="6"/>
        <v>1.0261535984143124</v>
      </c>
      <c r="S9">
        <f t="shared" si="7"/>
        <v>1.9889593776089702</v>
      </c>
    </row>
    <row r="10" spans="1:19" x14ac:dyDescent="0.3">
      <c r="A10">
        <v>4.0026999999999999</v>
      </c>
      <c r="B10">
        <f t="shared" si="0"/>
        <v>-3.9417999999999997</v>
      </c>
      <c r="C10">
        <v>1948.778</v>
      </c>
      <c r="D10">
        <v>265.983</v>
      </c>
      <c r="E10">
        <v>276.262</v>
      </c>
      <c r="I10">
        <f t="shared" si="1"/>
        <v>0.98852415400921634</v>
      </c>
      <c r="J10">
        <f t="shared" si="2"/>
        <v>0.96409740035905855</v>
      </c>
      <c r="K10" s="3">
        <f t="shared" si="3"/>
        <v>1.0199299500080665</v>
      </c>
      <c r="L10" s="2">
        <f t="shared" si="4"/>
        <v>0.96920788922944978</v>
      </c>
      <c r="M10" s="2">
        <f t="shared" si="5"/>
        <v>0.9452584467702253</v>
      </c>
      <c r="R10">
        <f t="shared" si="6"/>
        <v>0.99689582256066323</v>
      </c>
      <c r="S10">
        <f t="shared" si="7"/>
        <v>1.835027875147746</v>
      </c>
    </row>
    <row r="11" spans="1:19" x14ac:dyDescent="0.3">
      <c r="A11">
        <v>4.5027999999999997</v>
      </c>
      <c r="B11">
        <f t="shared" si="0"/>
        <v>-3.4417</v>
      </c>
      <c r="C11">
        <v>1951.0630000000001</v>
      </c>
      <c r="D11">
        <v>271.86399999999998</v>
      </c>
      <c r="E11">
        <v>258.77</v>
      </c>
      <c r="I11">
        <f t="shared" si="1"/>
        <v>0.9896832278964991</v>
      </c>
      <c r="J11">
        <f t="shared" si="2"/>
        <v>0.98541401387011607</v>
      </c>
      <c r="K11" s="3">
        <f t="shared" si="3"/>
        <v>0.95535134460616145</v>
      </c>
      <c r="L11" s="2">
        <f t="shared" si="4"/>
        <v>1.0359363950071068</v>
      </c>
      <c r="M11" s="2">
        <f t="shared" si="5"/>
        <v>1.0314676578765352</v>
      </c>
      <c r="R11">
        <f t="shared" si="6"/>
        <v>1.1184498505867737</v>
      </c>
      <c r="S11">
        <f t="shared" si="7"/>
        <v>2.1150911739921789</v>
      </c>
    </row>
    <row r="12" spans="1:19" x14ac:dyDescent="0.3">
      <c r="A12" s="4">
        <v>7.9444999999999997</v>
      </c>
      <c r="B12" s="4">
        <f t="shared" si="0"/>
        <v>0</v>
      </c>
      <c r="C12" s="4">
        <v>839.90499999999997</v>
      </c>
      <c r="D12" s="4">
        <v>105.96599999999999</v>
      </c>
      <c r="E12" s="4">
        <v>273.49200000000002</v>
      </c>
      <c r="F12" s="4"/>
      <c r="G12" s="4"/>
      <c r="H12" s="4"/>
      <c r="I12" s="4">
        <f t="shared" si="1"/>
        <v>0.42604461851124692</v>
      </c>
      <c r="J12" s="4">
        <f t="shared" si="2"/>
        <v>0.38409050625960306</v>
      </c>
      <c r="K12" s="4">
        <f t="shared" si="3"/>
        <v>1.0097034043321418</v>
      </c>
      <c r="L12" s="4">
        <f t="shared" si="4"/>
        <v>0.42195026448687661</v>
      </c>
      <c r="M12" s="4">
        <f t="shared" si="5"/>
        <v>0.38039933767843032</v>
      </c>
      <c r="N12" s="4">
        <f>AVERAGE(L66:L76)</f>
        <v>0.97091196375136657</v>
      </c>
      <c r="O12" s="4">
        <f>AVERAGE(M66:M76)</f>
        <v>0.68821978920498583</v>
      </c>
      <c r="P12" s="5">
        <f>(N12-L12)/(1-L12)</f>
        <v>0.94967900777116943</v>
      </c>
      <c r="Q12" s="5">
        <f>(O12-M12)/(1-M12)</f>
        <v>0.49680458760839447</v>
      </c>
      <c r="R12">
        <f t="shared" si="6"/>
        <v>0</v>
      </c>
      <c r="S12">
        <f t="shared" si="7"/>
        <v>0</v>
      </c>
    </row>
    <row r="13" spans="1:19" x14ac:dyDescent="0.3">
      <c r="A13">
        <v>8.4475999999999996</v>
      </c>
      <c r="B13">
        <f t="shared" si="0"/>
        <v>0.50309999999999988</v>
      </c>
      <c r="C13">
        <v>1014.413</v>
      </c>
      <c r="D13">
        <v>113.949</v>
      </c>
      <c r="E13">
        <v>264.279</v>
      </c>
      <c r="I13">
        <f t="shared" si="1"/>
        <v>0.51456438477905186</v>
      </c>
      <c r="J13">
        <f t="shared" si="2"/>
        <v>0.41302615081984323</v>
      </c>
      <c r="K13" s="3">
        <f t="shared" si="3"/>
        <v>0.97568998725189071</v>
      </c>
      <c r="L13" s="2">
        <f t="shared" si="4"/>
        <v>0.52738512386333269</v>
      </c>
      <c r="M13" s="2">
        <f t="shared" si="5"/>
        <v>0.42331699229912628</v>
      </c>
      <c r="R13">
        <f t="shared" si="6"/>
        <v>0.19206232332368517</v>
      </c>
      <c r="S13">
        <f t="shared" si="7"/>
        <v>0.13942431182807061</v>
      </c>
    </row>
    <row r="14" spans="1:19" x14ac:dyDescent="0.3">
      <c r="A14">
        <v>8.9469999999999992</v>
      </c>
      <c r="B14">
        <f t="shared" si="0"/>
        <v>1.0024999999999995</v>
      </c>
      <c r="C14">
        <v>1075.8889999999999</v>
      </c>
      <c r="D14">
        <v>120.339</v>
      </c>
      <c r="E14">
        <v>272.39299999999997</v>
      </c>
      <c r="I14">
        <f t="shared" si="1"/>
        <v>0.54574829125370961</v>
      </c>
      <c r="J14">
        <f t="shared" si="2"/>
        <v>0.43618771523672095</v>
      </c>
      <c r="K14" s="3">
        <f t="shared" si="3"/>
        <v>1.0056460131054841</v>
      </c>
      <c r="L14" s="2">
        <f t="shared" si="4"/>
        <v>0.54268428864786344</v>
      </c>
      <c r="M14" s="2">
        <f t="shared" si="5"/>
        <v>0.43373882017366328</v>
      </c>
      <c r="R14">
        <f t="shared" si="6"/>
        <v>0.21993159873038273</v>
      </c>
      <c r="S14">
        <f t="shared" si="7"/>
        <v>0.17328115214797996</v>
      </c>
    </row>
    <row r="15" spans="1:19" x14ac:dyDescent="0.3">
      <c r="A15">
        <v>9.4472000000000005</v>
      </c>
      <c r="B15">
        <f t="shared" si="0"/>
        <v>1.5027000000000008</v>
      </c>
      <c r="C15">
        <v>1152.54</v>
      </c>
      <c r="D15">
        <v>124.559</v>
      </c>
      <c r="E15">
        <v>263.06599999999997</v>
      </c>
      <c r="I15">
        <f t="shared" si="1"/>
        <v>0.58462976719861481</v>
      </c>
      <c r="J15">
        <f t="shared" si="2"/>
        <v>0.4514837718625776</v>
      </c>
      <c r="K15" s="3">
        <f t="shared" si="3"/>
        <v>0.97121172013820944</v>
      </c>
      <c r="L15" s="2">
        <f t="shared" si="4"/>
        <v>0.60195913524954003</v>
      </c>
      <c r="M15" s="2">
        <f t="shared" si="5"/>
        <v>0.46486647813344822</v>
      </c>
      <c r="R15">
        <f t="shared" si="6"/>
        <v>0.32790788684136429</v>
      </c>
      <c r="S15">
        <f t="shared" si="7"/>
        <v>0.27440392617230297</v>
      </c>
    </row>
    <row r="16" spans="1:19" x14ac:dyDescent="0.3">
      <c r="A16">
        <v>9.9467999999999996</v>
      </c>
      <c r="B16">
        <f t="shared" si="0"/>
        <v>2.0023</v>
      </c>
      <c r="C16">
        <v>1220.3489999999999</v>
      </c>
      <c r="D16">
        <v>132.35599999999999</v>
      </c>
      <c r="E16">
        <v>261.09800000000001</v>
      </c>
      <c r="I16">
        <f t="shared" si="1"/>
        <v>0.619026109090411</v>
      </c>
      <c r="J16">
        <f t="shared" si="2"/>
        <v>0.47974523004073022</v>
      </c>
      <c r="K16" s="3">
        <f t="shared" si="3"/>
        <v>0.96394607324643344</v>
      </c>
      <c r="L16" s="2">
        <f t="shared" si="4"/>
        <v>0.64217919059063022</v>
      </c>
      <c r="M16" s="2">
        <f t="shared" si="5"/>
        <v>0.4976888680349269</v>
      </c>
      <c r="R16">
        <f t="shared" si="6"/>
        <v>0.40117357258042013</v>
      </c>
      <c r="S16">
        <f t="shared" si="7"/>
        <v>0.38103228610974238</v>
      </c>
    </row>
    <row r="17" spans="1:19" x14ac:dyDescent="0.3">
      <c r="A17">
        <v>10.4476</v>
      </c>
      <c r="B17">
        <f t="shared" si="0"/>
        <v>2.5030999999999999</v>
      </c>
      <c r="C17">
        <v>1253.2059999999999</v>
      </c>
      <c r="D17">
        <v>143.27099999999999</v>
      </c>
      <c r="E17">
        <v>255.95099999999999</v>
      </c>
      <c r="I17">
        <f t="shared" si="1"/>
        <v>0.63569293216019163</v>
      </c>
      <c r="J17">
        <f t="shared" si="2"/>
        <v>0.51930837176376943</v>
      </c>
      <c r="K17" s="3">
        <f t="shared" si="3"/>
        <v>0.94494389613669139</v>
      </c>
      <c r="L17" s="2">
        <f t="shared" si="4"/>
        <v>0.67273087297474332</v>
      </c>
      <c r="M17" s="2">
        <f t="shared" si="5"/>
        <v>0.54956529576719826</v>
      </c>
      <c r="R17">
        <f t="shared" si="6"/>
        <v>0.45682714991568207</v>
      </c>
      <c r="S17">
        <f t="shared" si="7"/>
        <v>0.54956048972650562</v>
      </c>
    </row>
    <row r="18" spans="1:19" x14ac:dyDescent="0.3">
      <c r="A18">
        <v>10.946999999999999</v>
      </c>
      <c r="B18">
        <f t="shared" si="0"/>
        <v>3.0024999999999995</v>
      </c>
      <c r="C18">
        <v>1280.127</v>
      </c>
      <c r="D18">
        <v>139.542</v>
      </c>
      <c r="E18">
        <v>259.41000000000003</v>
      </c>
      <c r="I18">
        <f t="shared" si="1"/>
        <v>0.64934869938974882</v>
      </c>
      <c r="J18">
        <f t="shared" si="2"/>
        <v>0.50579202220030517</v>
      </c>
      <c r="K18" s="3">
        <f t="shared" si="3"/>
        <v>0.95771415660348724</v>
      </c>
      <c r="L18" s="2">
        <f t="shared" si="4"/>
        <v>0.67801931809450333</v>
      </c>
      <c r="M18" s="2">
        <f t="shared" si="5"/>
        <v>0.52812419938960253</v>
      </c>
      <c r="R18">
        <f t="shared" si="6"/>
        <v>0.46646069106590365</v>
      </c>
      <c r="S18">
        <f t="shared" si="7"/>
        <v>0.47990593535474713</v>
      </c>
    </row>
    <row r="19" spans="1:19" x14ac:dyDescent="0.3">
      <c r="A19">
        <v>11.447699999999999</v>
      </c>
      <c r="B19">
        <f t="shared" si="0"/>
        <v>3.5031999999999996</v>
      </c>
      <c r="C19">
        <v>1321.2380000000001</v>
      </c>
      <c r="D19">
        <v>141.72900000000001</v>
      </c>
      <c r="E19">
        <v>259.83600000000001</v>
      </c>
      <c r="I19">
        <f t="shared" si="1"/>
        <v>0.6702023915473333</v>
      </c>
      <c r="J19">
        <f t="shared" si="2"/>
        <v>0.51371914917678585</v>
      </c>
      <c r="K19" s="3">
        <f t="shared" si="3"/>
        <v>0.95928690333920696</v>
      </c>
      <c r="L19" s="2">
        <f t="shared" si="4"/>
        <v>0.69864645208269627</v>
      </c>
      <c r="M19" s="2">
        <f t="shared" si="5"/>
        <v>0.53552190422757506</v>
      </c>
      <c r="R19">
        <f t="shared" si="6"/>
        <v>0.50403550551257559</v>
      </c>
      <c r="S19">
        <f t="shared" si="7"/>
        <v>0.50393846731058545</v>
      </c>
    </row>
    <row r="20" spans="1:19" x14ac:dyDescent="0.3">
      <c r="A20">
        <v>11.947100000000001</v>
      </c>
      <c r="B20">
        <f t="shared" si="0"/>
        <v>4.002600000000001</v>
      </c>
      <c r="C20">
        <v>1373.2380000000001</v>
      </c>
      <c r="D20">
        <v>144.69499999999999</v>
      </c>
      <c r="E20">
        <v>257.29500000000002</v>
      </c>
      <c r="I20">
        <f t="shared" si="1"/>
        <v>0.69657956534982857</v>
      </c>
      <c r="J20">
        <f t="shared" si="2"/>
        <v>0.52446988471050393</v>
      </c>
      <c r="K20" s="3">
        <f t="shared" si="3"/>
        <v>0.94990580133107527</v>
      </c>
      <c r="L20" s="2">
        <f t="shared" si="4"/>
        <v>0.73331436061737065</v>
      </c>
      <c r="M20" s="2">
        <f t="shared" si="5"/>
        <v>0.55212830996039775</v>
      </c>
      <c r="R20">
        <f t="shared" si="6"/>
        <v>0.56718728564791676</v>
      </c>
      <c r="S20">
        <f t="shared" si="7"/>
        <v>0.55788681820951869</v>
      </c>
    </row>
    <row r="21" spans="1:19" x14ac:dyDescent="0.3">
      <c r="A21">
        <v>12.4473</v>
      </c>
      <c r="B21">
        <f t="shared" si="0"/>
        <v>4.5028000000000006</v>
      </c>
      <c r="C21">
        <v>1383.73</v>
      </c>
      <c r="D21">
        <v>145.559</v>
      </c>
      <c r="E21">
        <v>260.58999999999997</v>
      </c>
      <c r="I21">
        <f t="shared" si="1"/>
        <v>0.70190166741782434</v>
      </c>
      <c r="J21">
        <f t="shared" si="2"/>
        <v>0.52760158919503952</v>
      </c>
      <c r="K21" s="3">
        <f t="shared" si="3"/>
        <v>0.96207059122355609</v>
      </c>
      <c r="L21" s="2">
        <f t="shared" si="4"/>
        <v>0.72957397702506388</v>
      </c>
      <c r="M21" s="2">
        <f t="shared" si="5"/>
        <v>0.54840215885202215</v>
      </c>
      <c r="R21">
        <f t="shared" si="6"/>
        <v>0.56037372543539521</v>
      </c>
      <c r="S21">
        <f t="shared" si="7"/>
        <v>0.54578186842500398</v>
      </c>
    </row>
    <row r="22" spans="1:19" x14ac:dyDescent="0.3">
      <c r="A22">
        <v>12.946899999999999</v>
      </c>
      <c r="B22">
        <f t="shared" si="0"/>
        <v>5.0023999999999997</v>
      </c>
      <c r="C22">
        <v>1411.492</v>
      </c>
      <c r="D22">
        <v>147.119</v>
      </c>
      <c r="E22">
        <v>260.08199999999999</v>
      </c>
      <c r="I22">
        <f t="shared" si="1"/>
        <v>0.71598403470830274</v>
      </c>
      <c r="J22">
        <f t="shared" si="2"/>
        <v>0.53325605562545098</v>
      </c>
      <c r="K22" s="3">
        <f t="shared" si="3"/>
        <v>0.96019510920067896</v>
      </c>
      <c r="L22" s="2">
        <f t="shared" si="4"/>
        <v>0.74566515476664796</v>
      </c>
      <c r="M22" s="2">
        <f t="shared" si="5"/>
        <v>0.55536218682613747</v>
      </c>
      <c r="R22">
        <f t="shared" si="6"/>
        <v>0.58968574804670559</v>
      </c>
      <c r="S22">
        <f t="shared" si="7"/>
        <v>0.56839254273075224</v>
      </c>
    </row>
    <row r="23" spans="1:19" x14ac:dyDescent="0.3">
      <c r="A23">
        <v>13.447699999999999</v>
      </c>
      <c r="B23">
        <f t="shared" si="0"/>
        <v>5.5031999999999996</v>
      </c>
      <c r="C23">
        <v>1426.9680000000001</v>
      </c>
      <c r="D23">
        <v>151.542</v>
      </c>
      <c r="E23">
        <v>258.32799999999997</v>
      </c>
      <c r="I23">
        <f t="shared" si="1"/>
        <v>0.72383428743459921</v>
      </c>
      <c r="J23">
        <f t="shared" si="2"/>
        <v>0.54928791781885478</v>
      </c>
      <c r="K23" s="3">
        <f t="shared" si="3"/>
        <v>0.95371952757050849</v>
      </c>
      <c r="L23" s="2">
        <f t="shared" si="4"/>
        <v>0.75895928153897019</v>
      </c>
      <c r="M23" s="2">
        <f t="shared" si="5"/>
        <v>0.57594282379653372</v>
      </c>
      <c r="R23">
        <f t="shared" si="6"/>
        <v>0.61390260468740376</v>
      </c>
      <c r="S23">
        <f t="shared" si="7"/>
        <v>0.63525176819264706</v>
      </c>
    </row>
    <row r="24" spans="1:19" x14ac:dyDescent="0.3">
      <c r="A24">
        <v>13.947100000000001</v>
      </c>
      <c r="B24">
        <f t="shared" si="0"/>
        <v>6.002600000000001</v>
      </c>
      <c r="C24">
        <v>1443.2860000000001</v>
      </c>
      <c r="D24">
        <v>152.50800000000001</v>
      </c>
      <c r="E24">
        <v>256.03300000000002</v>
      </c>
      <c r="I24">
        <f t="shared" si="1"/>
        <v>0.73211164747515922</v>
      </c>
      <c r="J24">
        <f t="shared" si="2"/>
        <v>0.55278933741614811</v>
      </c>
      <c r="K24" s="3">
        <f t="shared" si="3"/>
        <v>0.94524663142384879</v>
      </c>
      <c r="L24" s="2">
        <f t="shared" si="4"/>
        <v>0.77451918170008294</v>
      </c>
      <c r="M24" s="2">
        <f t="shared" si="5"/>
        <v>0.5848096349028693</v>
      </c>
      <c r="R24">
        <f t="shared" si="6"/>
        <v>0.64224684105573371</v>
      </c>
      <c r="S24">
        <f t="shared" si="7"/>
        <v>0.66405690788483762</v>
      </c>
    </row>
    <row r="25" spans="1:19" x14ac:dyDescent="0.3">
      <c r="A25">
        <v>14.447100000000001</v>
      </c>
      <c r="B25">
        <f t="shared" si="0"/>
        <v>6.502600000000001</v>
      </c>
      <c r="C25">
        <v>1459.683</v>
      </c>
      <c r="D25">
        <v>154.136</v>
      </c>
      <c r="E25">
        <v>258.58999999999997</v>
      </c>
      <c r="I25">
        <f t="shared" si="1"/>
        <v>0.7404290805297653</v>
      </c>
      <c r="J25">
        <f t="shared" si="2"/>
        <v>0.55869028058839798</v>
      </c>
      <c r="K25" s="3">
        <f t="shared" si="3"/>
        <v>0.95468680373191361</v>
      </c>
      <c r="L25" s="2">
        <f t="shared" si="4"/>
        <v>0.77557276128191444</v>
      </c>
      <c r="M25" s="2">
        <f t="shared" si="5"/>
        <v>0.58520792201636451</v>
      </c>
      <c r="R25">
        <f t="shared" si="6"/>
        <v>0.64416606344090754</v>
      </c>
      <c r="S25">
        <f t="shared" si="7"/>
        <v>0.66535080213884179</v>
      </c>
    </row>
    <row r="26" spans="1:19" x14ac:dyDescent="0.3">
      <c r="A26">
        <v>14.9472</v>
      </c>
      <c r="B26">
        <f t="shared" si="0"/>
        <v>7.0027000000000008</v>
      </c>
      <c r="C26">
        <v>1475.048</v>
      </c>
      <c r="D26">
        <v>155.797</v>
      </c>
      <c r="E26">
        <v>257.91800000000001</v>
      </c>
      <c r="I26">
        <f t="shared" si="1"/>
        <v>0.74822302813506025</v>
      </c>
      <c r="J26">
        <f t="shared" si="2"/>
        <v>0.56471083747359885</v>
      </c>
      <c r="K26" s="3">
        <f t="shared" si="3"/>
        <v>0.95220585113472189</v>
      </c>
      <c r="L26" s="2">
        <f t="shared" si="4"/>
        <v>0.78577864990371571</v>
      </c>
      <c r="M26" s="2">
        <f t="shared" si="5"/>
        <v>0.59305541632688552</v>
      </c>
      <c r="R26">
        <f t="shared" si="6"/>
        <v>0.66275732151132549</v>
      </c>
      <c r="S26">
        <f t="shared" si="7"/>
        <v>0.6908445413351928</v>
      </c>
    </row>
    <row r="27" spans="1:19" x14ac:dyDescent="0.3">
      <c r="A27">
        <v>15.4472</v>
      </c>
      <c r="B27">
        <f t="shared" si="0"/>
        <v>7.5027000000000008</v>
      </c>
      <c r="C27">
        <v>1499.0630000000001</v>
      </c>
      <c r="D27">
        <v>157.797</v>
      </c>
      <c r="E27">
        <v>262.262</v>
      </c>
      <c r="I27">
        <f t="shared" si="1"/>
        <v>0.76040471715173197</v>
      </c>
      <c r="J27">
        <f t="shared" si="2"/>
        <v>0.57196015341002382</v>
      </c>
      <c r="K27" s="3">
        <f t="shared" si="3"/>
        <v>0.96824343756656928</v>
      </c>
      <c r="L27" s="2">
        <f t="shared" si="4"/>
        <v>0.78534456072618841</v>
      </c>
      <c r="M27" s="2">
        <f t="shared" si="5"/>
        <v>0.5907193699628871</v>
      </c>
      <c r="R27">
        <f t="shared" si="6"/>
        <v>0.66196657567585293</v>
      </c>
      <c r="S27">
        <f t="shared" si="7"/>
        <v>0.68325555121964521</v>
      </c>
    </row>
    <row r="28" spans="1:19" x14ac:dyDescent="0.3">
      <c r="A28">
        <v>15.9474</v>
      </c>
      <c r="B28">
        <f t="shared" si="0"/>
        <v>8.0029000000000003</v>
      </c>
      <c r="C28">
        <v>1503.4760000000001</v>
      </c>
      <c r="D28">
        <v>160.898</v>
      </c>
      <c r="E28">
        <v>261.03300000000002</v>
      </c>
      <c r="I28">
        <f t="shared" si="1"/>
        <v>0.76264322615154756</v>
      </c>
      <c r="J28">
        <f t="shared" si="2"/>
        <v>0.58320021776945075</v>
      </c>
      <c r="K28" s="3">
        <f t="shared" si="3"/>
        <v>0.96370610015295499</v>
      </c>
      <c r="L28" s="2">
        <f t="shared" si="4"/>
        <v>0.79136494625332798</v>
      </c>
      <c r="M28" s="2">
        <f t="shared" si="5"/>
        <v>0.60516397859979087</v>
      </c>
      <c r="R28">
        <f t="shared" si="6"/>
        <v>0.67293343463014033</v>
      </c>
      <c r="S28">
        <f t="shared" si="7"/>
        <v>0.73018098637273365</v>
      </c>
    </row>
    <row r="29" spans="1:19" x14ac:dyDescent="0.3">
      <c r="A29">
        <v>16.447199999999999</v>
      </c>
      <c r="B29">
        <f t="shared" si="0"/>
        <v>8.502699999999999</v>
      </c>
      <c r="C29">
        <v>1518.5709999999999</v>
      </c>
      <c r="D29">
        <v>159.678</v>
      </c>
      <c r="E29">
        <v>257.58999999999997</v>
      </c>
      <c r="I29">
        <f t="shared" si="1"/>
        <v>0.77030021535440651</v>
      </c>
      <c r="J29">
        <f t="shared" si="2"/>
        <v>0.5787781350482315</v>
      </c>
      <c r="K29" s="3">
        <f t="shared" si="3"/>
        <v>0.95099490998609237</v>
      </c>
      <c r="L29" s="2">
        <f t="shared" si="4"/>
        <v>0.80999404651458295</v>
      </c>
      <c r="M29" s="2">
        <f t="shared" si="5"/>
        <v>0.60860276850135375</v>
      </c>
      <c r="R29">
        <f t="shared" si="6"/>
        <v>0.70686858946191566</v>
      </c>
      <c r="S29">
        <f t="shared" si="7"/>
        <v>0.74135240102211486</v>
      </c>
    </row>
    <row r="30" spans="1:19" x14ac:dyDescent="0.3">
      <c r="A30">
        <v>16.9468</v>
      </c>
      <c r="B30">
        <f t="shared" si="0"/>
        <v>9.0023</v>
      </c>
      <c r="C30">
        <v>1535.7460000000001</v>
      </c>
      <c r="D30">
        <v>154.18600000000001</v>
      </c>
      <c r="E30">
        <v>259.93400000000003</v>
      </c>
      <c r="I30">
        <f t="shared" si="1"/>
        <v>0.77901229150936535</v>
      </c>
      <c r="J30">
        <f t="shared" si="2"/>
        <v>0.55887151348680864</v>
      </c>
      <c r="K30" s="3">
        <f t="shared" si="3"/>
        <v>0.9596487089262975</v>
      </c>
      <c r="L30" s="2">
        <f t="shared" si="4"/>
        <v>0.8117681858614314</v>
      </c>
      <c r="M30" s="2">
        <f t="shared" si="5"/>
        <v>0.58237093249685268</v>
      </c>
      <c r="R30">
        <f t="shared" si="6"/>
        <v>0.71010039843734241</v>
      </c>
      <c r="S30">
        <f t="shared" si="7"/>
        <v>0.65613442452181703</v>
      </c>
    </row>
    <row r="31" spans="1:19" x14ac:dyDescent="0.3">
      <c r="A31">
        <v>17.447600000000001</v>
      </c>
      <c r="B31">
        <f t="shared" si="0"/>
        <v>9.5031000000000017</v>
      </c>
      <c r="C31">
        <v>1534.3330000000001</v>
      </c>
      <c r="D31">
        <v>161.94900000000001</v>
      </c>
      <c r="E31">
        <v>256.44299999999998</v>
      </c>
      <c r="I31">
        <f t="shared" si="1"/>
        <v>0.77829554253661681</v>
      </c>
      <c r="J31">
        <f t="shared" si="2"/>
        <v>0.58700973329404205</v>
      </c>
      <c r="K31" s="3">
        <f t="shared" si="3"/>
        <v>0.94676030785963539</v>
      </c>
      <c r="L31" s="2">
        <f t="shared" si="4"/>
        <v>0.82206186304549345</v>
      </c>
      <c r="M31" s="2">
        <f t="shared" si="5"/>
        <v>0.62001937388050155</v>
      </c>
      <c r="R31">
        <f t="shared" si="6"/>
        <v>0.72885157397081535</v>
      </c>
      <c r="S31">
        <f t="shared" si="7"/>
        <v>0.77844092234202744</v>
      </c>
    </row>
    <row r="32" spans="1:19" x14ac:dyDescent="0.3">
      <c r="A32">
        <v>17.946999999999999</v>
      </c>
      <c r="B32">
        <f t="shared" si="0"/>
        <v>10.0025</v>
      </c>
      <c r="C32">
        <v>1536.095</v>
      </c>
      <c r="D32">
        <v>162.91499999999999</v>
      </c>
      <c r="E32">
        <v>263.47500000000002</v>
      </c>
      <c r="I32">
        <f t="shared" si="1"/>
        <v>0.77918932292584742</v>
      </c>
      <c r="J32">
        <f t="shared" si="2"/>
        <v>0.59051115289133527</v>
      </c>
      <c r="K32" s="3">
        <f t="shared" si="3"/>
        <v>0.97272170468025054</v>
      </c>
      <c r="L32" s="2">
        <f t="shared" si="4"/>
        <v>0.8010403378240436</v>
      </c>
      <c r="M32" s="2">
        <f t="shared" si="5"/>
        <v>0.60707101532749896</v>
      </c>
      <c r="R32">
        <f t="shared" si="6"/>
        <v>0.690558328286071</v>
      </c>
      <c r="S32">
        <f t="shared" si="7"/>
        <v>0.73637627560140784</v>
      </c>
    </row>
    <row r="33" spans="1:19" x14ac:dyDescent="0.3">
      <c r="A33">
        <v>18.447700000000001</v>
      </c>
      <c r="B33">
        <f t="shared" si="0"/>
        <v>10.503200000000001</v>
      </c>
      <c r="C33">
        <v>1559.905</v>
      </c>
      <c r="D33">
        <v>163.38999999999999</v>
      </c>
      <c r="E33">
        <v>251.90199999999999</v>
      </c>
      <c r="I33">
        <f t="shared" si="1"/>
        <v>0.79126702500733614</v>
      </c>
      <c r="J33">
        <f t="shared" si="2"/>
        <v>0.5922328654262361</v>
      </c>
      <c r="K33" s="3">
        <f t="shared" si="3"/>
        <v>0.92999541835986121</v>
      </c>
      <c r="L33" s="2">
        <f t="shared" si="4"/>
        <v>0.85082894967677769</v>
      </c>
      <c r="M33" s="2">
        <f t="shared" si="5"/>
        <v>0.63681266997067287</v>
      </c>
      <c r="R33">
        <f t="shared" si="6"/>
        <v>0.78125429472497165</v>
      </c>
      <c r="S33">
        <f t="shared" si="7"/>
        <v>0.83299641404795322</v>
      </c>
    </row>
    <row r="34" spans="1:19" x14ac:dyDescent="0.3">
      <c r="A34">
        <v>18.947099999999999</v>
      </c>
      <c r="B34">
        <f t="shared" si="0"/>
        <v>11.002599999999999</v>
      </c>
      <c r="C34">
        <v>1563.8409999999999</v>
      </c>
      <c r="D34">
        <v>160.017</v>
      </c>
      <c r="E34">
        <v>251.36099999999999</v>
      </c>
      <c r="I34">
        <f t="shared" si="1"/>
        <v>0.7932635741628481</v>
      </c>
      <c r="J34">
        <f t="shared" si="2"/>
        <v>0.58000689409945549</v>
      </c>
      <c r="K34" s="3">
        <f t="shared" si="3"/>
        <v>0.92799810384337189</v>
      </c>
      <c r="L34" s="2">
        <f t="shared" si="4"/>
        <v>0.85481163256421444</v>
      </c>
      <c r="M34" s="2">
        <f t="shared" si="5"/>
        <v>0.62500870604941394</v>
      </c>
      <c r="R34">
        <f t="shared" si="6"/>
        <v>0.78850923235135406</v>
      </c>
      <c r="S34">
        <f t="shared" si="7"/>
        <v>0.79464950154516067</v>
      </c>
    </row>
    <row r="35" spans="1:19" x14ac:dyDescent="0.3">
      <c r="A35">
        <v>19.447299999999998</v>
      </c>
      <c r="B35">
        <f t="shared" si="0"/>
        <v>11.502799999999999</v>
      </c>
      <c r="C35">
        <v>1581.7139999999999</v>
      </c>
      <c r="D35">
        <v>165.76300000000001</v>
      </c>
      <c r="E35">
        <v>254.50800000000001</v>
      </c>
      <c r="I35">
        <f t="shared" si="1"/>
        <v>0.80232971315077117</v>
      </c>
      <c r="J35">
        <f t="shared" si="2"/>
        <v>0.60083417878480438</v>
      </c>
      <c r="K35" s="3">
        <f t="shared" si="3"/>
        <v>0.93961649346147147</v>
      </c>
      <c r="L35" s="2">
        <f t="shared" si="4"/>
        <v>0.85389062317866848</v>
      </c>
      <c r="M35" s="2">
        <f t="shared" si="5"/>
        <v>0.63944618146429044</v>
      </c>
      <c r="R35">
        <f t="shared" si="6"/>
        <v>0.78683150258117163</v>
      </c>
      <c r="S35">
        <f t="shared" si="7"/>
        <v>0.84155176337759441</v>
      </c>
    </row>
    <row r="36" spans="1:19" x14ac:dyDescent="0.3">
      <c r="A36">
        <v>19.946899999999999</v>
      </c>
      <c r="B36">
        <f t="shared" si="0"/>
        <v>12.0024</v>
      </c>
      <c r="C36">
        <v>1574.9839999999999</v>
      </c>
      <c r="D36">
        <v>161.84700000000001</v>
      </c>
      <c r="E36">
        <v>255.066</v>
      </c>
      <c r="I36">
        <f t="shared" si="1"/>
        <v>0.79891589815671737</v>
      </c>
      <c r="J36">
        <f t="shared" si="2"/>
        <v>0.58664001818128442</v>
      </c>
      <c r="K36" s="3">
        <f t="shared" si="3"/>
        <v>0.94167657017163964</v>
      </c>
      <c r="L36" s="2">
        <f t="shared" si="4"/>
        <v>0.84839734093745023</v>
      </c>
      <c r="M36" s="2">
        <f t="shared" si="5"/>
        <v>0.62297399846569124</v>
      </c>
      <c r="R36">
        <f t="shared" si="6"/>
        <v>0.77682482588846569</v>
      </c>
      <c r="S36">
        <f t="shared" si="7"/>
        <v>0.78803945476746251</v>
      </c>
    </row>
    <row r="37" spans="1:19" x14ac:dyDescent="0.3">
      <c r="A37">
        <v>20.447700000000001</v>
      </c>
      <c r="B37">
        <f t="shared" si="0"/>
        <v>12.503200000000001</v>
      </c>
      <c r="C37">
        <v>1592.587</v>
      </c>
      <c r="D37">
        <v>168.05099999999999</v>
      </c>
      <c r="E37">
        <v>257.14800000000002</v>
      </c>
      <c r="I37">
        <f t="shared" si="1"/>
        <v>0.80784507874220446</v>
      </c>
      <c r="J37">
        <f t="shared" si="2"/>
        <v>0.60912739621607448</v>
      </c>
      <c r="K37" s="3">
        <f t="shared" si="3"/>
        <v>0.94936309295043952</v>
      </c>
      <c r="L37" s="2">
        <f t="shared" si="4"/>
        <v>0.85093373098334368</v>
      </c>
      <c r="M37" s="2">
        <f t="shared" si="5"/>
        <v>0.64161689109171349</v>
      </c>
      <c r="R37">
        <f t="shared" si="6"/>
        <v>0.78144516652296125</v>
      </c>
      <c r="S37">
        <f t="shared" si="7"/>
        <v>0.84860363279256668</v>
      </c>
    </row>
    <row r="38" spans="1:19" x14ac:dyDescent="0.3">
      <c r="A38">
        <v>20.947099999999999</v>
      </c>
      <c r="B38">
        <f t="shared" si="0"/>
        <v>13.002599999999999</v>
      </c>
      <c r="C38">
        <v>1577.556</v>
      </c>
      <c r="D38">
        <v>168.881</v>
      </c>
      <c r="E38">
        <v>251.607</v>
      </c>
      <c r="I38">
        <f t="shared" si="1"/>
        <v>0.80022055375325629</v>
      </c>
      <c r="J38">
        <f t="shared" si="2"/>
        <v>0.61213586232969086</v>
      </c>
      <c r="K38" s="3">
        <f t="shared" si="3"/>
        <v>0.928906309704844</v>
      </c>
      <c r="L38" s="2">
        <f t="shared" si="4"/>
        <v>0.86146530106736274</v>
      </c>
      <c r="M38" s="2">
        <f t="shared" si="5"/>
        <v>0.65898557899148558</v>
      </c>
      <c r="R38">
        <f t="shared" si="6"/>
        <v>0.8006296926895945</v>
      </c>
      <c r="S38">
        <f t="shared" si="7"/>
        <v>0.90502836940001619</v>
      </c>
    </row>
    <row r="39" spans="1:19" x14ac:dyDescent="0.3">
      <c r="A39">
        <v>21.447099999999999</v>
      </c>
      <c r="B39">
        <f t="shared" si="0"/>
        <v>13.502599999999999</v>
      </c>
      <c r="C39">
        <v>1617.7619999999999</v>
      </c>
      <c r="D39">
        <v>166.61</v>
      </c>
      <c r="E39">
        <v>255.42599999999999</v>
      </c>
      <c r="I39">
        <f t="shared" si="1"/>
        <v>0.82061518163600866</v>
      </c>
      <c r="J39">
        <f t="shared" si="2"/>
        <v>0.60390426408388043</v>
      </c>
      <c r="K39" s="3">
        <f t="shared" si="3"/>
        <v>0.9430056519201353</v>
      </c>
      <c r="L39" s="2">
        <f t="shared" si="4"/>
        <v>0.87021236825578208</v>
      </c>
      <c r="M39" s="2">
        <f t="shared" si="5"/>
        <v>0.64040365278216393</v>
      </c>
      <c r="R39">
        <f t="shared" si="6"/>
        <v>0.81656353142577376</v>
      </c>
      <c r="S39">
        <f t="shared" si="7"/>
        <v>0.84466224974432269</v>
      </c>
    </row>
    <row r="40" spans="1:19" x14ac:dyDescent="0.3">
      <c r="A40">
        <v>21.947199999999999</v>
      </c>
      <c r="B40">
        <f t="shared" si="0"/>
        <v>14.002699999999999</v>
      </c>
      <c r="C40">
        <v>1594.492</v>
      </c>
      <c r="D40">
        <v>168.136</v>
      </c>
      <c r="E40">
        <v>256.47500000000002</v>
      </c>
      <c r="I40">
        <f t="shared" si="1"/>
        <v>0.80881139635939203</v>
      </c>
      <c r="J40">
        <f t="shared" si="2"/>
        <v>0.60943549214337256</v>
      </c>
      <c r="K40" s="3">
        <f t="shared" si="3"/>
        <v>0.94687844845950186</v>
      </c>
      <c r="L40" s="2">
        <f t="shared" si="4"/>
        <v>0.85418714268475082</v>
      </c>
      <c r="M40" s="2">
        <f t="shared" si="5"/>
        <v>0.64362589848240503</v>
      </c>
      <c r="R40">
        <f t="shared" si="6"/>
        <v>0.78737164865416664</v>
      </c>
      <c r="S40">
        <f t="shared" si="7"/>
        <v>0.85513018871413837</v>
      </c>
    </row>
    <row r="41" spans="1:19" x14ac:dyDescent="0.3">
      <c r="A41">
        <v>22.447199999999999</v>
      </c>
      <c r="B41">
        <f t="shared" si="0"/>
        <v>14.502699999999999</v>
      </c>
      <c r="C41">
        <v>1596.921</v>
      </c>
      <c r="D41">
        <v>167.898</v>
      </c>
      <c r="E41">
        <v>254.852</v>
      </c>
      <c r="I41">
        <f t="shared" si="1"/>
        <v>0.81004351472797398</v>
      </c>
      <c r="J41">
        <f t="shared" si="2"/>
        <v>0.60857282354693798</v>
      </c>
      <c r="K41" s="3">
        <f t="shared" si="3"/>
        <v>0.94088650491003389</v>
      </c>
      <c r="L41" s="2">
        <f t="shared" si="4"/>
        <v>0.86093647905538728</v>
      </c>
      <c r="M41" s="2">
        <f t="shared" si="5"/>
        <v>0.64680789911545045</v>
      </c>
      <c r="R41">
        <f t="shared" si="6"/>
        <v>0.79966637956103925</v>
      </c>
      <c r="S41">
        <f t="shared" si="7"/>
        <v>0.86546738566536474</v>
      </c>
    </row>
    <row r="42" spans="1:19" x14ac:dyDescent="0.3">
      <c r="A42">
        <v>22.947199999999999</v>
      </c>
      <c r="B42">
        <f t="shared" si="0"/>
        <v>15.002699999999999</v>
      </c>
      <c r="C42">
        <v>1635.27</v>
      </c>
      <c r="D42">
        <v>168.47499999999999</v>
      </c>
      <c r="E42">
        <v>254</v>
      </c>
      <c r="I42">
        <f t="shared" si="1"/>
        <v>0.82949617315397195</v>
      </c>
      <c r="J42">
        <f t="shared" si="2"/>
        <v>0.61066425119459666</v>
      </c>
      <c r="K42" s="3">
        <f t="shared" si="3"/>
        <v>0.93774101143859423</v>
      </c>
      <c r="L42" s="2">
        <f t="shared" si="4"/>
        <v>0.88456851415876203</v>
      </c>
      <c r="M42" s="2">
        <f t="shared" si="5"/>
        <v>0.65120778951298386</v>
      </c>
      <c r="R42">
        <f t="shared" si="6"/>
        <v>0.84271498410856494</v>
      </c>
      <c r="S42">
        <f t="shared" si="7"/>
        <v>0.879761076600172</v>
      </c>
    </row>
    <row r="43" spans="1:19" x14ac:dyDescent="0.3">
      <c r="A43">
        <v>23.447199999999999</v>
      </c>
      <c r="B43">
        <f t="shared" si="0"/>
        <v>15.502699999999999</v>
      </c>
      <c r="C43">
        <v>1619.127</v>
      </c>
      <c r="D43">
        <v>166.30500000000001</v>
      </c>
      <c r="E43">
        <v>251.279</v>
      </c>
      <c r="I43">
        <f t="shared" si="1"/>
        <v>0.82130758244832425</v>
      </c>
      <c r="J43">
        <f t="shared" si="2"/>
        <v>0.60279874340357553</v>
      </c>
      <c r="K43" s="3">
        <f t="shared" si="3"/>
        <v>0.92769536855621459</v>
      </c>
      <c r="L43" s="2">
        <f t="shared" si="4"/>
        <v>0.88532034360216416</v>
      </c>
      <c r="M43" s="2">
        <f t="shared" si="5"/>
        <v>0.64978091282456196</v>
      </c>
      <c r="R43">
        <f t="shared" si="6"/>
        <v>0.84408453219253776</v>
      </c>
      <c r="S43">
        <f t="shared" si="7"/>
        <v>0.87512565786387408</v>
      </c>
    </row>
    <row r="44" spans="1:19" x14ac:dyDescent="0.3">
      <c r="A44">
        <v>23.9468</v>
      </c>
      <c r="B44">
        <f t="shared" si="0"/>
        <v>16.002299999999998</v>
      </c>
      <c r="C44">
        <v>1634.3810000000001</v>
      </c>
      <c r="D44">
        <v>166.52500000000001</v>
      </c>
      <c r="E44">
        <v>255.24600000000001</v>
      </c>
      <c r="I44">
        <f t="shared" si="1"/>
        <v>0.82904522493261779</v>
      </c>
      <c r="J44">
        <f t="shared" si="2"/>
        <v>0.60359616815658235</v>
      </c>
      <c r="K44" s="3">
        <f t="shared" si="3"/>
        <v>0.94234111104588747</v>
      </c>
      <c r="L44" s="2">
        <f t="shared" si="4"/>
        <v>0.87977189492717278</v>
      </c>
      <c r="M44" s="2">
        <f t="shared" si="5"/>
        <v>0.64052831939663735</v>
      </c>
      <c r="R44">
        <f t="shared" si="6"/>
        <v>0.83397736318161164</v>
      </c>
      <c r="S44">
        <f t="shared" si="7"/>
        <v>0.84506724757294382</v>
      </c>
    </row>
    <row r="45" spans="1:19" x14ac:dyDescent="0.3">
      <c r="A45">
        <v>24.447299999999998</v>
      </c>
      <c r="B45">
        <f t="shared" si="0"/>
        <v>16.502800000000001</v>
      </c>
      <c r="C45">
        <v>1630.3810000000001</v>
      </c>
      <c r="D45">
        <v>164.15299999999999</v>
      </c>
      <c r="E45">
        <v>246.77</v>
      </c>
      <c r="I45">
        <f t="shared" si="1"/>
        <v>0.82701621156319505</v>
      </c>
      <c r="J45">
        <f t="shared" si="2"/>
        <v>0.59499847945598228</v>
      </c>
      <c r="K45" s="3">
        <f t="shared" si="3"/>
        <v>0.91104861965630668</v>
      </c>
      <c r="L45" s="2">
        <f t="shared" si="4"/>
        <v>0.90776298182108783</v>
      </c>
      <c r="M45" s="2">
        <f t="shared" si="5"/>
        <v>0.65309190598460665</v>
      </c>
      <c r="R45">
        <f t="shared" si="6"/>
        <v>0.88496650674375466</v>
      </c>
      <c r="S45">
        <f t="shared" si="7"/>
        <v>0.88588190600666206</v>
      </c>
    </row>
    <row r="46" spans="1:19" x14ac:dyDescent="0.3">
      <c r="A46">
        <v>24.947299999999998</v>
      </c>
      <c r="B46">
        <f t="shared" si="0"/>
        <v>17.002800000000001</v>
      </c>
      <c r="C46">
        <v>1642.9680000000001</v>
      </c>
      <c r="D46">
        <v>172.08500000000001</v>
      </c>
      <c r="E46">
        <v>252.50800000000001</v>
      </c>
      <c r="I46">
        <f t="shared" si="1"/>
        <v>0.83340100938342598</v>
      </c>
      <c r="J46">
        <f t="shared" si="2"/>
        <v>0.62374926645984374</v>
      </c>
      <c r="K46" s="3">
        <f t="shared" si="3"/>
        <v>0.93223270596982899</v>
      </c>
      <c r="L46" s="2">
        <f t="shared" si="4"/>
        <v>0.89398387768042797</v>
      </c>
      <c r="M46" s="2">
        <f t="shared" si="5"/>
        <v>0.66909180772727672</v>
      </c>
      <c r="R46">
        <f t="shared" si="6"/>
        <v>0.85986620528534441</v>
      </c>
      <c r="S46">
        <f t="shared" si="7"/>
        <v>0.93785993951068269</v>
      </c>
    </row>
    <row r="47" spans="1:19" x14ac:dyDescent="0.3">
      <c r="A47">
        <v>25.447299999999998</v>
      </c>
      <c r="B47">
        <f t="shared" si="0"/>
        <v>17.502800000000001</v>
      </c>
      <c r="C47">
        <v>1658.27</v>
      </c>
      <c r="D47">
        <v>168.06800000000001</v>
      </c>
      <c r="E47">
        <v>256.98399999999998</v>
      </c>
      <c r="I47">
        <f t="shared" si="1"/>
        <v>0.84116300002815259</v>
      </c>
      <c r="J47">
        <f t="shared" si="2"/>
        <v>0.60918901540153425</v>
      </c>
      <c r="K47" s="3">
        <f t="shared" si="3"/>
        <v>0.94875762237612471</v>
      </c>
      <c r="L47" s="2">
        <f t="shared" si="4"/>
        <v>0.88659419454411781</v>
      </c>
      <c r="M47" s="2">
        <f t="shared" si="5"/>
        <v>0.64209130027945938</v>
      </c>
      <c r="R47">
        <f t="shared" si="6"/>
        <v>0.84640500544897868</v>
      </c>
      <c r="S47">
        <f t="shared" si="7"/>
        <v>0.85014482079808473</v>
      </c>
    </row>
    <row r="48" spans="1:19" x14ac:dyDescent="0.3">
      <c r="A48">
        <v>25.946899999999999</v>
      </c>
      <c r="B48">
        <f t="shared" si="0"/>
        <v>18.002400000000002</v>
      </c>
      <c r="C48">
        <v>1640.9369999999999</v>
      </c>
      <c r="D48">
        <v>163.203</v>
      </c>
      <c r="E48">
        <v>251.197</v>
      </c>
      <c r="I48">
        <f t="shared" si="1"/>
        <v>0.83237077784510149</v>
      </c>
      <c r="J48">
        <f t="shared" si="2"/>
        <v>0.5915550543861805</v>
      </c>
      <c r="K48" s="3">
        <f t="shared" si="3"/>
        <v>0.9273926332690573</v>
      </c>
      <c r="L48" s="2">
        <f t="shared" si="4"/>
        <v>0.89753869934355213</v>
      </c>
      <c r="M48" s="2">
        <f t="shared" si="5"/>
        <v>0.63786904614602125</v>
      </c>
      <c r="R48">
        <f t="shared" si="6"/>
        <v>0.86634174204480674</v>
      </c>
      <c r="S48">
        <f t="shared" si="7"/>
        <v>0.83642820738757562</v>
      </c>
    </row>
    <row r="49" spans="1:19" x14ac:dyDescent="0.3">
      <c r="A49">
        <v>26.447099999999999</v>
      </c>
      <c r="B49">
        <f t="shared" si="0"/>
        <v>18.502600000000001</v>
      </c>
      <c r="C49">
        <v>1630.73</v>
      </c>
      <c r="D49">
        <v>171.542</v>
      </c>
      <c r="E49">
        <v>245.90199999999999</v>
      </c>
      <c r="I49">
        <f t="shared" si="1"/>
        <v>0.82719324297967722</v>
      </c>
      <c r="J49">
        <f t="shared" si="2"/>
        <v>0.62178107718310427</v>
      </c>
      <c r="K49" s="3">
        <f t="shared" si="3"/>
        <v>0.90784405588493378</v>
      </c>
      <c r="L49" s="2">
        <f t="shared" si="4"/>
        <v>0.91116226142314605</v>
      </c>
      <c r="M49" s="2">
        <f t="shared" si="5"/>
        <v>0.68489854964905228</v>
      </c>
      <c r="R49">
        <f t="shared" si="6"/>
        <v>0.89115870486361004</v>
      </c>
      <c r="S49">
        <f t="shared" si="7"/>
        <v>0.98921046493349374</v>
      </c>
    </row>
    <row r="50" spans="1:19" x14ac:dyDescent="0.3">
      <c r="A50">
        <v>26.947299999999998</v>
      </c>
      <c r="B50">
        <f t="shared" si="0"/>
        <v>19.002800000000001</v>
      </c>
      <c r="C50">
        <v>1639.2380000000001</v>
      </c>
      <c r="D50">
        <v>169.76300000000001</v>
      </c>
      <c r="E50">
        <v>252.16399999999999</v>
      </c>
      <c r="I50">
        <f t="shared" si="1"/>
        <v>0.83150895441643935</v>
      </c>
      <c r="J50">
        <f t="shared" si="2"/>
        <v>0.61533281065765433</v>
      </c>
      <c r="K50" s="3">
        <f t="shared" si="3"/>
        <v>0.93096269452126634</v>
      </c>
      <c r="L50" s="2">
        <f t="shared" si="4"/>
        <v>0.89317107904525694</v>
      </c>
      <c r="M50" s="2">
        <f t="shared" si="5"/>
        <v>0.66096398306709814</v>
      </c>
      <c r="R50">
        <f t="shared" si="6"/>
        <v>0.8583855944590153</v>
      </c>
      <c r="S50">
        <f t="shared" si="7"/>
        <v>0.91145550595251357</v>
      </c>
    </row>
    <row r="51" spans="1:19" x14ac:dyDescent="0.3">
      <c r="A51">
        <v>27.447299999999998</v>
      </c>
      <c r="B51">
        <f t="shared" si="0"/>
        <v>19.502800000000001</v>
      </c>
      <c r="C51">
        <v>1646.7940000000001</v>
      </c>
      <c r="D51">
        <v>169.03399999999999</v>
      </c>
      <c r="E51">
        <v>246.24600000000001</v>
      </c>
      <c r="I51">
        <f t="shared" si="1"/>
        <v>0.83534176067127885</v>
      </c>
      <c r="J51">
        <f t="shared" si="2"/>
        <v>0.61269043499882736</v>
      </c>
      <c r="K51" s="3">
        <f t="shared" si="3"/>
        <v>0.90911406733349642</v>
      </c>
      <c r="L51" s="2">
        <f t="shared" si="4"/>
        <v>0.91885252982764021</v>
      </c>
      <c r="M51" s="2">
        <f t="shared" si="5"/>
        <v>0.6739423104472434</v>
      </c>
      <c r="R51">
        <f t="shared" si="6"/>
        <v>0.90516745704941415</v>
      </c>
      <c r="S51">
        <f t="shared" si="7"/>
        <v>0.95361751083484869</v>
      </c>
    </row>
    <row r="52" spans="1:19" x14ac:dyDescent="0.3">
      <c r="A52">
        <v>27.947399999999998</v>
      </c>
      <c r="B52">
        <f t="shared" si="0"/>
        <v>20.002899999999997</v>
      </c>
      <c r="C52">
        <v>1664.1590000000001</v>
      </c>
      <c r="D52">
        <v>171.03399999999999</v>
      </c>
      <c r="E52">
        <v>254.066</v>
      </c>
      <c r="I52">
        <f t="shared" si="1"/>
        <v>0.84415021496128528</v>
      </c>
      <c r="J52">
        <f t="shared" si="2"/>
        <v>0.61993975093525233</v>
      </c>
      <c r="K52" s="3">
        <f t="shared" si="3"/>
        <v>0.9379846764258184</v>
      </c>
      <c r="L52" s="2">
        <f t="shared" si="4"/>
        <v>0.89996162642860178</v>
      </c>
      <c r="M52" s="2">
        <f t="shared" si="5"/>
        <v>0.6609273760180463</v>
      </c>
      <c r="R52">
        <f t="shared" si="6"/>
        <v>0.87075539620008924</v>
      </c>
      <c r="S52">
        <f t="shared" si="7"/>
        <v>0.91133658257081396</v>
      </c>
    </row>
    <row r="53" spans="1:19" x14ac:dyDescent="0.3">
      <c r="A53">
        <v>28.447399999999998</v>
      </c>
      <c r="B53">
        <f t="shared" si="0"/>
        <v>20.502899999999997</v>
      </c>
      <c r="C53">
        <v>1660.4290000000001</v>
      </c>
      <c r="D53">
        <v>169.339</v>
      </c>
      <c r="E53">
        <v>245.78700000000001</v>
      </c>
      <c r="I53">
        <f t="shared" si="1"/>
        <v>0.84225815999429854</v>
      </c>
      <c r="J53">
        <f t="shared" si="2"/>
        <v>0.61379595567913225</v>
      </c>
      <c r="K53" s="3">
        <f t="shared" si="3"/>
        <v>0.9074194881041644</v>
      </c>
      <c r="L53" s="2">
        <f t="shared" si="4"/>
        <v>0.92819051280681131</v>
      </c>
      <c r="M53" s="2">
        <f t="shared" si="5"/>
        <v>0.67641919060115385</v>
      </c>
      <c r="R53">
        <f t="shared" si="6"/>
        <v>0.92217772022748701</v>
      </c>
      <c r="S53">
        <f t="shared" si="7"/>
        <v>0.96166402022571928</v>
      </c>
    </row>
    <row r="54" spans="1:19" x14ac:dyDescent="0.3">
      <c r="A54">
        <v>28.9468</v>
      </c>
      <c r="B54">
        <f t="shared" si="0"/>
        <v>21.002299999999998</v>
      </c>
      <c r="C54">
        <v>1661.778</v>
      </c>
      <c r="D54">
        <v>168.661</v>
      </c>
      <c r="E54">
        <v>246.459</v>
      </c>
      <c r="I54">
        <f t="shared" si="1"/>
        <v>0.84294244475313629</v>
      </c>
      <c r="J54">
        <f t="shared" si="2"/>
        <v>0.61133843757668416</v>
      </c>
      <c r="K54" s="3">
        <f t="shared" si="3"/>
        <v>0.90990044070135623</v>
      </c>
      <c r="L54" s="2">
        <f t="shared" si="4"/>
        <v>0.92641173368746987</v>
      </c>
      <c r="M54" s="2">
        <f t="shared" si="5"/>
        <v>0.67187398777987306</v>
      </c>
      <c r="R54">
        <f t="shared" si="6"/>
        <v>0.91893745934640081</v>
      </c>
      <c r="S54">
        <f t="shared" si="7"/>
        <v>0.94689826051501769</v>
      </c>
    </row>
    <row r="55" spans="1:19" x14ac:dyDescent="0.3">
      <c r="A55">
        <v>29.447600000000001</v>
      </c>
      <c r="B55">
        <f t="shared" si="0"/>
        <v>21.503100000000003</v>
      </c>
      <c r="C55">
        <v>1679.8889999999999</v>
      </c>
      <c r="D55">
        <v>174.678</v>
      </c>
      <c r="E55">
        <v>247.803</v>
      </c>
      <c r="I55">
        <f t="shared" si="1"/>
        <v>0.85212931003654002</v>
      </c>
      <c r="J55">
        <f t="shared" si="2"/>
        <v>0.63314800457141862</v>
      </c>
      <c r="K55" s="3">
        <f t="shared" si="3"/>
        <v>0.91486234589574</v>
      </c>
      <c r="L55" s="2">
        <f t="shared" si="4"/>
        <v>0.93142898913630756</v>
      </c>
      <c r="M55" s="2">
        <f t="shared" si="5"/>
        <v>0.69206914833892808</v>
      </c>
      <c r="R55">
        <f t="shared" si="6"/>
        <v>0.9280769957759184</v>
      </c>
      <c r="S55">
        <f t="shared" si="7"/>
        <v>1.012505209172595</v>
      </c>
    </row>
    <row r="56" spans="1:19" x14ac:dyDescent="0.3">
      <c r="A56">
        <v>29.9468</v>
      </c>
      <c r="B56">
        <f t="shared" si="0"/>
        <v>22.002299999999998</v>
      </c>
      <c r="C56">
        <v>1635.143</v>
      </c>
      <c r="D56">
        <v>164.59299999999999</v>
      </c>
      <c r="E56">
        <v>244.49199999999999</v>
      </c>
      <c r="I56">
        <f t="shared" si="1"/>
        <v>0.82943175197949282</v>
      </c>
      <c r="J56">
        <f t="shared" si="2"/>
        <v>0.59659332896199579</v>
      </c>
      <c r="K56" s="3">
        <f t="shared" si="3"/>
        <v>0.90263848570332583</v>
      </c>
      <c r="L56" s="2">
        <f t="shared" si="4"/>
        <v>0.91889695056953935</v>
      </c>
      <c r="M56" s="2">
        <f t="shared" si="5"/>
        <v>0.66094382015756503</v>
      </c>
      <c r="R56">
        <f t="shared" si="6"/>
        <v>0.90524837479278075</v>
      </c>
      <c r="S56">
        <f t="shared" si="7"/>
        <v>0.91139000377605606</v>
      </c>
    </row>
    <row r="57" spans="1:19" x14ac:dyDescent="0.3">
      <c r="A57">
        <v>30.447700000000001</v>
      </c>
      <c r="B57">
        <f t="shared" si="0"/>
        <v>22.5032</v>
      </c>
      <c r="C57">
        <v>1661.952</v>
      </c>
      <c r="D57">
        <v>168.203</v>
      </c>
      <c r="E57">
        <v>244.62299999999999</v>
      </c>
      <c r="I57">
        <f t="shared" si="1"/>
        <v>0.84303070683470616</v>
      </c>
      <c r="J57">
        <f t="shared" si="2"/>
        <v>0.60967834422724287</v>
      </c>
      <c r="K57" s="3">
        <f t="shared" si="3"/>
        <v>0.90312212378402845</v>
      </c>
      <c r="L57" s="2">
        <f t="shared" si="4"/>
        <v>0.93346257901695195</v>
      </c>
      <c r="M57" s="2">
        <f t="shared" si="5"/>
        <v>0.67507851725824919</v>
      </c>
      <c r="R57">
        <f t="shared" si="6"/>
        <v>0.93178142521675</v>
      </c>
      <c r="S57">
        <f t="shared" si="7"/>
        <v>0.9573086457330372</v>
      </c>
    </row>
    <row r="58" spans="1:19" x14ac:dyDescent="0.3">
      <c r="A58">
        <v>30.947099999999999</v>
      </c>
      <c r="B58">
        <f t="shared" si="0"/>
        <v>23.002600000000001</v>
      </c>
      <c r="C58">
        <v>1672.5709999999999</v>
      </c>
      <c r="D58">
        <v>167.71199999999999</v>
      </c>
      <c r="E58">
        <v>250.36099999999999</v>
      </c>
      <c r="I58">
        <f t="shared" si="1"/>
        <v>0.84841723007718106</v>
      </c>
      <c r="J58">
        <f t="shared" si="2"/>
        <v>0.60789863716485049</v>
      </c>
      <c r="K58" s="3">
        <f t="shared" si="3"/>
        <v>0.92430621009755065</v>
      </c>
      <c r="L58" s="2">
        <f t="shared" si="4"/>
        <v>0.9178962781042439</v>
      </c>
      <c r="M58" s="2">
        <f t="shared" si="5"/>
        <v>0.65768100497852688</v>
      </c>
      <c r="R58">
        <f t="shared" si="6"/>
        <v>0.903425529106759</v>
      </c>
      <c r="S58">
        <f t="shared" si="7"/>
        <v>0.90079026888886105</v>
      </c>
    </row>
    <row r="59" spans="1:19" x14ac:dyDescent="0.3">
      <c r="A59">
        <v>31.447099999999999</v>
      </c>
      <c r="B59">
        <f t="shared" si="0"/>
        <v>23.502600000000001</v>
      </c>
      <c r="C59">
        <v>1674.0630000000001</v>
      </c>
      <c r="D59">
        <v>170.42400000000001</v>
      </c>
      <c r="E59">
        <v>246.78700000000001</v>
      </c>
      <c r="I59">
        <f t="shared" si="1"/>
        <v>0.84917405206397589</v>
      </c>
      <c r="J59">
        <f t="shared" si="2"/>
        <v>0.61772870957464276</v>
      </c>
      <c r="K59" s="3">
        <f t="shared" si="3"/>
        <v>0.91111138184998564</v>
      </c>
      <c r="L59" s="2">
        <f t="shared" si="4"/>
        <v>0.93202002409381857</v>
      </c>
      <c r="M59" s="2">
        <f t="shared" si="5"/>
        <v>0.67799472367512548</v>
      </c>
      <c r="R59">
        <f t="shared" si="6"/>
        <v>0.92915363729444833</v>
      </c>
      <c r="S59">
        <f t="shared" si="7"/>
        <v>0.9667823710895368</v>
      </c>
    </row>
    <row r="60" spans="1:19" x14ac:dyDescent="0.3">
      <c r="A60">
        <v>31.946899999999999</v>
      </c>
      <c r="B60">
        <f t="shared" si="0"/>
        <v>24.002400000000002</v>
      </c>
      <c r="C60">
        <v>1673.2860000000001</v>
      </c>
      <c r="D60">
        <v>168.441</v>
      </c>
      <c r="E60">
        <v>248.55699999999999</v>
      </c>
      <c r="I60">
        <f t="shared" si="1"/>
        <v>0.84877991621696547</v>
      </c>
      <c r="J60">
        <f t="shared" si="2"/>
        <v>0.61054101282367745</v>
      </c>
      <c r="K60" s="3">
        <f t="shared" si="3"/>
        <v>0.91764603378008913</v>
      </c>
      <c r="L60" s="2">
        <f t="shared" si="4"/>
        <v>0.92495350600553328</v>
      </c>
      <c r="M60" s="2">
        <f t="shared" si="5"/>
        <v>0.66533389820109179</v>
      </c>
      <c r="R60">
        <f t="shared" si="6"/>
        <v>0.9162811216020913</v>
      </c>
      <c r="S60">
        <f t="shared" si="7"/>
        <v>0.92565181783602291</v>
      </c>
    </row>
    <row r="61" spans="1:19" x14ac:dyDescent="0.3">
      <c r="A61">
        <v>32.447600000000001</v>
      </c>
      <c r="B61">
        <f t="shared" si="0"/>
        <v>24.503100000000003</v>
      </c>
      <c r="C61">
        <v>1673.9369999999999</v>
      </c>
      <c r="D61">
        <v>166.102</v>
      </c>
      <c r="E61">
        <v>246.21299999999999</v>
      </c>
      <c r="I61">
        <f t="shared" si="1"/>
        <v>0.84911013814283898</v>
      </c>
      <c r="J61">
        <f t="shared" si="2"/>
        <v>0.60206293783602849</v>
      </c>
      <c r="K61" s="3">
        <f t="shared" si="3"/>
        <v>0.90899223483988423</v>
      </c>
      <c r="L61" s="2">
        <f t="shared" si="4"/>
        <v>0.93412254318366839</v>
      </c>
      <c r="M61" s="2">
        <f t="shared" si="5"/>
        <v>0.66234112323531535</v>
      </c>
      <c r="R61">
        <f t="shared" si="6"/>
        <v>0.93298362961024528</v>
      </c>
      <c r="S61">
        <f t="shared" si="7"/>
        <v>0.91592934828945916</v>
      </c>
    </row>
    <row r="62" spans="1:19" x14ac:dyDescent="0.3">
      <c r="A62">
        <v>32.947000000000003</v>
      </c>
      <c r="B62">
        <f t="shared" si="0"/>
        <v>25.002500000000005</v>
      </c>
      <c r="C62">
        <v>1654.3019999999999</v>
      </c>
      <c r="D62">
        <v>171.559</v>
      </c>
      <c r="E62">
        <v>247.16399999999999</v>
      </c>
      <c r="I62">
        <f t="shared" si="1"/>
        <v>0.83915021876568519</v>
      </c>
      <c r="J62">
        <f t="shared" si="2"/>
        <v>0.62184269636856393</v>
      </c>
      <c r="K62" s="3">
        <f t="shared" si="3"/>
        <v>0.91250322579216014</v>
      </c>
      <c r="L62" s="2">
        <f t="shared" si="4"/>
        <v>0.91961342716044003</v>
      </c>
      <c r="M62" s="2">
        <f t="shared" si="5"/>
        <v>0.68146903900392386</v>
      </c>
      <c r="R62">
        <f t="shared" si="6"/>
        <v>0.90655352338850359</v>
      </c>
      <c r="S62">
        <f t="shared" si="7"/>
        <v>0.97806919531310088</v>
      </c>
    </row>
    <row r="63" spans="1:19" x14ac:dyDescent="0.3">
      <c r="A63">
        <v>33.447200000000002</v>
      </c>
      <c r="B63">
        <f t="shared" si="0"/>
        <v>25.502700000000004</v>
      </c>
      <c r="C63">
        <v>1663.683</v>
      </c>
      <c r="D63">
        <v>165.47499999999999</v>
      </c>
      <c r="E63">
        <v>245.91800000000001</v>
      </c>
      <c r="I63">
        <f t="shared" si="1"/>
        <v>0.84390876237032386</v>
      </c>
      <c r="J63">
        <f t="shared" si="2"/>
        <v>0.59979027728995915</v>
      </c>
      <c r="K63" s="3">
        <f t="shared" si="3"/>
        <v>0.90790312618486702</v>
      </c>
      <c r="L63" s="2">
        <f t="shared" si="4"/>
        <v>0.9295141056695595</v>
      </c>
      <c r="M63" s="2">
        <f t="shared" si="5"/>
        <v>0.66063246175873391</v>
      </c>
      <c r="R63">
        <f t="shared" si="6"/>
        <v>0.92458880439696833</v>
      </c>
      <c r="S63">
        <f t="shared" si="7"/>
        <v>0.91037851023400251</v>
      </c>
    </row>
    <row r="64" spans="1:19" x14ac:dyDescent="0.3">
      <c r="A64">
        <v>33.946800000000003</v>
      </c>
      <c r="B64">
        <f t="shared" si="0"/>
        <v>26.002300000000005</v>
      </c>
      <c r="C64">
        <v>1660.7619999999999</v>
      </c>
      <c r="D64">
        <v>172.23699999999999</v>
      </c>
      <c r="E64">
        <v>239.197</v>
      </c>
      <c r="I64">
        <f t="shared" si="1"/>
        <v>0.84242707535730288</v>
      </c>
      <c r="J64">
        <f t="shared" si="2"/>
        <v>0.62430021447101192</v>
      </c>
      <c r="K64" s="3">
        <f t="shared" si="3"/>
        <v>0.88308990831920242</v>
      </c>
      <c r="L64" s="2">
        <f t="shared" si="4"/>
        <v>0.95395391502175164</v>
      </c>
      <c r="M64" s="2">
        <f t="shared" si="5"/>
        <v>0.70694977780829971</v>
      </c>
      <c r="R64">
        <f t="shared" si="6"/>
        <v>0.96910886724459</v>
      </c>
      <c r="S64">
        <f t="shared" si="7"/>
        <v>1.0608471221142954</v>
      </c>
    </row>
    <row r="65" spans="1:19" x14ac:dyDescent="0.3">
      <c r="A65">
        <v>34.447400000000002</v>
      </c>
      <c r="B65">
        <f t="shared" si="0"/>
        <v>26.502900000000004</v>
      </c>
      <c r="C65">
        <v>1669.873</v>
      </c>
      <c r="D65">
        <v>169.881</v>
      </c>
      <c r="E65">
        <v>234.541</v>
      </c>
      <c r="I65">
        <f t="shared" si="1"/>
        <v>0.84704866055950556</v>
      </c>
      <c r="J65">
        <f t="shared" si="2"/>
        <v>0.6157605202979034</v>
      </c>
      <c r="K65" s="3">
        <f t="shared" si="3"/>
        <v>0.86590045103865876</v>
      </c>
      <c r="L65" s="2">
        <f t="shared" si="4"/>
        <v>0.97822868615377179</v>
      </c>
      <c r="M65" s="2">
        <f t="shared" si="5"/>
        <v>0.71112160706151695</v>
      </c>
      <c r="R65">
        <f t="shared" si="6"/>
        <v>1.0133282930525178</v>
      </c>
      <c r="S65">
        <f t="shared" si="7"/>
        <v>1.0743999228867203</v>
      </c>
    </row>
    <row r="66" spans="1:19" x14ac:dyDescent="0.3">
      <c r="A66">
        <v>34.946800000000003</v>
      </c>
      <c r="B66">
        <f t="shared" si="0"/>
        <v>27.002300000000005</v>
      </c>
      <c r="C66">
        <v>1675.127</v>
      </c>
      <c r="D66">
        <v>163.93199999999999</v>
      </c>
      <c r="E66">
        <v>237.68899999999999</v>
      </c>
      <c r="I66">
        <f t="shared" si="1"/>
        <v>0.84971376962024225</v>
      </c>
      <c r="J66">
        <f t="shared" si="2"/>
        <v>0.59419743004500736</v>
      </c>
      <c r="K66" s="3">
        <f t="shared" si="3"/>
        <v>0.87752253255050394</v>
      </c>
      <c r="L66" s="2">
        <f t="shared" si="4"/>
        <v>0.96830991581556769</v>
      </c>
      <c r="M66" s="2">
        <f t="shared" si="5"/>
        <v>0.67713068098431939</v>
      </c>
      <c r="R66">
        <f t="shared" si="6"/>
        <v>0.99526005559352293</v>
      </c>
      <c r="S66">
        <f t="shared" si="7"/>
        <v>0.96397540135597592</v>
      </c>
    </row>
    <row r="67" spans="1:19" x14ac:dyDescent="0.3">
      <c r="A67">
        <v>35.447699999999998</v>
      </c>
      <c r="B67">
        <f t="shared" ref="B67:B76" si="8">A67-$A$12</f>
        <v>27.5032</v>
      </c>
      <c r="C67">
        <v>1635.19</v>
      </c>
      <c r="D67">
        <v>166.83099999999999</v>
      </c>
      <c r="E67">
        <v>234.75399999999999</v>
      </c>
      <c r="I67">
        <f t="shared" ref="I67:I76" si="9">C67/$F$2</f>
        <v>0.82945559288658355</v>
      </c>
      <c r="J67">
        <f t="shared" ref="J67:J76" si="10">D67/$G$2</f>
        <v>0.60470531349485523</v>
      </c>
      <c r="K67" s="3">
        <f t="shared" ref="K67:K76" si="11">E67/$H$2</f>
        <v>0.86668682440651867</v>
      </c>
      <c r="L67" s="2">
        <f t="shared" ref="L67:L76" si="12">I67/K67</f>
        <v>0.95704188586756245</v>
      </c>
      <c r="M67" s="2">
        <f t="shared" ref="M67:M76" si="13">J67/K67</f>
        <v>0.69772067194968546</v>
      </c>
      <c r="R67">
        <f t="shared" ref="R67:R76" si="14">(L67-$L$12)/($N$12-$L$12)</f>
        <v>0.97473397888707436</v>
      </c>
      <c r="S67">
        <f t="shared" ref="S67:S76" si="15">(M67-$M$12)/($O$12-$M$12)</f>
        <v>1.030865014645981</v>
      </c>
    </row>
    <row r="68" spans="1:19" x14ac:dyDescent="0.3">
      <c r="A68">
        <v>35.947200000000002</v>
      </c>
      <c r="B68">
        <f t="shared" si="8"/>
        <v>28.002700000000004</v>
      </c>
      <c r="C68">
        <v>1638.5709999999999</v>
      </c>
      <c r="D68">
        <v>161.84700000000001</v>
      </c>
      <c r="E68">
        <v>235</v>
      </c>
      <c r="I68">
        <f t="shared" si="9"/>
        <v>0.83117061643708801</v>
      </c>
      <c r="J68">
        <f t="shared" si="10"/>
        <v>0.58664001818128442</v>
      </c>
      <c r="K68" s="3">
        <f t="shared" si="11"/>
        <v>0.86759503026799067</v>
      </c>
      <c r="L68" s="2">
        <f t="shared" si="12"/>
        <v>0.95801680212523632</v>
      </c>
      <c r="M68" s="2">
        <f t="shared" si="13"/>
        <v>0.67616802507510643</v>
      </c>
      <c r="R68">
        <f t="shared" si="14"/>
        <v>0.97650990653189951</v>
      </c>
      <c r="S68">
        <f t="shared" si="15"/>
        <v>0.96084807208191714</v>
      </c>
    </row>
    <row r="69" spans="1:19" x14ac:dyDescent="0.3">
      <c r="A69">
        <v>36.447400000000002</v>
      </c>
      <c r="B69">
        <f t="shared" si="8"/>
        <v>28.502900000000004</v>
      </c>
      <c r="C69">
        <v>1679.4290000000001</v>
      </c>
      <c r="D69">
        <v>169.017</v>
      </c>
      <c r="E69">
        <v>235.852</v>
      </c>
      <c r="I69">
        <f t="shared" si="9"/>
        <v>0.85189597349905644</v>
      </c>
      <c r="J69">
        <f t="shared" si="10"/>
        <v>0.61262881581336781</v>
      </c>
      <c r="K69" s="3">
        <f t="shared" si="11"/>
        <v>0.87074052373943045</v>
      </c>
      <c r="L69" s="2">
        <f t="shared" si="12"/>
        <v>0.97835801857544735</v>
      </c>
      <c r="M69" s="2">
        <f t="shared" si="13"/>
        <v>0.70357218839707669</v>
      </c>
      <c r="R69">
        <f t="shared" si="14"/>
        <v>1.0135638876702278</v>
      </c>
      <c r="S69">
        <f t="shared" si="15"/>
        <v>1.0498745262569613</v>
      </c>
    </row>
    <row r="70" spans="1:19" x14ac:dyDescent="0.3">
      <c r="A70">
        <v>36.947000000000003</v>
      </c>
      <c r="B70">
        <f t="shared" si="8"/>
        <v>29.002500000000005</v>
      </c>
      <c r="C70">
        <v>1659.587</v>
      </c>
      <c r="D70">
        <v>165.25399999999999</v>
      </c>
      <c r="E70">
        <v>235.63900000000001</v>
      </c>
      <c r="I70">
        <f t="shared" si="9"/>
        <v>0.841831052680035</v>
      </c>
      <c r="J70">
        <f t="shared" si="10"/>
        <v>0.59898922787898423</v>
      </c>
      <c r="K70" s="3">
        <f t="shared" si="11"/>
        <v>0.86995415037157053</v>
      </c>
      <c r="L70" s="2">
        <f t="shared" si="12"/>
        <v>0.96767289669286161</v>
      </c>
      <c r="M70" s="2">
        <f t="shared" si="13"/>
        <v>0.68852965138811839</v>
      </c>
      <c r="R70">
        <f t="shared" si="14"/>
        <v>0.99409964836737297</v>
      </c>
      <c r="S70">
        <f t="shared" si="15"/>
        <v>1.0010066328653469</v>
      </c>
    </row>
    <row r="71" spans="1:19" x14ac:dyDescent="0.3">
      <c r="A71">
        <v>37.447200000000002</v>
      </c>
      <c r="B71">
        <f t="shared" si="8"/>
        <v>29.502700000000004</v>
      </c>
      <c r="C71">
        <v>1652.3330000000001</v>
      </c>
      <c r="D71">
        <v>156.678</v>
      </c>
      <c r="E71">
        <v>234.63900000000001</v>
      </c>
      <c r="I71">
        <f t="shared" si="9"/>
        <v>0.83815143693458694</v>
      </c>
      <c r="J71">
        <f t="shared" si="10"/>
        <v>0.5679041611435941</v>
      </c>
      <c r="K71" s="3">
        <f t="shared" si="11"/>
        <v>0.86626225662574929</v>
      </c>
      <c r="L71" s="2">
        <f t="shared" si="12"/>
        <v>0.96754929644440568</v>
      </c>
      <c r="M71" s="2">
        <f t="shared" si="13"/>
        <v>0.65557994337152026</v>
      </c>
      <c r="R71">
        <f t="shared" si="14"/>
        <v>0.99387449559510932</v>
      </c>
      <c r="S71">
        <f t="shared" si="15"/>
        <v>0.89396466130954999</v>
      </c>
    </row>
    <row r="72" spans="1:19" x14ac:dyDescent="0.3">
      <c r="A72">
        <v>37.946800000000003</v>
      </c>
      <c r="B72">
        <f t="shared" si="8"/>
        <v>30.002300000000005</v>
      </c>
      <c r="C72">
        <v>1693</v>
      </c>
      <c r="D72">
        <v>169.28800000000001</v>
      </c>
      <c r="E72">
        <v>242.24600000000001</v>
      </c>
      <c r="I72">
        <f t="shared" si="9"/>
        <v>0.85877990860816533</v>
      </c>
      <c r="J72">
        <f t="shared" si="10"/>
        <v>0.61361109812275338</v>
      </c>
      <c r="K72" s="3">
        <f t="shared" si="11"/>
        <v>0.89434649235021146</v>
      </c>
      <c r="L72" s="2">
        <f t="shared" si="12"/>
        <v>0.96023176246984276</v>
      </c>
      <c r="M72" s="2">
        <f t="shared" si="13"/>
        <v>0.6860999661442998</v>
      </c>
      <c r="R72">
        <f t="shared" si="14"/>
        <v>0.98054472416594229</v>
      </c>
      <c r="S72">
        <f t="shared" si="15"/>
        <v>0.99311344307964811</v>
      </c>
    </row>
    <row r="73" spans="1:19" x14ac:dyDescent="0.3">
      <c r="A73">
        <v>38.447600000000001</v>
      </c>
      <c r="B73">
        <f t="shared" si="8"/>
        <v>30.503100000000003</v>
      </c>
      <c r="C73">
        <v>1663.365</v>
      </c>
      <c r="D73">
        <v>169.37299999999999</v>
      </c>
      <c r="E73">
        <v>239.279</v>
      </c>
      <c r="I73">
        <f t="shared" si="9"/>
        <v>0.8437474558074548</v>
      </c>
      <c r="J73">
        <f t="shared" si="10"/>
        <v>0.61391919405005135</v>
      </c>
      <c r="K73" s="3">
        <f t="shared" si="11"/>
        <v>0.88339264360635972</v>
      </c>
      <c r="L73" s="2">
        <f t="shared" si="12"/>
        <v>0.95512166861945158</v>
      </c>
      <c r="M73" s="2">
        <f t="shared" si="13"/>
        <v>0.69495619925448926</v>
      </c>
      <c r="R73">
        <f t="shared" si="14"/>
        <v>0.97123607138153534</v>
      </c>
      <c r="S73">
        <f t="shared" si="15"/>
        <v>1.0218842185959249</v>
      </c>
    </row>
    <row r="74" spans="1:19" x14ac:dyDescent="0.3">
      <c r="A74">
        <v>38.947000000000003</v>
      </c>
      <c r="B74">
        <f t="shared" si="8"/>
        <v>31.002500000000005</v>
      </c>
      <c r="C74">
        <v>1674.365</v>
      </c>
      <c r="D74">
        <v>165.71199999999999</v>
      </c>
      <c r="E74">
        <v>234.869</v>
      </c>
      <c r="I74">
        <f t="shared" si="9"/>
        <v>0.84932724257336722</v>
      </c>
      <c r="J74">
        <f t="shared" si="10"/>
        <v>0.60064932122842551</v>
      </c>
      <c r="K74" s="3">
        <f t="shared" si="11"/>
        <v>0.86711139218728817</v>
      </c>
      <c r="L74" s="2">
        <f t="shared" si="12"/>
        <v>0.97949035178852806</v>
      </c>
      <c r="M74" s="2">
        <f t="shared" si="13"/>
        <v>0.69270145293938279</v>
      </c>
      <c r="R74">
        <f t="shared" si="14"/>
        <v>1.0156265693010187</v>
      </c>
      <c r="S74">
        <f t="shared" si="15"/>
        <v>1.0145593436439044</v>
      </c>
    </row>
    <row r="75" spans="1:19" x14ac:dyDescent="0.3">
      <c r="A75">
        <v>39.447699999999998</v>
      </c>
      <c r="B75">
        <f t="shared" si="8"/>
        <v>31.5032</v>
      </c>
      <c r="C75">
        <v>1677.6669999999999</v>
      </c>
      <c r="D75">
        <v>165.76300000000001</v>
      </c>
      <c r="E75">
        <v>230.83600000000001</v>
      </c>
      <c r="I75">
        <f t="shared" si="9"/>
        <v>0.85100219310982561</v>
      </c>
      <c r="J75">
        <f t="shared" si="10"/>
        <v>0.60083417878480438</v>
      </c>
      <c r="K75" s="3">
        <f t="shared" si="11"/>
        <v>0.85222198471039112</v>
      </c>
      <c r="L75" s="2">
        <f t="shared" si="12"/>
        <v>0.99856869263824488</v>
      </c>
      <c r="M75" s="2">
        <f t="shared" si="13"/>
        <v>0.70502074525686476</v>
      </c>
      <c r="R75">
        <f t="shared" si="14"/>
        <v>1.0503800700922001</v>
      </c>
      <c r="S75">
        <f t="shared" si="15"/>
        <v>1.054580376217886</v>
      </c>
    </row>
    <row r="76" spans="1:19" x14ac:dyDescent="0.3">
      <c r="A76">
        <v>39.947099999999999</v>
      </c>
      <c r="B76">
        <f t="shared" si="8"/>
        <v>32.002600000000001</v>
      </c>
      <c r="C76">
        <v>1657.2860000000001</v>
      </c>
      <c r="D76">
        <v>162.38999999999999</v>
      </c>
      <c r="E76">
        <v>230.08199999999999</v>
      </c>
      <c r="I76">
        <f t="shared" si="9"/>
        <v>0.84066386273927463</v>
      </c>
      <c r="J76">
        <f t="shared" si="10"/>
        <v>0.58860820745802367</v>
      </c>
      <c r="K76" s="3">
        <f t="shared" si="11"/>
        <v>0.84943829682604188</v>
      </c>
      <c r="L76" s="2">
        <f t="shared" si="12"/>
        <v>0.98967031022788443</v>
      </c>
      <c r="M76" s="2">
        <f t="shared" si="13"/>
        <v>0.69293815649398005</v>
      </c>
      <c r="R76">
        <f t="shared" si="14"/>
        <v>1.0341705924140989</v>
      </c>
      <c r="S76">
        <f t="shared" si="15"/>
        <v>1.0153283099469015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D4D7-8E17-425F-AB3F-F5033ABFA5EE}">
  <dimension ref="A1:S76"/>
  <sheetViews>
    <sheetView workbookViewId="0">
      <selection activeCell="E2" sqref="E2:E76"/>
    </sheetView>
  </sheetViews>
  <sheetFormatPr baseColWidth="10" defaultRowHeight="14.4" x14ac:dyDescent="0.3"/>
  <sheetData>
    <row r="1" spans="1:19" x14ac:dyDescent="0.3">
      <c r="A1" t="s">
        <v>0</v>
      </c>
      <c r="B1" t="s">
        <v>2</v>
      </c>
      <c r="C1" t="s">
        <v>13</v>
      </c>
      <c r="D1" t="s">
        <v>1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-9.3446999999999996</v>
      </c>
      <c r="C2">
        <v>1872.4760000000001</v>
      </c>
      <c r="D2">
        <v>450.06299999999999</v>
      </c>
      <c r="E2">
        <v>471.738</v>
      </c>
      <c r="F2">
        <f>AVERAGE(C2:C11)</f>
        <v>1808.7746999999999</v>
      </c>
      <c r="G2">
        <f>AVERAGE(D2:D11)</f>
        <v>449.3032</v>
      </c>
      <c r="H2">
        <f>AVERAGE(E2:E11)</f>
        <v>459.28360000000004</v>
      </c>
      <c r="I2">
        <f>C2/$F$2</f>
        <v>1.0352179295740924</v>
      </c>
      <c r="J2">
        <f>D2/$G$2</f>
        <v>1.0016910629614924</v>
      </c>
      <c r="K2" s="3">
        <f>E2/$H$2</f>
        <v>1.0271170144111395</v>
      </c>
      <c r="L2" s="2">
        <f>I2/K2</f>
        <v>1.0078870421279091</v>
      </c>
      <c r="M2" s="2">
        <f>J2/K2</f>
        <v>0.97524532152334742</v>
      </c>
      <c r="R2">
        <f>(L2-$L$12)/($N$12-$L$12)</f>
        <v>1.2283097076380141</v>
      </c>
      <c r="S2">
        <f>(M2-$M$12)/($O$12-$M$12)</f>
        <v>2.0427939150537324</v>
      </c>
    </row>
    <row r="3" spans="1:19" x14ac:dyDescent="0.3">
      <c r="A3">
        <v>0.50309999999999999</v>
      </c>
      <c r="B3">
        <f t="shared" ref="B3:B66" si="0">A3-$A$12</f>
        <v>-8.8415999999999997</v>
      </c>
      <c r="C3">
        <v>1840.7940000000001</v>
      </c>
      <c r="D3">
        <v>458.03100000000001</v>
      </c>
      <c r="E3">
        <v>464.91800000000001</v>
      </c>
      <c r="I3">
        <f t="shared" ref="I3:I66" si="1">C3/$F$2</f>
        <v>1.0177022047024431</v>
      </c>
      <c r="J3">
        <f t="shared" ref="J3:J66" si="2">D3/$G$2</f>
        <v>1.0194251899385538</v>
      </c>
      <c r="K3" s="3">
        <f t="shared" ref="K3:K66" si="3">E3/$H$2</f>
        <v>1.012267801419428</v>
      </c>
      <c r="L3" s="2">
        <f t="shared" ref="L3:L66" si="4">I3/K3</f>
        <v>1.005368543062809</v>
      </c>
      <c r="M3" s="2">
        <f t="shared" ref="M3:M66" si="5">J3/K3</f>
        <v>1.0070706472230861</v>
      </c>
      <c r="R3">
        <f t="shared" ref="R3:R66" si="6">(L3-$L$12)/($N$12-$L$12)</f>
        <v>1.2237807142798853</v>
      </c>
      <c r="S3">
        <f t="shared" ref="S3:S66" si="7">(M3-$M$12)/($O$12-$M$12)</f>
        <v>2.1509161279730984</v>
      </c>
    </row>
    <row r="4" spans="1:19" x14ac:dyDescent="0.3">
      <c r="A4">
        <v>1.0026999999999999</v>
      </c>
      <c r="B4">
        <f t="shared" si="0"/>
        <v>-8.3419999999999987</v>
      </c>
      <c r="C4">
        <v>1846.81</v>
      </c>
      <c r="D4">
        <v>455.04700000000003</v>
      </c>
      <c r="E4">
        <v>463.49200000000002</v>
      </c>
      <c r="I4">
        <f t="shared" si="1"/>
        <v>1.0210282131876347</v>
      </c>
      <c r="J4">
        <f t="shared" si="2"/>
        <v>1.012783794996341</v>
      </c>
      <c r="K4" s="3">
        <f t="shared" si="3"/>
        <v>1.0091629659757064</v>
      </c>
      <c r="L4" s="2">
        <f t="shared" si="4"/>
        <v>1.0117575135156256</v>
      </c>
      <c r="M4" s="2">
        <f t="shared" si="5"/>
        <v>1.0035879527318303</v>
      </c>
      <c r="R4">
        <f t="shared" si="6"/>
        <v>1.2352699402029996</v>
      </c>
      <c r="S4">
        <f t="shared" si="7"/>
        <v>2.1390841474029907</v>
      </c>
    </row>
    <row r="5" spans="1:19" x14ac:dyDescent="0.3">
      <c r="A5">
        <v>1.5028999999999999</v>
      </c>
      <c r="B5">
        <f t="shared" si="0"/>
        <v>-7.8417999999999992</v>
      </c>
      <c r="C5">
        <v>1817.73</v>
      </c>
      <c r="D5">
        <v>454.53100000000001</v>
      </c>
      <c r="E5">
        <v>463.59</v>
      </c>
      <c r="I5">
        <f t="shared" si="1"/>
        <v>1.004951031214667</v>
      </c>
      <c r="J5">
        <f t="shared" si="2"/>
        <v>1.011635350026441</v>
      </c>
      <c r="K5" s="3">
        <f t="shared" si="3"/>
        <v>1.0093763417635637</v>
      </c>
      <c r="L5" s="2">
        <f t="shared" si="4"/>
        <v>0.99561579723459248</v>
      </c>
      <c r="M5" s="2">
        <f t="shared" si="5"/>
        <v>1.0022380237869757</v>
      </c>
      <c r="R5">
        <f t="shared" si="6"/>
        <v>1.2062424425006362</v>
      </c>
      <c r="S5">
        <f t="shared" si="7"/>
        <v>2.1344979475262433</v>
      </c>
    </row>
    <row r="6" spans="1:19" x14ac:dyDescent="0.3">
      <c r="A6">
        <v>2.0024999999999999</v>
      </c>
      <c r="B6">
        <f t="shared" si="0"/>
        <v>-7.3422000000000001</v>
      </c>
      <c r="C6">
        <v>1807.492</v>
      </c>
      <c r="D6">
        <v>444.29700000000003</v>
      </c>
      <c r="E6">
        <v>453.279</v>
      </c>
      <c r="I6">
        <f t="shared" si="1"/>
        <v>0.99929084589694894</v>
      </c>
      <c r="J6">
        <f t="shared" si="2"/>
        <v>0.98885785812342319</v>
      </c>
      <c r="K6" s="3">
        <f t="shared" si="3"/>
        <v>0.98692616065542071</v>
      </c>
      <c r="L6" s="2">
        <f t="shared" si="4"/>
        <v>1.0125284805839141</v>
      </c>
      <c r="M6" s="2">
        <f t="shared" si="5"/>
        <v>1.0019572867201327</v>
      </c>
      <c r="R6">
        <f t="shared" si="6"/>
        <v>1.2366563630847869</v>
      </c>
      <c r="S6">
        <f t="shared" si="7"/>
        <v>2.1335441815474772</v>
      </c>
    </row>
    <row r="7" spans="1:19" x14ac:dyDescent="0.3">
      <c r="A7">
        <v>2.5026999999999999</v>
      </c>
      <c r="B7">
        <f t="shared" si="0"/>
        <v>-6.8419999999999996</v>
      </c>
      <c r="C7">
        <v>1767.2059999999999</v>
      </c>
      <c r="D7">
        <v>453.79700000000003</v>
      </c>
      <c r="E7">
        <v>458.47500000000002</v>
      </c>
      <c r="I7">
        <f t="shared" si="1"/>
        <v>0.97701830968776815</v>
      </c>
      <c r="J7">
        <f t="shared" si="2"/>
        <v>1.0100017093134437</v>
      </c>
      <c r="K7" s="3">
        <f t="shared" si="3"/>
        <v>0.99823943201978038</v>
      </c>
      <c r="L7" s="2">
        <f t="shared" si="4"/>
        <v>0.97874145054651407</v>
      </c>
      <c r="M7" s="2">
        <f t="shared" si="5"/>
        <v>1.0117830221050919</v>
      </c>
      <c r="R7">
        <f t="shared" si="6"/>
        <v>1.1758974623765195</v>
      </c>
      <c r="S7">
        <f t="shared" si="7"/>
        <v>2.1669257803221482</v>
      </c>
    </row>
    <row r="8" spans="1:19" x14ac:dyDescent="0.3">
      <c r="A8">
        <v>3.0028999999999999</v>
      </c>
      <c r="B8">
        <f t="shared" si="0"/>
        <v>-6.3417999999999992</v>
      </c>
      <c r="C8">
        <v>1782.635</v>
      </c>
      <c r="D8">
        <v>442.57799999999997</v>
      </c>
      <c r="E8">
        <v>459.197</v>
      </c>
      <c r="I8">
        <f t="shared" si="1"/>
        <v>0.98554839361696067</v>
      </c>
      <c r="J8">
        <f t="shared" si="2"/>
        <v>0.98503193389230248</v>
      </c>
      <c r="K8" s="3">
        <f t="shared" si="3"/>
        <v>0.99981144547726064</v>
      </c>
      <c r="L8" s="2">
        <f t="shared" si="4"/>
        <v>0.9857342582695765</v>
      </c>
      <c r="M8" s="2">
        <f t="shared" si="5"/>
        <v>0.98521770114573637</v>
      </c>
      <c r="R8">
        <f t="shared" si="6"/>
        <v>1.1884725632257878</v>
      </c>
      <c r="S8">
        <f t="shared" si="7"/>
        <v>2.0766737176680867</v>
      </c>
    </row>
    <row r="9" spans="1:19" x14ac:dyDescent="0.3">
      <c r="A9">
        <v>3.5030999999999999</v>
      </c>
      <c r="B9">
        <f t="shared" si="0"/>
        <v>-5.8415999999999997</v>
      </c>
      <c r="C9">
        <v>1796.0319999999999</v>
      </c>
      <c r="D9">
        <v>445.98399999999998</v>
      </c>
      <c r="E9">
        <v>451.75400000000002</v>
      </c>
      <c r="I9">
        <f t="shared" si="1"/>
        <v>0.99295506510567622</v>
      </c>
      <c r="J9">
        <f t="shared" si="2"/>
        <v>0.99261256096106143</v>
      </c>
      <c r="K9" s="3">
        <f t="shared" si="3"/>
        <v>0.98360577211988409</v>
      </c>
      <c r="L9" s="2">
        <f t="shared" si="4"/>
        <v>1.00950512212392</v>
      </c>
      <c r="M9" s="2">
        <f t="shared" si="5"/>
        <v>1.009156909298901</v>
      </c>
      <c r="R9">
        <f t="shared" si="6"/>
        <v>1.2312194857897731</v>
      </c>
      <c r="S9">
        <f t="shared" si="7"/>
        <v>2.1580039194538534</v>
      </c>
    </row>
    <row r="10" spans="1:19" x14ac:dyDescent="0.3">
      <c r="A10">
        <v>4.0026999999999999</v>
      </c>
      <c r="B10">
        <f t="shared" si="0"/>
        <v>-5.3419999999999996</v>
      </c>
      <c r="C10">
        <v>1792.7940000000001</v>
      </c>
      <c r="D10">
        <v>439.01600000000002</v>
      </c>
      <c r="E10">
        <v>453.91800000000001</v>
      </c>
      <c r="I10">
        <f t="shared" si="1"/>
        <v>0.99116490295889259</v>
      </c>
      <c r="J10">
        <f t="shared" si="2"/>
        <v>0.9771041025303181</v>
      </c>
      <c r="K10" s="3">
        <f t="shared" si="3"/>
        <v>0.9883174578844095</v>
      </c>
      <c r="L10" s="2">
        <f t="shared" si="4"/>
        <v>1.0028811036896772</v>
      </c>
      <c r="M10" s="2">
        <f t="shared" si="5"/>
        <v>0.98865409564038798</v>
      </c>
      <c r="R10">
        <f t="shared" si="6"/>
        <v>1.2193075752758753</v>
      </c>
      <c r="S10">
        <f t="shared" si="7"/>
        <v>2.088348400300752</v>
      </c>
    </row>
    <row r="11" spans="1:19" x14ac:dyDescent="0.3">
      <c r="A11">
        <v>4.5029000000000003</v>
      </c>
      <c r="B11">
        <f t="shared" si="0"/>
        <v>-4.8417999999999992</v>
      </c>
      <c r="C11">
        <v>1763.778</v>
      </c>
      <c r="D11">
        <v>449.68799999999999</v>
      </c>
      <c r="E11">
        <v>452.47500000000002</v>
      </c>
      <c r="I11">
        <f t="shared" si="1"/>
        <v>0.97512310405491631</v>
      </c>
      <c r="J11">
        <f t="shared" si="2"/>
        <v>1.0008564372566231</v>
      </c>
      <c r="K11" s="3">
        <f t="shared" si="3"/>
        <v>0.98517560827340667</v>
      </c>
      <c r="L11" s="2">
        <f t="shared" si="4"/>
        <v>0.9897962311144628</v>
      </c>
      <c r="M11" s="2">
        <f t="shared" si="5"/>
        <v>1.015916785648701</v>
      </c>
      <c r="R11">
        <f t="shared" si="6"/>
        <v>1.1957771710735012</v>
      </c>
      <c r="S11">
        <f t="shared" si="7"/>
        <v>2.1809696793928839</v>
      </c>
    </row>
    <row r="12" spans="1:19" x14ac:dyDescent="0.3">
      <c r="A12" s="4">
        <v>9.3446999999999996</v>
      </c>
      <c r="B12" s="4">
        <f t="shared" si="0"/>
        <v>0</v>
      </c>
      <c r="C12" s="4">
        <v>576.952</v>
      </c>
      <c r="D12" s="4">
        <v>164.98400000000001</v>
      </c>
      <c r="E12" s="4">
        <v>450.98399999999998</v>
      </c>
      <c r="F12" s="4"/>
      <c r="G12" s="4"/>
      <c r="H12" s="4"/>
      <c r="I12" s="4">
        <f t="shared" si="1"/>
        <v>0.31897394407385288</v>
      </c>
      <c r="J12" s="4">
        <f t="shared" si="2"/>
        <v>0.36719969944571951</v>
      </c>
      <c r="K12" s="4">
        <f t="shared" si="3"/>
        <v>0.98192924807243265</v>
      </c>
      <c r="L12" s="4">
        <f t="shared" si="4"/>
        <v>0.32484412161060666</v>
      </c>
      <c r="M12" s="4">
        <f t="shared" si="5"/>
        <v>0.37395739068425504</v>
      </c>
      <c r="N12" s="4">
        <f>AVERAGE(L66:L76)</f>
        <v>0.88092775122773659</v>
      </c>
      <c r="O12" s="4">
        <f>AVERAGE(M66:M76)</f>
        <v>0.66830325024849624</v>
      </c>
      <c r="P12" s="5">
        <f>(N12-L12)/(1-L12)</f>
        <v>0.82363739606872077</v>
      </c>
      <c r="Q12" s="5">
        <f>(O12-M12)/(1-M12)</f>
        <v>0.47016905109055873</v>
      </c>
      <c r="R12">
        <f t="shared" si="6"/>
        <v>0</v>
      </c>
      <c r="S12">
        <f t="shared" si="7"/>
        <v>0</v>
      </c>
    </row>
    <row r="13" spans="1:19" x14ac:dyDescent="0.3">
      <c r="A13">
        <v>9.8472000000000008</v>
      </c>
      <c r="B13">
        <f t="shared" si="0"/>
        <v>0.50250000000000128</v>
      </c>
      <c r="C13">
        <v>748.82500000000005</v>
      </c>
      <c r="D13">
        <v>185.98400000000001</v>
      </c>
      <c r="E13">
        <v>442.59</v>
      </c>
      <c r="I13">
        <f t="shared" si="1"/>
        <v>0.41399572871071233</v>
      </c>
      <c r="J13">
        <f t="shared" si="2"/>
        <v>0.41393873891839633</v>
      </c>
      <c r="K13" s="3">
        <f t="shared" si="3"/>
        <v>0.96365295865125589</v>
      </c>
      <c r="L13" s="2">
        <f t="shared" si="4"/>
        <v>0.42961081060773931</v>
      </c>
      <c r="M13" s="2">
        <f t="shared" si="5"/>
        <v>0.42955167127567545</v>
      </c>
      <c r="R13">
        <f t="shared" si="6"/>
        <v>0.18840095880769903</v>
      </c>
      <c r="S13">
        <f t="shared" si="7"/>
        <v>0.18887400241920821</v>
      </c>
    </row>
    <row r="14" spans="1:19" x14ac:dyDescent="0.3">
      <c r="A14">
        <v>10.347899999999999</v>
      </c>
      <c r="B14">
        <f t="shared" si="0"/>
        <v>1.0031999999999996</v>
      </c>
      <c r="C14">
        <v>842.46</v>
      </c>
      <c r="D14">
        <v>194.03100000000001</v>
      </c>
      <c r="E14">
        <v>445</v>
      </c>
      <c r="I14">
        <f t="shared" si="1"/>
        <v>0.46576281722649043</v>
      </c>
      <c r="J14">
        <f t="shared" si="2"/>
        <v>0.43184869371061679</v>
      </c>
      <c r="K14" s="3">
        <f t="shared" si="3"/>
        <v>0.96890026118938266</v>
      </c>
      <c r="L14" s="2">
        <f t="shared" si="4"/>
        <v>0.48071286166724619</v>
      </c>
      <c r="M14" s="2">
        <f t="shared" si="5"/>
        <v>0.44571016337687519</v>
      </c>
      <c r="R14">
        <f t="shared" si="6"/>
        <v>0.28029730018119214</v>
      </c>
      <c r="S14">
        <f t="shared" si="7"/>
        <v>0.2437702803050982</v>
      </c>
    </row>
    <row r="15" spans="1:19" x14ac:dyDescent="0.3">
      <c r="A15">
        <v>10.847300000000001</v>
      </c>
      <c r="B15">
        <f t="shared" si="0"/>
        <v>1.502600000000001</v>
      </c>
      <c r="C15">
        <v>926.46</v>
      </c>
      <c r="D15">
        <v>200.68799999999999</v>
      </c>
      <c r="E15">
        <v>445.459</v>
      </c>
      <c r="I15">
        <f t="shared" si="1"/>
        <v>0.5122030952777038</v>
      </c>
      <c r="J15">
        <f t="shared" si="2"/>
        <v>0.44666496922345533</v>
      </c>
      <c r="K15" s="3">
        <f t="shared" si="3"/>
        <v>0.96989964370598025</v>
      </c>
      <c r="L15" s="2">
        <f t="shared" si="4"/>
        <v>0.5280990653018276</v>
      </c>
      <c r="M15" s="2">
        <f t="shared" si="5"/>
        <v>0.46052699588253415</v>
      </c>
      <c r="R15">
        <f t="shared" si="6"/>
        <v>0.36551146781854443</v>
      </c>
      <c r="S15">
        <f t="shared" si="7"/>
        <v>0.2941084523031493</v>
      </c>
    </row>
    <row r="16" spans="1:19" x14ac:dyDescent="0.3">
      <c r="A16">
        <v>11.3475</v>
      </c>
      <c r="B16">
        <f t="shared" si="0"/>
        <v>2.0028000000000006</v>
      </c>
      <c r="C16">
        <v>996.03200000000004</v>
      </c>
      <c r="D16">
        <v>201.65600000000001</v>
      </c>
      <c r="E16">
        <v>436.96699999999998</v>
      </c>
      <c r="I16">
        <f t="shared" si="1"/>
        <v>0.5506667027131682</v>
      </c>
      <c r="J16">
        <f t="shared" si="2"/>
        <v>0.44881941637629114</v>
      </c>
      <c r="K16" s="3">
        <f t="shared" si="3"/>
        <v>0.95140997849694597</v>
      </c>
      <c r="L16" s="2">
        <f t="shared" si="4"/>
        <v>0.57879012745180691</v>
      </c>
      <c r="M16" s="2">
        <f t="shared" si="5"/>
        <v>0.4717413381404133</v>
      </c>
      <c r="R16">
        <f t="shared" si="6"/>
        <v>0.45666873167268934</v>
      </c>
      <c r="S16">
        <f t="shared" si="7"/>
        <v>0.33220765395144564</v>
      </c>
    </row>
    <row r="17" spans="1:19" x14ac:dyDescent="0.3">
      <c r="A17">
        <v>11.847</v>
      </c>
      <c r="B17">
        <f t="shared" si="0"/>
        <v>2.5023</v>
      </c>
      <c r="C17">
        <v>1038.825</v>
      </c>
      <c r="D17">
        <v>206.328</v>
      </c>
      <c r="E17">
        <v>432.14800000000002</v>
      </c>
      <c r="I17">
        <f t="shared" si="1"/>
        <v>0.57432526007799645</v>
      </c>
      <c r="J17">
        <f t="shared" si="2"/>
        <v>0.45921773982468855</v>
      </c>
      <c r="K17" s="3">
        <f t="shared" si="3"/>
        <v>0.94091755072465033</v>
      </c>
      <c r="L17" s="2">
        <f t="shared" si="4"/>
        <v>0.61038850814896395</v>
      </c>
      <c r="M17" s="2">
        <f t="shared" si="5"/>
        <v>0.48805311312454602</v>
      </c>
      <c r="R17">
        <f t="shared" si="6"/>
        <v>0.51349180470383193</v>
      </c>
      <c r="S17">
        <f t="shared" si="7"/>
        <v>0.38762468957165508</v>
      </c>
    </row>
    <row r="18" spans="1:19" x14ac:dyDescent="0.3">
      <c r="A18">
        <v>12.347899999999999</v>
      </c>
      <c r="B18">
        <f t="shared" si="0"/>
        <v>3.0031999999999996</v>
      </c>
      <c r="C18">
        <v>1075.222</v>
      </c>
      <c r="D18">
        <v>215.34399999999999</v>
      </c>
      <c r="E18">
        <v>422.36099999999999</v>
      </c>
      <c r="I18">
        <f t="shared" si="1"/>
        <v>0.59444772198549656</v>
      </c>
      <c r="J18">
        <f t="shared" si="2"/>
        <v>0.47928436743829111</v>
      </c>
      <c r="K18" s="3">
        <f t="shared" si="3"/>
        <v>0.91960827689035696</v>
      </c>
      <c r="L18" s="2">
        <f t="shared" si="4"/>
        <v>0.6464140622957566</v>
      </c>
      <c r="M18" s="2">
        <f t="shared" si="5"/>
        <v>0.52118318145089426</v>
      </c>
      <c r="R18">
        <f t="shared" si="6"/>
        <v>0.57827622242099563</v>
      </c>
      <c r="S18">
        <f t="shared" si="7"/>
        <v>0.50017958800098927</v>
      </c>
    </row>
    <row r="19" spans="1:19" x14ac:dyDescent="0.3">
      <c r="A19">
        <v>12.847300000000001</v>
      </c>
      <c r="B19">
        <f t="shared" si="0"/>
        <v>3.502600000000001</v>
      </c>
      <c r="C19">
        <v>1134.6669999999999</v>
      </c>
      <c r="D19">
        <v>224.922</v>
      </c>
      <c r="E19">
        <v>428.279</v>
      </c>
      <c r="I19">
        <f t="shared" si="1"/>
        <v>0.62731251161352486</v>
      </c>
      <c r="J19">
        <f t="shared" si="2"/>
        <v>0.50060182077492432</v>
      </c>
      <c r="K19" s="3">
        <f t="shared" si="3"/>
        <v>0.93249356171219688</v>
      </c>
      <c r="L19" s="2">
        <f t="shared" si="4"/>
        <v>0.67272583680008013</v>
      </c>
      <c r="M19" s="2">
        <f t="shared" si="5"/>
        <v>0.53684212023485167</v>
      </c>
      <c r="R19">
        <f t="shared" si="6"/>
        <v>0.6255924408869834</v>
      </c>
      <c r="S19">
        <f t="shared" si="7"/>
        <v>0.55337870147633894</v>
      </c>
    </row>
    <row r="20" spans="1:19" x14ac:dyDescent="0.3">
      <c r="A20">
        <v>13.347300000000001</v>
      </c>
      <c r="B20">
        <f t="shared" si="0"/>
        <v>4.002600000000001</v>
      </c>
      <c r="C20">
        <v>1176.444</v>
      </c>
      <c r="D20">
        <v>220.078</v>
      </c>
      <c r="E20">
        <v>429.31099999999998</v>
      </c>
      <c r="I20">
        <f t="shared" si="1"/>
        <v>0.65040936275811467</v>
      </c>
      <c r="J20">
        <f t="shared" si="2"/>
        <v>0.48982068233656023</v>
      </c>
      <c r="K20" s="3">
        <f t="shared" si="3"/>
        <v>0.9347405393965732</v>
      </c>
      <c r="L20" s="2">
        <f t="shared" si="4"/>
        <v>0.69581807501147852</v>
      </c>
      <c r="M20" s="2">
        <f t="shared" si="5"/>
        <v>0.52401780140269361</v>
      </c>
      <c r="R20">
        <f t="shared" si="6"/>
        <v>0.66711899729235291</v>
      </c>
      <c r="S20">
        <f t="shared" si="7"/>
        <v>0.50980982352050974</v>
      </c>
    </row>
    <row r="21" spans="1:19" x14ac:dyDescent="0.3">
      <c r="A21">
        <v>13.8475</v>
      </c>
      <c r="B21">
        <f t="shared" si="0"/>
        <v>4.5028000000000006</v>
      </c>
      <c r="C21">
        <v>1199.587</v>
      </c>
      <c r="D21">
        <v>228.5</v>
      </c>
      <c r="E21">
        <v>439.197</v>
      </c>
      <c r="I21">
        <f t="shared" si="1"/>
        <v>0.66320421222167691</v>
      </c>
      <c r="J21">
        <f t="shared" si="2"/>
        <v>0.50856526283365</v>
      </c>
      <c r="K21" s="3">
        <f t="shared" si="3"/>
        <v>0.95626536632268155</v>
      </c>
      <c r="L21" s="2">
        <f t="shared" si="4"/>
        <v>0.69353574392433426</v>
      </c>
      <c r="M21" s="2">
        <f t="shared" si="5"/>
        <v>0.53182440852097124</v>
      </c>
      <c r="R21">
        <f t="shared" si="6"/>
        <v>0.66301470260431172</v>
      </c>
      <c r="S21">
        <f t="shared" si="7"/>
        <v>0.53633170879463854</v>
      </c>
    </row>
    <row r="22" spans="1:19" x14ac:dyDescent="0.3">
      <c r="A22">
        <v>14.3477</v>
      </c>
      <c r="B22">
        <f t="shared" si="0"/>
        <v>5.0030000000000001</v>
      </c>
      <c r="C22">
        <v>1217.556</v>
      </c>
      <c r="D22">
        <v>232.453</v>
      </c>
      <c r="E22">
        <v>448.78699999999998</v>
      </c>
      <c r="I22">
        <f t="shared" si="1"/>
        <v>0.67313856170146569</v>
      </c>
      <c r="J22">
        <f t="shared" si="2"/>
        <v>0.51736333059724482</v>
      </c>
      <c r="K22" s="3">
        <f t="shared" si="3"/>
        <v>0.97714571127730221</v>
      </c>
      <c r="L22" s="2">
        <f t="shared" si="4"/>
        <v>0.68888248081399706</v>
      </c>
      <c r="M22" s="2">
        <f t="shared" si="5"/>
        <v>0.52946385030023768</v>
      </c>
      <c r="R22">
        <f t="shared" si="6"/>
        <v>0.6546467829920386</v>
      </c>
      <c r="S22">
        <f t="shared" si="7"/>
        <v>0.52831203349080313</v>
      </c>
    </row>
    <row r="23" spans="1:19" x14ac:dyDescent="0.3">
      <c r="A23">
        <v>14.847099999999999</v>
      </c>
      <c r="B23">
        <f t="shared" si="0"/>
        <v>5.5023999999999997</v>
      </c>
      <c r="C23">
        <v>1237.4290000000001</v>
      </c>
      <c r="D23">
        <v>234.547</v>
      </c>
      <c r="E23">
        <v>431.85199999999998</v>
      </c>
      <c r="I23">
        <f t="shared" si="1"/>
        <v>0.68412555748374859</v>
      </c>
      <c r="J23">
        <f t="shared" si="2"/>
        <v>0.52202388053323456</v>
      </c>
      <c r="K23" s="3">
        <f t="shared" si="3"/>
        <v>0.94027306875316241</v>
      </c>
      <c r="L23" s="2">
        <f t="shared" si="4"/>
        <v>0.72758178471592827</v>
      </c>
      <c r="M23" s="2">
        <f t="shared" si="5"/>
        <v>0.55518327375414245</v>
      </c>
      <c r="R23">
        <f t="shared" si="6"/>
        <v>0.72423937993393406</v>
      </c>
      <c r="S23">
        <f t="shared" si="7"/>
        <v>0.61569027448926872</v>
      </c>
    </row>
    <row r="24" spans="1:19" x14ac:dyDescent="0.3">
      <c r="A24">
        <v>15.347799999999999</v>
      </c>
      <c r="B24">
        <f t="shared" si="0"/>
        <v>6.0030999999999999</v>
      </c>
      <c r="C24">
        <v>1237.6030000000001</v>
      </c>
      <c r="D24">
        <v>237.85900000000001</v>
      </c>
      <c r="E24">
        <v>435.83600000000001</v>
      </c>
      <c r="I24">
        <f t="shared" si="1"/>
        <v>0.684221755202569</v>
      </c>
      <c r="J24">
        <f t="shared" si="2"/>
        <v>0.52939529475863967</v>
      </c>
      <c r="K24" s="3">
        <f t="shared" si="3"/>
        <v>0.94894744772075468</v>
      </c>
      <c r="L24" s="2">
        <f t="shared" si="4"/>
        <v>0.72103229409171021</v>
      </c>
      <c r="M24" s="2">
        <f t="shared" si="5"/>
        <v>0.55787630393039844</v>
      </c>
      <c r="R24">
        <f t="shared" si="6"/>
        <v>0.71246149208507326</v>
      </c>
      <c r="S24">
        <f t="shared" si="7"/>
        <v>0.62483947801549755</v>
      </c>
    </row>
    <row r="25" spans="1:19" x14ac:dyDescent="0.3">
      <c r="A25">
        <v>15.847200000000001</v>
      </c>
      <c r="B25">
        <f t="shared" si="0"/>
        <v>6.5025000000000013</v>
      </c>
      <c r="C25">
        <v>1260.3330000000001</v>
      </c>
      <c r="D25">
        <v>234.46899999999999</v>
      </c>
      <c r="E25">
        <v>424.721</v>
      </c>
      <c r="I25">
        <f t="shared" si="1"/>
        <v>0.69678827329904613</v>
      </c>
      <c r="J25">
        <f t="shared" si="2"/>
        <v>0.52185027838662179</v>
      </c>
      <c r="K25" s="3">
        <f t="shared" si="3"/>
        <v>0.92474671423059729</v>
      </c>
      <c r="L25" s="2">
        <f t="shared" si="4"/>
        <v>0.7534909425212547</v>
      </c>
      <c r="M25" s="2">
        <f t="shared" si="5"/>
        <v>0.56431698578221912</v>
      </c>
      <c r="R25">
        <f t="shared" si="6"/>
        <v>0.77083157654861456</v>
      </c>
      <c r="S25">
        <f t="shared" si="7"/>
        <v>0.64672081808719295</v>
      </c>
    </row>
    <row r="26" spans="1:19" x14ac:dyDescent="0.3">
      <c r="A26">
        <v>16.3474</v>
      </c>
      <c r="B26">
        <f t="shared" si="0"/>
        <v>7.0027000000000008</v>
      </c>
      <c r="C26">
        <v>1261.4290000000001</v>
      </c>
      <c r="D26">
        <v>232.672</v>
      </c>
      <c r="E26">
        <v>428.24599999999998</v>
      </c>
      <c r="I26">
        <f t="shared" si="1"/>
        <v>0.69739420835552379</v>
      </c>
      <c r="J26">
        <f t="shared" si="2"/>
        <v>0.51785075200888842</v>
      </c>
      <c r="K26" s="3">
        <f t="shared" si="3"/>
        <v>0.93242171068159185</v>
      </c>
      <c r="L26" s="2">
        <f t="shared" si="4"/>
        <v>0.74793862086902174</v>
      </c>
      <c r="M26" s="2">
        <f t="shared" si="5"/>
        <v>0.55538255499257327</v>
      </c>
      <c r="R26">
        <f t="shared" si="6"/>
        <v>0.76084688835332304</v>
      </c>
      <c r="S26">
        <f t="shared" si="7"/>
        <v>0.61636730537642248</v>
      </c>
    </row>
    <row r="27" spans="1:19" x14ac:dyDescent="0.3">
      <c r="A27">
        <v>16.8476</v>
      </c>
      <c r="B27">
        <f t="shared" si="0"/>
        <v>7.5029000000000003</v>
      </c>
      <c r="C27">
        <v>1281.9369999999999</v>
      </c>
      <c r="D27">
        <v>247.39099999999999</v>
      </c>
      <c r="E27">
        <v>439.34399999999999</v>
      </c>
      <c r="I27">
        <f t="shared" si="1"/>
        <v>0.70873227052545573</v>
      </c>
      <c r="J27">
        <f t="shared" si="2"/>
        <v>0.55061036734214219</v>
      </c>
      <c r="K27" s="3">
        <f t="shared" si="3"/>
        <v>0.95658543000446772</v>
      </c>
      <c r="L27" s="2">
        <f t="shared" si="4"/>
        <v>0.74089804035813678</v>
      </c>
      <c r="M27" s="2">
        <f t="shared" si="5"/>
        <v>0.57559978447462923</v>
      </c>
      <c r="R27">
        <f t="shared" si="6"/>
        <v>0.74818587814568127</v>
      </c>
      <c r="S27">
        <f t="shared" si="7"/>
        <v>0.68505259115549266</v>
      </c>
    </row>
    <row r="28" spans="1:19" x14ac:dyDescent="0.3">
      <c r="A28">
        <v>17.347799999999999</v>
      </c>
      <c r="B28">
        <f t="shared" si="0"/>
        <v>8.0030999999999999</v>
      </c>
      <c r="C28">
        <v>1294.1590000000001</v>
      </c>
      <c r="D28">
        <v>237.40600000000001</v>
      </c>
      <c r="E28">
        <v>425.88499999999999</v>
      </c>
      <c r="I28">
        <f t="shared" si="1"/>
        <v>0.71548933098190737</v>
      </c>
      <c r="J28">
        <f t="shared" si="2"/>
        <v>0.52838706690715753</v>
      </c>
      <c r="K28" s="3">
        <f t="shared" si="3"/>
        <v>0.92728109603739384</v>
      </c>
      <c r="L28" s="2">
        <f t="shared" si="4"/>
        <v>0.77159917746565854</v>
      </c>
      <c r="M28" s="2">
        <f t="shared" si="5"/>
        <v>0.56982404706096756</v>
      </c>
      <c r="R28">
        <f t="shared" si="6"/>
        <v>0.80339544640551275</v>
      </c>
      <c r="S28">
        <f t="shared" si="7"/>
        <v>0.66543030931938241</v>
      </c>
    </row>
    <row r="29" spans="1:19" x14ac:dyDescent="0.3">
      <c r="A29">
        <v>17.847300000000001</v>
      </c>
      <c r="B29">
        <f t="shared" si="0"/>
        <v>8.502600000000001</v>
      </c>
      <c r="C29">
        <v>1296.825</v>
      </c>
      <c r="D29">
        <v>243.21899999999999</v>
      </c>
      <c r="E29">
        <v>426.82</v>
      </c>
      <c r="I29">
        <f t="shared" si="1"/>
        <v>0.7169632569495803</v>
      </c>
      <c r="J29">
        <f t="shared" si="2"/>
        <v>0.54132487816690378</v>
      </c>
      <c r="K29" s="3">
        <f t="shared" si="3"/>
        <v>0.92931687523787032</v>
      </c>
      <c r="L29" s="2">
        <f t="shared" si="4"/>
        <v>0.77149492928993091</v>
      </c>
      <c r="M29" s="2">
        <f t="shared" si="5"/>
        <v>0.58249763088434703</v>
      </c>
      <c r="R29">
        <f t="shared" si="6"/>
        <v>0.80320797788427722</v>
      </c>
      <c r="S29">
        <f t="shared" si="7"/>
        <v>0.70848708559658857</v>
      </c>
    </row>
    <row r="30" spans="1:19" x14ac:dyDescent="0.3">
      <c r="A30">
        <v>18.3474</v>
      </c>
      <c r="B30">
        <f t="shared" si="0"/>
        <v>9.0027000000000008</v>
      </c>
      <c r="C30">
        <v>1308.6189999999999</v>
      </c>
      <c r="D30">
        <v>233.953</v>
      </c>
      <c r="E30">
        <v>424.67200000000003</v>
      </c>
      <c r="I30">
        <f t="shared" si="1"/>
        <v>0.72348369313215177</v>
      </c>
      <c r="J30">
        <f t="shared" si="2"/>
        <v>0.52070183341672172</v>
      </c>
      <c r="K30" s="3">
        <f t="shared" si="3"/>
        <v>0.92464002633666864</v>
      </c>
      <c r="L30" s="2">
        <f t="shared" si="4"/>
        <v>0.78244903154206058</v>
      </c>
      <c r="M30" s="2">
        <f t="shared" si="5"/>
        <v>0.56314005297790359</v>
      </c>
      <c r="R30">
        <f t="shared" si="6"/>
        <v>0.82290663770577155</v>
      </c>
      <c r="S30">
        <f t="shared" si="7"/>
        <v>0.64272234905468173</v>
      </c>
    </row>
    <row r="31" spans="1:19" x14ac:dyDescent="0.3">
      <c r="A31">
        <v>18.8474</v>
      </c>
      <c r="B31">
        <f t="shared" si="0"/>
        <v>9.5027000000000008</v>
      </c>
      <c r="C31">
        <v>1341.905</v>
      </c>
      <c r="D31">
        <v>253.797</v>
      </c>
      <c r="E31">
        <v>426.34399999999999</v>
      </c>
      <c r="I31">
        <f t="shared" si="1"/>
        <v>0.74188620617039813</v>
      </c>
      <c r="J31">
        <f t="shared" si="2"/>
        <v>0.56486800004985493</v>
      </c>
      <c r="K31" s="3">
        <f t="shared" si="3"/>
        <v>0.92828047855399143</v>
      </c>
      <c r="L31" s="2">
        <f t="shared" si="4"/>
        <v>0.79920479134286559</v>
      </c>
      <c r="M31" s="2">
        <f t="shared" si="5"/>
        <v>0.60851004960242805</v>
      </c>
      <c r="R31">
        <f t="shared" si="6"/>
        <v>0.8530383641375342</v>
      </c>
      <c r="S31">
        <f t="shared" si="7"/>
        <v>0.79686073813102754</v>
      </c>
    </row>
    <row r="32" spans="1:19" x14ac:dyDescent="0.3">
      <c r="A32">
        <v>19.3474</v>
      </c>
      <c r="B32">
        <f t="shared" si="0"/>
        <v>10.002700000000001</v>
      </c>
      <c r="C32">
        <v>1318.54</v>
      </c>
      <c r="D32">
        <v>245.64099999999999</v>
      </c>
      <c r="E32">
        <v>426.70499999999998</v>
      </c>
      <c r="I32">
        <f t="shared" si="1"/>
        <v>0.72896862168627197</v>
      </c>
      <c r="J32">
        <f t="shared" si="2"/>
        <v>0.5467154473860858</v>
      </c>
      <c r="K32" s="3">
        <f t="shared" si="3"/>
        <v>0.9290664852827315</v>
      </c>
      <c r="L32" s="2">
        <f t="shared" si="4"/>
        <v>0.78462481774319282</v>
      </c>
      <c r="M32" s="2">
        <f t="shared" si="5"/>
        <v>0.58845675314583168</v>
      </c>
      <c r="R32">
        <f t="shared" si="6"/>
        <v>0.8268193337199129</v>
      </c>
      <c r="S32">
        <f t="shared" si="7"/>
        <v>0.72873239249612065</v>
      </c>
    </row>
    <row r="33" spans="1:19" x14ac:dyDescent="0.3">
      <c r="A33">
        <v>19.8475</v>
      </c>
      <c r="B33">
        <f t="shared" si="0"/>
        <v>10.502800000000001</v>
      </c>
      <c r="C33">
        <v>1325.825</v>
      </c>
      <c r="D33">
        <v>251</v>
      </c>
      <c r="E33">
        <v>418.63900000000001</v>
      </c>
      <c r="I33">
        <f t="shared" si="1"/>
        <v>0.73299621008630877</v>
      </c>
      <c r="J33">
        <f t="shared" si="2"/>
        <v>0.55864280512580367</v>
      </c>
      <c r="K33" s="3">
        <f t="shared" si="3"/>
        <v>0.9115043515596899</v>
      </c>
      <c r="L33" s="2">
        <f t="shared" si="4"/>
        <v>0.80416095527362763</v>
      </c>
      <c r="M33" s="2">
        <f t="shared" si="5"/>
        <v>0.61288001990325214</v>
      </c>
      <c r="R33">
        <f t="shared" si="6"/>
        <v>0.86195098746754384</v>
      </c>
      <c r="S33">
        <f t="shared" si="7"/>
        <v>0.81170711751374935</v>
      </c>
    </row>
    <row r="34" spans="1:19" x14ac:dyDescent="0.3">
      <c r="A34">
        <v>20.3475</v>
      </c>
      <c r="B34">
        <f t="shared" si="0"/>
        <v>11.002800000000001</v>
      </c>
      <c r="C34">
        <v>1332.825</v>
      </c>
      <c r="D34">
        <v>246.84399999999999</v>
      </c>
      <c r="E34">
        <v>423.31099999999998</v>
      </c>
      <c r="I34">
        <f t="shared" si="1"/>
        <v>0.73686623325724321</v>
      </c>
      <c r="J34">
        <f t="shared" si="2"/>
        <v>0.54939292664730632</v>
      </c>
      <c r="K34" s="3">
        <f t="shared" si="3"/>
        <v>0.92167671565019949</v>
      </c>
      <c r="L34" s="2">
        <f t="shared" si="4"/>
        <v>0.79948448381645276</v>
      </c>
      <c r="M34" s="2">
        <f t="shared" si="5"/>
        <v>0.59607985893376458</v>
      </c>
      <c r="R34">
        <f t="shared" si="6"/>
        <v>0.85354133250180653</v>
      </c>
      <c r="S34">
        <f t="shared" si="7"/>
        <v>0.75463085697331223</v>
      </c>
    </row>
    <row r="35" spans="1:19" x14ac:dyDescent="0.3">
      <c r="A35">
        <v>20.8475</v>
      </c>
      <c r="B35">
        <f t="shared" si="0"/>
        <v>11.502800000000001</v>
      </c>
      <c r="C35">
        <v>1339.6510000000001</v>
      </c>
      <c r="D35">
        <v>249.28100000000001</v>
      </c>
      <c r="E35">
        <v>422.93400000000003</v>
      </c>
      <c r="I35">
        <f t="shared" si="1"/>
        <v>0.74064005870935734</v>
      </c>
      <c r="J35">
        <f t="shared" si="2"/>
        <v>0.55481688089468317</v>
      </c>
      <c r="K35" s="3">
        <f t="shared" si="3"/>
        <v>0.92085587205813579</v>
      </c>
      <c r="L35" s="2">
        <f t="shared" si="4"/>
        <v>0.80429530959498408</v>
      </c>
      <c r="M35" s="2">
        <f t="shared" si="5"/>
        <v>0.60250132266046541</v>
      </c>
      <c r="R35">
        <f t="shared" si="6"/>
        <v>0.86219259558941741</v>
      </c>
      <c r="S35">
        <f t="shared" si="7"/>
        <v>0.77644690608032996</v>
      </c>
    </row>
    <row r="36" spans="1:19" x14ac:dyDescent="0.3">
      <c r="A36">
        <v>21.3477</v>
      </c>
      <c r="B36">
        <f t="shared" si="0"/>
        <v>12.003</v>
      </c>
      <c r="C36">
        <v>1350.6669999999999</v>
      </c>
      <c r="D36">
        <v>244.5</v>
      </c>
      <c r="E36">
        <v>419</v>
      </c>
      <c r="I36">
        <f t="shared" si="1"/>
        <v>0.746730369459502</v>
      </c>
      <c r="J36">
        <f t="shared" si="2"/>
        <v>0.54417595957473708</v>
      </c>
      <c r="K36" s="3">
        <f t="shared" si="3"/>
        <v>0.91229035828842997</v>
      </c>
      <c r="L36" s="2">
        <f t="shared" si="4"/>
        <v>0.81852270242169489</v>
      </c>
      <c r="M36" s="2">
        <f t="shared" si="5"/>
        <v>0.59649425715260085</v>
      </c>
      <c r="R36">
        <f t="shared" si="6"/>
        <v>0.88777758329442591</v>
      </c>
      <c r="S36">
        <f t="shared" si="7"/>
        <v>0.75603871852587401</v>
      </c>
    </row>
    <row r="37" spans="1:19" x14ac:dyDescent="0.3">
      <c r="A37">
        <v>21.8476</v>
      </c>
      <c r="B37">
        <f t="shared" si="0"/>
        <v>12.5029</v>
      </c>
      <c r="C37">
        <v>1373.4290000000001</v>
      </c>
      <c r="D37">
        <v>258.25</v>
      </c>
      <c r="E37">
        <v>423.86900000000003</v>
      </c>
      <c r="I37">
        <f t="shared" si="1"/>
        <v>0.75931457909047495</v>
      </c>
      <c r="J37">
        <f t="shared" si="2"/>
        <v>0.57477890208660876</v>
      </c>
      <c r="K37" s="3">
        <f t="shared" si="3"/>
        <v>0.92289165125861228</v>
      </c>
      <c r="L37" s="2">
        <f t="shared" si="4"/>
        <v>0.82275593029251504</v>
      </c>
      <c r="M37" s="2">
        <f t="shared" si="5"/>
        <v>0.62280214725395155</v>
      </c>
      <c r="R37">
        <f t="shared" si="6"/>
        <v>0.8953901574565799</v>
      </c>
      <c r="S37">
        <f t="shared" si="7"/>
        <v>0.84541619487392849</v>
      </c>
    </row>
    <row r="38" spans="1:19" x14ac:dyDescent="0.3">
      <c r="A38">
        <v>22.347799999999999</v>
      </c>
      <c r="B38">
        <f t="shared" si="0"/>
        <v>13.0031</v>
      </c>
      <c r="C38">
        <v>1356.7139999999999</v>
      </c>
      <c r="D38">
        <v>251.01599999999999</v>
      </c>
      <c r="E38">
        <v>416.88499999999999</v>
      </c>
      <c r="I38">
        <f t="shared" si="1"/>
        <v>0.75007351661873645</v>
      </c>
      <c r="J38">
        <f t="shared" si="2"/>
        <v>0.55867841582254474</v>
      </c>
      <c r="K38" s="3">
        <f t="shared" si="3"/>
        <v>0.90768536041783321</v>
      </c>
      <c r="L38" s="2">
        <f t="shared" si="4"/>
        <v>0.8263585040894087</v>
      </c>
      <c r="M38" s="2">
        <f t="shared" si="5"/>
        <v>0.61549788085749146</v>
      </c>
      <c r="R38">
        <f t="shared" si="6"/>
        <v>0.90186863228486069</v>
      </c>
      <c r="S38">
        <f t="shared" si="7"/>
        <v>0.82060094383804316</v>
      </c>
    </row>
    <row r="39" spans="1:19" x14ac:dyDescent="0.3">
      <c r="A39">
        <v>22.847200000000001</v>
      </c>
      <c r="B39">
        <f t="shared" si="0"/>
        <v>13.502500000000001</v>
      </c>
      <c r="C39">
        <v>1363.175</v>
      </c>
      <c r="D39">
        <v>249.26599999999999</v>
      </c>
      <c r="E39">
        <v>414.83600000000001</v>
      </c>
      <c r="I39">
        <f t="shared" si="1"/>
        <v>0.75364554800550887</v>
      </c>
      <c r="J39">
        <f t="shared" si="2"/>
        <v>0.55478349586648834</v>
      </c>
      <c r="K39" s="3">
        <f t="shared" si="3"/>
        <v>0.90322406460844673</v>
      </c>
      <c r="L39" s="2">
        <f t="shared" si="4"/>
        <v>0.83439489439668435</v>
      </c>
      <c r="M39" s="2">
        <f t="shared" si="5"/>
        <v>0.61422576922481631</v>
      </c>
      <c r="R39">
        <f t="shared" si="6"/>
        <v>0.9163203979532889</v>
      </c>
      <c r="S39">
        <f t="shared" si="7"/>
        <v>0.81627911768917716</v>
      </c>
    </row>
    <row r="40" spans="1:19" x14ac:dyDescent="0.3">
      <c r="A40">
        <v>23.347799999999999</v>
      </c>
      <c r="B40">
        <f t="shared" si="0"/>
        <v>14.0031</v>
      </c>
      <c r="C40">
        <v>1350.0319999999999</v>
      </c>
      <c r="D40">
        <v>247.26599999999999</v>
      </c>
      <c r="E40">
        <v>420.60700000000003</v>
      </c>
      <c r="I40">
        <f t="shared" si="1"/>
        <v>0.74637930307185296</v>
      </c>
      <c r="J40">
        <f t="shared" si="2"/>
        <v>0.55033215877385244</v>
      </c>
      <c r="K40" s="3">
        <f t="shared" si="3"/>
        <v>0.91578928574850049</v>
      </c>
      <c r="L40" s="2">
        <f t="shared" si="4"/>
        <v>0.81501204991912091</v>
      </c>
      <c r="M40" s="2">
        <f t="shared" si="5"/>
        <v>0.6009375380757489</v>
      </c>
      <c r="R40">
        <f t="shared" si="6"/>
        <v>0.88146440967161832</v>
      </c>
      <c r="S40">
        <f t="shared" si="7"/>
        <v>0.77113416077101393</v>
      </c>
    </row>
    <row r="41" spans="1:19" x14ac:dyDescent="0.3">
      <c r="A41">
        <v>23.847200000000001</v>
      </c>
      <c r="B41">
        <f t="shared" si="0"/>
        <v>14.502500000000001</v>
      </c>
      <c r="C41">
        <v>1377.4760000000001</v>
      </c>
      <c r="D41">
        <v>246.875</v>
      </c>
      <c r="E41">
        <v>415.34399999999999</v>
      </c>
      <c r="I41">
        <f t="shared" si="1"/>
        <v>0.76155200534372813</v>
      </c>
      <c r="J41">
        <f t="shared" si="2"/>
        <v>0.54946192237224212</v>
      </c>
      <c r="K41" s="3">
        <f t="shared" si="3"/>
        <v>0.90433013501897297</v>
      </c>
      <c r="L41" s="2">
        <f t="shared" si="4"/>
        <v>0.84211724883828032</v>
      </c>
      <c r="M41" s="2">
        <f t="shared" si="5"/>
        <v>0.60758997305858253</v>
      </c>
      <c r="R41">
        <f t="shared" si="6"/>
        <v>0.93020743585604604</v>
      </c>
      <c r="S41">
        <f t="shared" si="7"/>
        <v>0.79373490328759666</v>
      </c>
    </row>
    <row r="42" spans="1:19" x14ac:dyDescent="0.3">
      <c r="A42">
        <v>24.3474</v>
      </c>
      <c r="B42">
        <f t="shared" si="0"/>
        <v>15.002700000000001</v>
      </c>
      <c r="C42">
        <v>1354.3489999999999</v>
      </c>
      <c r="D42">
        <v>245.34399999999999</v>
      </c>
      <c r="E42">
        <v>411.88499999999999</v>
      </c>
      <c r="I42">
        <f t="shared" si="1"/>
        <v>0.74876600164741358</v>
      </c>
      <c r="J42">
        <f t="shared" si="2"/>
        <v>0.54605442382782943</v>
      </c>
      <c r="K42" s="3">
        <f t="shared" si="3"/>
        <v>0.89679884062918847</v>
      </c>
      <c r="L42" s="2">
        <f t="shared" si="4"/>
        <v>0.83493194652446701</v>
      </c>
      <c r="M42" s="2">
        <f t="shared" si="5"/>
        <v>0.60889287439836681</v>
      </c>
      <c r="R42">
        <f t="shared" si="6"/>
        <v>0.91728617378120225</v>
      </c>
      <c r="S42">
        <f t="shared" si="7"/>
        <v>0.7981613332761589</v>
      </c>
    </row>
    <row r="43" spans="1:19" x14ac:dyDescent="0.3">
      <c r="A43">
        <v>24.847000000000001</v>
      </c>
      <c r="B43">
        <f t="shared" si="0"/>
        <v>15.502300000000002</v>
      </c>
      <c r="C43">
        <v>1324.952</v>
      </c>
      <c r="D43">
        <v>247.51599999999999</v>
      </c>
      <c r="E43">
        <v>400.459</v>
      </c>
      <c r="I43">
        <f t="shared" si="1"/>
        <v>0.7325135629108479</v>
      </c>
      <c r="J43">
        <f t="shared" si="2"/>
        <v>0.55088857591043194</v>
      </c>
      <c r="K43" s="3">
        <f t="shared" si="3"/>
        <v>0.87192096560817756</v>
      </c>
      <c r="L43" s="2">
        <f t="shared" si="4"/>
        <v>0.84011463401377096</v>
      </c>
      <c r="M43" s="2">
        <f t="shared" si="5"/>
        <v>0.63181021863166131</v>
      </c>
      <c r="R43">
        <f t="shared" si="6"/>
        <v>0.92660615231189969</v>
      </c>
      <c r="S43">
        <f t="shared" si="7"/>
        <v>0.87601989146081294</v>
      </c>
    </row>
    <row r="44" spans="1:19" x14ac:dyDescent="0.3">
      <c r="A44">
        <v>25.347799999999999</v>
      </c>
      <c r="B44">
        <f t="shared" si="0"/>
        <v>16.0031</v>
      </c>
      <c r="C44">
        <v>1356.0630000000001</v>
      </c>
      <c r="D44">
        <v>245.953</v>
      </c>
      <c r="E44">
        <v>405.42599999999999</v>
      </c>
      <c r="I44">
        <f t="shared" si="1"/>
        <v>0.74971360446383961</v>
      </c>
      <c r="J44">
        <f t="shared" si="2"/>
        <v>0.547409855972537</v>
      </c>
      <c r="K44" s="3">
        <f t="shared" si="3"/>
        <v>0.88273563436621716</v>
      </c>
      <c r="L44" s="2">
        <f t="shared" si="4"/>
        <v>0.84930705782837901</v>
      </c>
      <c r="M44" s="2">
        <f t="shared" si="5"/>
        <v>0.62012887512529624</v>
      </c>
      <c r="R44">
        <f t="shared" si="6"/>
        <v>0.94313680224478347</v>
      </c>
      <c r="S44">
        <f t="shared" si="7"/>
        <v>0.83633411662552737</v>
      </c>
    </row>
    <row r="45" spans="1:19" x14ac:dyDescent="0.3">
      <c r="A45">
        <v>25.847200000000001</v>
      </c>
      <c r="B45">
        <f t="shared" si="0"/>
        <v>16.502500000000001</v>
      </c>
      <c r="C45">
        <v>1357.5239999999999</v>
      </c>
      <c r="D45">
        <v>242.797</v>
      </c>
      <c r="E45">
        <v>402.86900000000003</v>
      </c>
      <c r="I45">
        <f t="shared" si="1"/>
        <v>0.75052133358565876</v>
      </c>
      <c r="J45">
        <f t="shared" si="2"/>
        <v>0.54038564604035755</v>
      </c>
      <c r="K45" s="3">
        <f t="shared" si="3"/>
        <v>0.87716826814630433</v>
      </c>
      <c r="L45" s="2">
        <f t="shared" si="4"/>
        <v>0.85561842674919708</v>
      </c>
      <c r="M45" s="2">
        <f t="shared" si="5"/>
        <v>0.61605699346869869</v>
      </c>
      <c r="R45">
        <f t="shared" si="6"/>
        <v>0.954486478057329</v>
      </c>
      <c r="S45">
        <f t="shared" si="7"/>
        <v>0.82250045284433582</v>
      </c>
    </row>
    <row r="46" spans="1:19" x14ac:dyDescent="0.3">
      <c r="A46">
        <v>26.347899999999999</v>
      </c>
      <c r="B46">
        <f t="shared" si="0"/>
        <v>17.0032</v>
      </c>
      <c r="C46">
        <v>1357.6510000000001</v>
      </c>
      <c r="D46">
        <v>250.10900000000001</v>
      </c>
      <c r="E46">
        <v>405.86900000000003</v>
      </c>
      <c r="I46">
        <f t="shared" si="1"/>
        <v>0.75059154686318874</v>
      </c>
      <c r="J46">
        <f t="shared" si="2"/>
        <v>0.55665973445103445</v>
      </c>
      <c r="K46" s="3">
        <f t="shared" si="3"/>
        <v>0.88370018001949124</v>
      </c>
      <c r="L46" s="2">
        <f t="shared" si="4"/>
        <v>0.8493735362220175</v>
      </c>
      <c r="M46" s="2">
        <f t="shared" si="5"/>
        <v>0.6299192271735834</v>
      </c>
      <c r="R46">
        <f t="shared" si="6"/>
        <v>0.94325634971947558</v>
      </c>
      <c r="S46">
        <f t="shared" si="7"/>
        <v>0.86959550532921459</v>
      </c>
    </row>
    <row r="47" spans="1:19" x14ac:dyDescent="0.3">
      <c r="A47">
        <v>26.847300000000001</v>
      </c>
      <c r="B47">
        <f t="shared" si="0"/>
        <v>17.502600000000001</v>
      </c>
      <c r="C47">
        <v>1331.81</v>
      </c>
      <c r="D47">
        <v>243.297</v>
      </c>
      <c r="E47">
        <v>402.197</v>
      </c>
      <c r="I47">
        <f t="shared" si="1"/>
        <v>0.73630507989745764</v>
      </c>
      <c r="J47">
        <f t="shared" si="2"/>
        <v>0.54149848031351655</v>
      </c>
      <c r="K47" s="3">
        <f t="shared" si="3"/>
        <v>0.8757051198867104</v>
      </c>
      <c r="L47" s="2">
        <f t="shared" si="4"/>
        <v>0.84081394886981264</v>
      </c>
      <c r="M47" s="2">
        <f t="shared" si="5"/>
        <v>0.6183571021984775</v>
      </c>
      <c r="R47">
        <f t="shared" si="6"/>
        <v>0.92786372368928971</v>
      </c>
      <c r="S47">
        <f t="shared" si="7"/>
        <v>0.83031475922929388</v>
      </c>
    </row>
    <row r="48" spans="1:19" x14ac:dyDescent="0.3">
      <c r="A48">
        <v>27.3475</v>
      </c>
      <c r="B48">
        <f t="shared" si="0"/>
        <v>18.002800000000001</v>
      </c>
      <c r="C48">
        <v>1334.048</v>
      </c>
      <c r="D48">
        <v>245.078</v>
      </c>
      <c r="E48">
        <v>407.90199999999999</v>
      </c>
      <c r="I48">
        <f t="shared" si="1"/>
        <v>0.73754238159125074</v>
      </c>
      <c r="J48">
        <f t="shared" si="2"/>
        <v>0.54546239599450885</v>
      </c>
      <c r="K48" s="3">
        <f t="shared" si="3"/>
        <v>0.8881266389655541</v>
      </c>
      <c r="L48" s="2">
        <f t="shared" si="4"/>
        <v>0.83044731374154424</v>
      </c>
      <c r="M48" s="2">
        <f t="shared" si="5"/>
        <v>0.61417186700968274</v>
      </c>
      <c r="R48">
        <f t="shared" si="6"/>
        <v>0.90922150051252426</v>
      </c>
      <c r="S48">
        <f t="shared" si="7"/>
        <v>0.81609599224887586</v>
      </c>
    </row>
    <row r="49" spans="1:19" x14ac:dyDescent="0.3">
      <c r="A49">
        <v>27.847100000000001</v>
      </c>
      <c r="B49">
        <f t="shared" si="0"/>
        <v>18.502400000000002</v>
      </c>
      <c r="C49">
        <v>1334.6030000000001</v>
      </c>
      <c r="D49">
        <v>244.46899999999999</v>
      </c>
      <c r="E49">
        <v>391.59</v>
      </c>
      <c r="I49">
        <f t="shared" si="1"/>
        <v>0.73784921914266055</v>
      </c>
      <c r="J49">
        <f t="shared" si="2"/>
        <v>0.54410696384980117</v>
      </c>
      <c r="K49" s="3">
        <f t="shared" si="3"/>
        <v>0.85261045680707948</v>
      </c>
      <c r="L49" s="2">
        <f t="shared" si="4"/>
        <v>0.86540015226392419</v>
      </c>
      <c r="M49" s="2">
        <f t="shared" si="5"/>
        <v>0.63816595199572657</v>
      </c>
      <c r="R49">
        <f t="shared" si="6"/>
        <v>0.97207686373629931</v>
      </c>
      <c r="S49">
        <f t="shared" si="7"/>
        <v>0.89761263060609764</v>
      </c>
    </row>
    <row r="50" spans="1:19" x14ac:dyDescent="0.3">
      <c r="A50">
        <v>28.347899999999999</v>
      </c>
      <c r="B50">
        <f t="shared" si="0"/>
        <v>19.0032</v>
      </c>
      <c r="C50">
        <v>1315.46</v>
      </c>
      <c r="D50">
        <v>244.39099999999999</v>
      </c>
      <c r="E50">
        <v>390.85199999999998</v>
      </c>
      <c r="I50">
        <f t="shared" si="1"/>
        <v>0.72726581149106084</v>
      </c>
      <c r="J50">
        <f t="shared" si="2"/>
        <v>0.5439333617031884</v>
      </c>
      <c r="K50" s="3">
        <f t="shared" si="3"/>
        <v>0.85100360648627549</v>
      </c>
      <c r="L50" s="2">
        <f t="shared" si="4"/>
        <v>0.85459780187522594</v>
      </c>
      <c r="M50" s="2">
        <f t="shared" si="5"/>
        <v>0.63916692897347982</v>
      </c>
      <c r="R50">
        <f t="shared" si="6"/>
        <v>0.95265109787418278</v>
      </c>
      <c r="S50">
        <f t="shared" si="7"/>
        <v>0.90101331366389614</v>
      </c>
    </row>
    <row r="51" spans="1:19" x14ac:dyDescent="0.3">
      <c r="A51">
        <v>28.847300000000001</v>
      </c>
      <c r="B51">
        <f t="shared" si="0"/>
        <v>19.502600000000001</v>
      </c>
      <c r="C51">
        <v>1339.2380000000001</v>
      </c>
      <c r="D51">
        <v>247.71899999999999</v>
      </c>
      <c r="E51">
        <v>398.83600000000001</v>
      </c>
      <c r="I51">
        <f t="shared" si="1"/>
        <v>0.74041172734227212</v>
      </c>
      <c r="J51">
        <f t="shared" si="2"/>
        <v>0.55134038662533447</v>
      </c>
      <c r="K51" s="3">
        <f t="shared" si="3"/>
        <v>0.86838720128478353</v>
      </c>
      <c r="L51" s="2">
        <f t="shared" si="4"/>
        <v>0.8526285581441424</v>
      </c>
      <c r="M51" s="2">
        <f t="shared" si="5"/>
        <v>0.63490155751906918</v>
      </c>
      <c r="R51">
        <f t="shared" si="6"/>
        <v>0.94910982525581911</v>
      </c>
      <c r="S51">
        <f t="shared" si="7"/>
        <v>0.8865222946268857</v>
      </c>
    </row>
    <row r="52" spans="1:19" x14ac:dyDescent="0.3">
      <c r="A52">
        <v>29.347300000000001</v>
      </c>
      <c r="B52">
        <f t="shared" si="0"/>
        <v>20.002600000000001</v>
      </c>
      <c r="C52">
        <v>1329.7940000000001</v>
      </c>
      <c r="D52">
        <v>251.75</v>
      </c>
      <c r="E52">
        <v>393.39299999999997</v>
      </c>
      <c r="I52">
        <f t="shared" si="1"/>
        <v>0.73519051322422857</v>
      </c>
      <c r="J52">
        <f t="shared" si="2"/>
        <v>0.56031205653554217</v>
      </c>
      <c r="K52" s="3">
        <f t="shared" si="3"/>
        <v>0.8565361358428647</v>
      </c>
      <c r="L52" s="2">
        <f t="shared" si="4"/>
        <v>0.85832982691474269</v>
      </c>
      <c r="M52" s="2">
        <f t="shared" si="5"/>
        <v>0.6541604412103097</v>
      </c>
      <c r="R52">
        <f t="shared" si="6"/>
        <v>0.95936236366362226</v>
      </c>
      <c r="S52">
        <f t="shared" si="7"/>
        <v>0.95195173100405084</v>
      </c>
    </row>
    <row r="53" spans="1:19" x14ac:dyDescent="0.3">
      <c r="A53">
        <v>29.847300000000001</v>
      </c>
      <c r="B53">
        <f t="shared" si="0"/>
        <v>20.502600000000001</v>
      </c>
      <c r="C53">
        <v>1315.413</v>
      </c>
      <c r="D53">
        <v>252.40600000000001</v>
      </c>
      <c r="E53">
        <v>379.65600000000001</v>
      </c>
      <c r="I53">
        <f t="shared" si="1"/>
        <v>0.72723982704977019</v>
      </c>
      <c r="J53">
        <f t="shared" si="2"/>
        <v>0.56177209510192672</v>
      </c>
      <c r="K53" s="3">
        <f t="shared" si="3"/>
        <v>0.82662651137554222</v>
      </c>
      <c r="L53" s="2">
        <f t="shared" si="4"/>
        <v>0.87976833193942894</v>
      </c>
      <c r="M53" s="2">
        <f t="shared" si="5"/>
        <v>0.67959602961089849</v>
      </c>
      <c r="R53">
        <f t="shared" si="6"/>
        <v>0.99791502711722369</v>
      </c>
      <c r="S53">
        <f t="shared" si="7"/>
        <v>1.0383656810363171</v>
      </c>
    </row>
    <row r="54" spans="1:19" x14ac:dyDescent="0.3">
      <c r="A54">
        <v>30.3475</v>
      </c>
      <c r="B54">
        <f t="shared" si="0"/>
        <v>21.002800000000001</v>
      </c>
      <c r="C54">
        <v>1315.444</v>
      </c>
      <c r="D54">
        <v>235.28100000000001</v>
      </c>
      <c r="E54">
        <v>375.59</v>
      </c>
      <c r="I54">
        <f t="shared" si="1"/>
        <v>0.72725696572381293</v>
      </c>
      <c r="J54">
        <f t="shared" si="2"/>
        <v>0.52365752124623199</v>
      </c>
      <c r="K54" s="3">
        <f t="shared" si="3"/>
        <v>0.81777359348341627</v>
      </c>
      <c r="L54" s="2">
        <f t="shared" si="4"/>
        <v>0.88931333992574202</v>
      </c>
      <c r="M54" s="2">
        <f t="shared" si="5"/>
        <v>0.64034535404309467</v>
      </c>
      <c r="R54">
        <f t="shared" si="6"/>
        <v>1.0150797258746478</v>
      </c>
      <c r="S54">
        <f t="shared" si="7"/>
        <v>0.90501685246467778</v>
      </c>
    </row>
    <row r="55" spans="1:19" x14ac:dyDescent="0.3">
      <c r="A55">
        <v>30.847100000000001</v>
      </c>
      <c r="B55">
        <f t="shared" si="0"/>
        <v>21.502400000000002</v>
      </c>
      <c r="C55">
        <v>1337.778</v>
      </c>
      <c r="D55">
        <v>246.89099999999999</v>
      </c>
      <c r="E55">
        <v>383.01600000000002</v>
      </c>
      <c r="I55">
        <f t="shared" si="1"/>
        <v>0.73960455108090584</v>
      </c>
      <c r="J55">
        <f t="shared" si="2"/>
        <v>0.54949753306898319</v>
      </c>
      <c r="K55" s="3">
        <f t="shared" si="3"/>
        <v>0.83394225267351152</v>
      </c>
      <c r="L55" s="2">
        <f t="shared" si="4"/>
        <v>0.88687741712310275</v>
      </c>
      <c r="M55" s="2">
        <f t="shared" si="5"/>
        <v>0.65891556796332695</v>
      </c>
      <c r="R55">
        <f t="shared" si="6"/>
        <v>1.010699228638438</v>
      </c>
      <c r="S55">
        <f t="shared" si="7"/>
        <v>0.96810662701671057</v>
      </c>
    </row>
    <row r="56" spans="1:19" x14ac:dyDescent="0.3">
      <c r="A56">
        <v>31.3476</v>
      </c>
      <c r="B56">
        <f t="shared" si="0"/>
        <v>22.0029</v>
      </c>
      <c r="C56">
        <v>1321.8409999999999</v>
      </c>
      <c r="D56">
        <v>241.53100000000001</v>
      </c>
      <c r="E56">
        <v>381.721</v>
      </c>
      <c r="I56">
        <f t="shared" si="1"/>
        <v>0.73079361404159393</v>
      </c>
      <c r="J56">
        <f t="shared" si="2"/>
        <v>0.53756794966071908</v>
      </c>
      <c r="K56" s="3">
        <f t="shared" si="3"/>
        <v>0.83112264404825253</v>
      </c>
      <c r="L56" s="2">
        <f t="shared" si="4"/>
        <v>0.87928492777194289</v>
      </c>
      <c r="M56" s="2">
        <f t="shared" si="5"/>
        <v>0.64679738124125696</v>
      </c>
      <c r="R56">
        <f t="shared" si="6"/>
        <v>0.997045725915498</v>
      </c>
      <c r="S56">
        <f t="shared" si="7"/>
        <v>0.92693673680656752</v>
      </c>
    </row>
    <row r="57" spans="1:19" x14ac:dyDescent="0.3">
      <c r="A57">
        <v>31.847000000000001</v>
      </c>
      <c r="B57">
        <f t="shared" si="0"/>
        <v>22.502300000000002</v>
      </c>
      <c r="C57">
        <v>1338.7619999999999</v>
      </c>
      <c r="D57">
        <v>243.01599999999999</v>
      </c>
      <c r="E57">
        <v>384.65600000000001</v>
      </c>
      <c r="I57">
        <f t="shared" si="1"/>
        <v>0.74014856576664856</v>
      </c>
      <c r="J57">
        <f t="shared" si="2"/>
        <v>0.54087306745200125</v>
      </c>
      <c r="K57" s="3">
        <f t="shared" si="3"/>
        <v>0.83751303116418696</v>
      </c>
      <c r="L57" s="2">
        <f t="shared" si="4"/>
        <v>0.8837457307832014</v>
      </c>
      <c r="M57" s="2">
        <f t="shared" si="5"/>
        <v>0.64580853948046557</v>
      </c>
      <c r="R57">
        <f t="shared" si="6"/>
        <v>1.0050675463282475</v>
      </c>
      <c r="S57">
        <f t="shared" si="7"/>
        <v>0.92357728149690121</v>
      </c>
    </row>
    <row r="58" spans="1:19" x14ac:dyDescent="0.3">
      <c r="A58">
        <v>32.3476</v>
      </c>
      <c r="B58">
        <f t="shared" si="0"/>
        <v>23.0029</v>
      </c>
      <c r="C58">
        <v>1337.1590000000001</v>
      </c>
      <c r="D58">
        <v>243.78100000000001</v>
      </c>
      <c r="E58">
        <v>393.85199999999998</v>
      </c>
      <c r="I58">
        <f t="shared" si="1"/>
        <v>0.7392623304605046</v>
      </c>
      <c r="J58">
        <f t="shared" si="2"/>
        <v>0.54257570388993448</v>
      </c>
      <c r="K58" s="3">
        <f t="shared" si="3"/>
        <v>0.85753551835946229</v>
      </c>
      <c r="L58" s="2">
        <f t="shared" si="4"/>
        <v>0.86207779693461062</v>
      </c>
      <c r="M58" s="2">
        <f t="shared" si="5"/>
        <v>0.632715138059736</v>
      </c>
      <c r="R58">
        <f t="shared" si="6"/>
        <v>0.966102303162378</v>
      </c>
      <c r="S58">
        <f t="shared" si="7"/>
        <v>0.87909423206616188</v>
      </c>
    </row>
    <row r="59" spans="1:19" x14ac:dyDescent="0.3">
      <c r="A59">
        <v>32.847000000000001</v>
      </c>
      <c r="B59">
        <f t="shared" si="0"/>
        <v>23.502300000000002</v>
      </c>
      <c r="C59">
        <v>1316.0630000000001</v>
      </c>
      <c r="D59">
        <v>245.047</v>
      </c>
      <c r="E59">
        <v>391.738</v>
      </c>
      <c r="I59">
        <f t="shared" si="1"/>
        <v>0.72759918634421417</v>
      </c>
      <c r="J59">
        <f t="shared" si="2"/>
        <v>0.54539340026957295</v>
      </c>
      <c r="K59" s="3">
        <f t="shared" si="3"/>
        <v>0.85293269779282332</v>
      </c>
      <c r="L59" s="2">
        <f t="shared" si="4"/>
        <v>0.85305580173800233</v>
      </c>
      <c r="M59" s="2">
        <f t="shared" si="5"/>
        <v>0.63943310144037713</v>
      </c>
      <c r="R59">
        <f t="shared" si="6"/>
        <v>0.94987813342226179</v>
      </c>
      <c r="S59">
        <f t="shared" si="7"/>
        <v>0.90191759839645991</v>
      </c>
    </row>
    <row r="60" spans="1:19" x14ac:dyDescent="0.3">
      <c r="A60">
        <v>33.347900000000003</v>
      </c>
      <c r="B60">
        <f t="shared" si="0"/>
        <v>24.003200000000003</v>
      </c>
      <c r="C60">
        <v>1320.1110000000001</v>
      </c>
      <c r="D60">
        <v>247.65600000000001</v>
      </c>
      <c r="E60">
        <v>392.63900000000001</v>
      </c>
      <c r="I60">
        <f t="shared" si="1"/>
        <v>0.72983716545792032</v>
      </c>
      <c r="J60">
        <f t="shared" si="2"/>
        <v>0.55120016950691653</v>
      </c>
      <c r="K60" s="3">
        <f t="shared" si="3"/>
        <v>0.8548944486587372</v>
      </c>
      <c r="L60" s="2">
        <f t="shared" si="4"/>
        <v>0.85371611267680825</v>
      </c>
      <c r="M60" s="2">
        <f t="shared" si="5"/>
        <v>0.64475815742131282</v>
      </c>
      <c r="R60">
        <f t="shared" si="6"/>
        <v>0.95106556441939538</v>
      </c>
      <c r="S60">
        <f t="shared" si="7"/>
        <v>0.92000875139864269</v>
      </c>
    </row>
    <row r="61" spans="1:19" x14ac:dyDescent="0.3">
      <c r="A61">
        <v>33.847099999999998</v>
      </c>
      <c r="B61">
        <f t="shared" si="0"/>
        <v>24.502399999999998</v>
      </c>
      <c r="C61">
        <v>1313.508</v>
      </c>
      <c r="D61">
        <v>249.09399999999999</v>
      </c>
      <c r="E61">
        <v>387.721</v>
      </c>
      <c r="I61">
        <f t="shared" si="1"/>
        <v>0.72618662788682309</v>
      </c>
      <c r="J61">
        <f t="shared" si="2"/>
        <v>0.55440068087652172</v>
      </c>
      <c r="K61" s="3">
        <f t="shared" si="3"/>
        <v>0.84418646779462614</v>
      </c>
      <c r="L61" s="2">
        <f t="shared" si="4"/>
        <v>0.86022064507138007</v>
      </c>
      <c r="M61" s="2">
        <f t="shared" si="5"/>
        <v>0.65672775154149521</v>
      </c>
      <c r="R61">
        <f t="shared" si="6"/>
        <v>0.96276260430357663</v>
      </c>
      <c r="S61">
        <f t="shared" si="7"/>
        <v>0.96067381846601219</v>
      </c>
    </row>
    <row r="62" spans="1:19" x14ac:dyDescent="0.3">
      <c r="A62">
        <v>34.347900000000003</v>
      </c>
      <c r="B62">
        <f t="shared" si="0"/>
        <v>25.003200000000003</v>
      </c>
      <c r="C62">
        <v>1314.873</v>
      </c>
      <c r="D62">
        <v>245.51599999999999</v>
      </c>
      <c r="E62">
        <v>391.21300000000002</v>
      </c>
      <c r="I62">
        <f t="shared" si="1"/>
        <v>0.72694128240515532</v>
      </c>
      <c r="J62">
        <f t="shared" si="2"/>
        <v>0.54643723881779604</v>
      </c>
      <c r="K62" s="3">
        <f t="shared" si="3"/>
        <v>0.85178961321501567</v>
      </c>
      <c r="L62" s="2">
        <f t="shared" si="4"/>
        <v>0.85342820706790523</v>
      </c>
      <c r="M62" s="2">
        <f t="shared" si="5"/>
        <v>0.64151667306121507</v>
      </c>
      <c r="R62">
        <f t="shared" si="6"/>
        <v>0.95054782645055547</v>
      </c>
      <c r="S62">
        <f t="shared" si="7"/>
        <v>0.90899624942257773</v>
      </c>
    </row>
    <row r="63" spans="1:19" x14ac:dyDescent="0.3">
      <c r="A63">
        <v>34.847299999999997</v>
      </c>
      <c r="B63">
        <f t="shared" si="0"/>
        <v>25.502599999999997</v>
      </c>
      <c r="C63">
        <v>1338.048</v>
      </c>
      <c r="D63">
        <v>257.10899999999998</v>
      </c>
      <c r="E63">
        <v>389.29500000000002</v>
      </c>
      <c r="I63">
        <f t="shared" si="1"/>
        <v>0.73975382340321327</v>
      </c>
      <c r="J63">
        <f t="shared" si="2"/>
        <v>0.57223941427525993</v>
      </c>
      <c r="K63" s="3">
        <f t="shared" si="3"/>
        <v>0.84761354422409163</v>
      </c>
      <c r="L63" s="2">
        <f t="shared" si="4"/>
        <v>0.87274894135910308</v>
      </c>
      <c r="M63" s="2">
        <f t="shared" si="5"/>
        <v>0.6751182991053899</v>
      </c>
      <c r="R63">
        <f t="shared" si="6"/>
        <v>0.98529212256389431</v>
      </c>
      <c r="S63">
        <f t="shared" si="7"/>
        <v>1.0231532010233908</v>
      </c>
    </row>
    <row r="64" spans="1:19" x14ac:dyDescent="0.3">
      <c r="A64">
        <v>35.347299999999997</v>
      </c>
      <c r="B64">
        <f t="shared" si="0"/>
        <v>26.002599999999997</v>
      </c>
      <c r="C64">
        <v>1314.413</v>
      </c>
      <c r="D64">
        <v>245.797</v>
      </c>
      <c r="E64">
        <v>380.41</v>
      </c>
      <c r="I64">
        <f t="shared" si="1"/>
        <v>0.72668696659677956</v>
      </c>
      <c r="J64">
        <f t="shared" si="2"/>
        <v>0.54706265167931145</v>
      </c>
      <c r="K64" s="3">
        <f t="shared" si="3"/>
        <v>0.82826819855966982</v>
      </c>
      <c r="L64" s="2">
        <f t="shared" si="4"/>
        <v>0.87735707813056618</v>
      </c>
      <c r="M64" s="2">
        <f t="shared" si="5"/>
        <v>0.66048974550832062</v>
      </c>
      <c r="R64">
        <f t="shared" si="6"/>
        <v>0.99357889190223281</v>
      </c>
      <c r="S64">
        <f t="shared" si="7"/>
        <v>0.9734546809941782</v>
      </c>
    </row>
    <row r="65" spans="1:19" x14ac:dyDescent="0.3">
      <c r="A65">
        <v>35.8474</v>
      </c>
      <c r="B65">
        <f t="shared" si="0"/>
        <v>26.502700000000001</v>
      </c>
      <c r="C65">
        <v>1325.8409999999999</v>
      </c>
      <c r="D65">
        <v>241.625</v>
      </c>
      <c r="E65">
        <v>380.42599999999999</v>
      </c>
      <c r="I65">
        <f t="shared" si="1"/>
        <v>0.73300505585355658</v>
      </c>
      <c r="J65">
        <f t="shared" si="2"/>
        <v>0.53777716250407293</v>
      </c>
      <c r="K65" s="3">
        <f t="shared" si="3"/>
        <v>0.82830303542299344</v>
      </c>
      <c r="L65" s="2">
        <f t="shared" si="4"/>
        <v>0.88494792908639941</v>
      </c>
      <c r="M65" s="2">
        <f t="shared" si="5"/>
        <v>0.64925171043161001</v>
      </c>
      <c r="R65">
        <f t="shared" si="6"/>
        <v>1.0072294483141515</v>
      </c>
      <c r="S65">
        <f t="shared" si="7"/>
        <v>0.93527498621828509</v>
      </c>
    </row>
    <row r="66" spans="1:19" x14ac:dyDescent="0.3">
      <c r="A66">
        <v>36.3476</v>
      </c>
      <c r="B66">
        <f t="shared" si="0"/>
        <v>27.0029</v>
      </c>
      <c r="C66">
        <v>1324.143</v>
      </c>
      <c r="D66">
        <v>251.43799999999999</v>
      </c>
      <c r="E66">
        <v>382.62299999999999</v>
      </c>
      <c r="I66">
        <f t="shared" si="1"/>
        <v>0.73206629880437846</v>
      </c>
      <c r="J66">
        <f t="shared" si="2"/>
        <v>0.55961764794909097</v>
      </c>
      <c r="K66" s="3">
        <f t="shared" si="3"/>
        <v>0.83308657221812399</v>
      </c>
      <c r="L66" s="2">
        <f t="shared" si="4"/>
        <v>0.87873976513056107</v>
      </c>
      <c r="M66" s="2">
        <f t="shared" si="5"/>
        <v>0.6717400887390228</v>
      </c>
      <c r="R66">
        <f t="shared" si="6"/>
        <v>0.99606536502669241</v>
      </c>
      <c r="S66">
        <f t="shared" si="7"/>
        <v>1.0116761910482266</v>
      </c>
    </row>
    <row r="67" spans="1:19" x14ac:dyDescent="0.3">
      <c r="A67">
        <v>36.847200000000001</v>
      </c>
      <c r="B67">
        <f t="shared" ref="B67:B76" si="8">A67-$A$12</f>
        <v>27.502500000000001</v>
      </c>
      <c r="C67">
        <v>1343.587</v>
      </c>
      <c r="D67">
        <v>255.10900000000001</v>
      </c>
      <c r="E67">
        <v>389.01600000000002</v>
      </c>
      <c r="I67">
        <f t="shared" ref="I67:I76" si="9">C67/$F$2</f>
        <v>0.74281611745232834</v>
      </c>
      <c r="J67">
        <f t="shared" ref="J67:J76" si="10">D67/$G$2</f>
        <v>0.56778807718262414</v>
      </c>
      <c r="K67" s="3">
        <f t="shared" ref="K67:K76" si="11">E67/$H$2</f>
        <v>0.84700607641988523</v>
      </c>
      <c r="L67" s="2">
        <f t="shared" ref="L67:L76" si="12">I67/K67</f>
        <v>0.87699030518417798</v>
      </c>
      <c r="M67" s="2">
        <f t="shared" ref="M67:M76" si="13">J67/K67</f>
        <v>0.67034711200956643</v>
      </c>
      <c r="R67">
        <f t="shared" ref="R67:R76" si="14">(L67-$L$12)/($N$12-$L$12)</f>
        <v>0.99291932753663403</v>
      </c>
      <c r="S67">
        <f t="shared" ref="S67:S76" si="15">(M67-$M$12)/($O$12-$M$12)</f>
        <v>1.0069437421817178</v>
      </c>
    </row>
    <row r="68" spans="1:19" x14ac:dyDescent="0.3">
      <c r="A68">
        <v>37.3474</v>
      </c>
      <c r="B68">
        <f t="shared" si="8"/>
        <v>28.002700000000001</v>
      </c>
      <c r="C68">
        <v>1347.0630000000001</v>
      </c>
      <c r="D68">
        <v>254.39099999999999</v>
      </c>
      <c r="E68">
        <v>387.36099999999999</v>
      </c>
      <c r="I68">
        <f t="shared" si="9"/>
        <v>0.74473786038692391</v>
      </c>
      <c r="J68">
        <f t="shared" si="10"/>
        <v>0.56619004716636778</v>
      </c>
      <c r="K68" s="3">
        <f t="shared" si="11"/>
        <v>0.84340263836984375</v>
      </c>
      <c r="L68" s="2">
        <f t="shared" si="12"/>
        <v>0.88301580586275807</v>
      </c>
      <c r="M68" s="2">
        <f t="shared" si="13"/>
        <v>0.67131642872343689</v>
      </c>
      <c r="R68">
        <f t="shared" si="14"/>
        <v>1.0037549291577943</v>
      </c>
      <c r="S68">
        <f t="shared" si="15"/>
        <v>1.0102368638016566</v>
      </c>
    </row>
    <row r="69" spans="1:19" x14ac:dyDescent="0.3">
      <c r="A69">
        <v>37.8474</v>
      </c>
      <c r="B69">
        <f t="shared" si="8"/>
        <v>28.502700000000001</v>
      </c>
      <c r="C69">
        <v>1335.1110000000001</v>
      </c>
      <c r="D69">
        <v>256.34399999999999</v>
      </c>
      <c r="E69">
        <v>391.34399999999999</v>
      </c>
      <c r="I69">
        <f t="shared" si="9"/>
        <v>0.73813007225277982</v>
      </c>
      <c r="J69">
        <f t="shared" si="10"/>
        <v>0.5705367778373267</v>
      </c>
      <c r="K69" s="3">
        <f t="shared" si="11"/>
        <v>0.85207484003347811</v>
      </c>
      <c r="L69" s="2">
        <f t="shared" si="12"/>
        <v>0.86627375621580216</v>
      </c>
      <c r="M69" s="2">
        <f t="shared" si="13"/>
        <v>0.66958528879330625</v>
      </c>
      <c r="R69">
        <f t="shared" si="14"/>
        <v>0.97364785756771177</v>
      </c>
      <c r="S69">
        <f t="shared" si="15"/>
        <v>1.0043555514818792</v>
      </c>
    </row>
    <row r="70" spans="1:19" x14ac:dyDescent="0.3">
      <c r="A70">
        <v>38.347799999999999</v>
      </c>
      <c r="B70">
        <f t="shared" si="8"/>
        <v>29.0031</v>
      </c>
      <c r="C70">
        <v>1325.825</v>
      </c>
      <c r="D70">
        <v>253.078</v>
      </c>
      <c r="E70">
        <v>387.88499999999999</v>
      </c>
      <c r="I70">
        <f t="shared" si="9"/>
        <v>0.73299621008630877</v>
      </c>
      <c r="J70">
        <f t="shared" si="10"/>
        <v>0.56326774436505234</v>
      </c>
      <c r="K70" s="3">
        <f t="shared" si="11"/>
        <v>0.84454354564369372</v>
      </c>
      <c r="L70" s="2">
        <f t="shared" si="12"/>
        <v>0.86791997152454015</v>
      </c>
      <c r="M70" s="2">
        <f t="shared" si="13"/>
        <v>0.66694932105098415</v>
      </c>
      <c r="R70">
        <f t="shared" si="14"/>
        <v>0.97660823118969997</v>
      </c>
      <c r="S70">
        <f t="shared" si="15"/>
        <v>0.99540020980924793</v>
      </c>
    </row>
    <row r="71" spans="1:19" x14ac:dyDescent="0.3">
      <c r="A71">
        <v>38.847299999999997</v>
      </c>
      <c r="B71">
        <f t="shared" si="8"/>
        <v>29.502599999999997</v>
      </c>
      <c r="C71">
        <v>1318.9680000000001</v>
      </c>
      <c r="D71">
        <v>242.53100000000001</v>
      </c>
      <c r="E71">
        <v>379.21300000000002</v>
      </c>
      <c r="I71">
        <f t="shared" si="9"/>
        <v>0.72920524596015202</v>
      </c>
      <c r="J71">
        <f t="shared" si="10"/>
        <v>0.53979361820703708</v>
      </c>
      <c r="K71" s="3">
        <f t="shared" si="11"/>
        <v>0.82566196572226835</v>
      </c>
      <c r="L71" s="2">
        <f t="shared" si="12"/>
        <v>0.8831765010784548</v>
      </c>
      <c r="M71" s="2">
        <f t="shared" si="13"/>
        <v>0.653770720484671</v>
      </c>
      <c r="R71">
        <f t="shared" si="14"/>
        <v>1.0040439058640631</v>
      </c>
      <c r="S71">
        <f t="shared" si="15"/>
        <v>0.95062770787623907</v>
      </c>
    </row>
    <row r="72" spans="1:19" x14ac:dyDescent="0.3">
      <c r="A72">
        <v>39.347499999999997</v>
      </c>
      <c r="B72">
        <f t="shared" si="8"/>
        <v>30.002799999999997</v>
      </c>
      <c r="C72">
        <v>1336.921</v>
      </c>
      <c r="D72">
        <v>248.203</v>
      </c>
      <c r="E72">
        <v>375.279</v>
      </c>
      <c r="I72">
        <f t="shared" si="9"/>
        <v>0.73913074967269288</v>
      </c>
      <c r="J72">
        <f t="shared" si="10"/>
        <v>0.5524176102017524</v>
      </c>
      <c r="K72" s="3">
        <f t="shared" si="11"/>
        <v>0.81709645195256253</v>
      </c>
      <c r="L72" s="2">
        <f t="shared" si="12"/>
        <v>0.90458200853331328</v>
      </c>
      <c r="M72" s="2">
        <f t="shared" si="13"/>
        <v>0.6760739309070255</v>
      </c>
      <c r="R72">
        <f t="shared" si="14"/>
        <v>1.0425372300958813</v>
      </c>
      <c r="S72">
        <f t="shared" si="15"/>
        <v>1.0263998300164072</v>
      </c>
    </row>
    <row r="73" spans="1:19" x14ac:dyDescent="0.3">
      <c r="A73">
        <v>39.847000000000001</v>
      </c>
      <c r="B73">
        <f t="shared" si="8"/>
        <v>30.502300000000002</v>
      </c>
      <c r="C73">
        <v>1338</v>
      </c>
      <c r="D73">
        <v>250.98400000000001</v>
      </c>
      <c r="E73">
        <v>381.24599999999998</v>
      </c>
      <c r="I73">
        <f t="shared" si="9"/>
        <v>0.73972728610146976</v>
      </c>
      <c r="J73">
        <f t="shared" si="10"/>
        <v>0.55860719442906259</v>
      </c>
      <c r="K73" s="3">
        <f t="shared" si="11"/>
        <v>0.83008842466833122</v>
      </c>
      <c r="L73" s="2">
        <f t="shared" si="12"/>
        <v>0.89114275554081357</v>
      </c>
      <c r="M73" s="2">
        <f t="shared" si="13"/>
        <v>0.67294902305409066</v>
      </c>
      <c r="R73">
        <f t="shared" si="14"/>
        <v>1.018369546897308</v>
      </c>
      <c r="S73">
        <f t="shared" si="15"/>
        <v>1.0157833808583963</v>
      </c>
    </row>
    <row r="74" spans="1:19" x14ac:dyDescent="0.3">
      <c r="A74">
        <v>40.347900000000003</v>
      </c>
      <c r="B74">
        <f t="shared" si="8"/>
        <v>31.003200000000003</v>
      </c>
      <c r="C74">
        <v>1335.5709999999999</v>
      </c>
      <c r="D74">
        <v>251.09399999999999</v>
      </c>
      <c r="E74">
        <v>382.75400000000002</v>
      </c>
      <c r="I74">
        <f t="shared" si="9"/>
        <v>0.73838438806115536</v>
      </c>
      <c r="J74">
        <f t="shared" si="10"/>
        <v>0.55885201796915751</v>
      </c>
      <c r="K74" s="3">
        <f t="shared" si="11"/>
        <v>0.83337179903658654</v>
      </c>
      <c r="L74" s="2">
        <f t="shared" si="12"/>
        <v>0.88602036799752437</v>
      </c>
      <c r="M74" s="2">
        <f t="shared" si="13"/>
        <v>0.67059146783610191</v>
      </c>
      <c r="R74">
        <f t="shared" si="14"/>
        <v>1.0091580051966178</v>
      </c>
      <c r="S74">
        <f t="shared" si="15"/>
        <v>1.0077739078477042</v>
      </c>
    </row>
    <row r="75" spans="1:19" x14ac:dyDescent="0.3">
      <c r="A75">
        <v>40.8474</v>
      </c>
      <c r="B75">
        <f t="shared" si="8"/>
        <v>31.502700000000001</v>
      </c>
      <c r="C75">
        <v>1328.1110000000001</v>
      </c>
      <c r="D75">
        <v>251.93799999999999</v>
      </c>
      <c r="E75">
        <v>391.04899999999998</v>
      </c>
      <c r="I75">
        <f t="shared" si="9"/>
        <v>0.73426004908184539</v>
      </c>
      <c r="J75">
        <f t="shared" si="10"/>
        <v>0.56073048222224986</v>
      </c>
      <c r="K75" s="3">
        <f t="shared" si="11"/>
        <v>0.8514325353659481</v>
      </c>
      <c r="L75" s="2">
        <f t="shared" si="12"/>
        <v>0.86238194875446983</v>
      </c>
      <c r="M75" s="2">
        <f t="shared" si="13"/>
        <v>0.65857300365113058</v>
      </c>
      <c r="R75">
        <f t="shared" si="14"/>
        <v>0.96664925654071898</v>
      </c>
      <c r="S75">
        <f t="shared" si="15"/>
        <v>0.96694281138599802</v>
      </c>
    </row>
    <row r="76" spans="1:19" x14ac:dyDescent="0.3">
      <c r="A76">
        <v>41.3476</v>
      </c>
      <c r="B76">
        <f t="shared" si="8"/>
        <v>32.002899999999997</v>
      </c>
      <c r="C76">
        <v>1341.3969999999999</v>
      </c>
      <c r="D76">
        <v>250.64099999999999</v>
      </c>
      <c r="E76">
        <v>382.721</v>
      </c>
      <c r="I76">
        <f t="shared" si="9"/>
        <v>0.74160535306027886</v>
      </c>
      <c r="J76">
        <f t="shared" si="10"/>
        <v>0.55784379011767549</v>
      </c>
      <c r="K76" s="3">
        <f t="shared" si="11"/>
        <v>0.83329994800598139</v>
      </c>
      <c r="L76" s="2">
        <f t="shared" si="12"/>
        <v>0.88996207768268776</v>
      </c>
      <c r="M76" s="2">
        <f t="shared" si="13"/>
        <v>0.66943936748412147</v>
      </c>
      <c r="R76">
        <f t="shared" si="14"/>
        <v>1.0162463449268799</v>
      </c>
      <c r="S76">
        <f t="shared" si="15"/>
        <v>1.0038598036925241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E07B-C6D7-47C0-8966-86D3CB05B7F5}">
  <dimension ref="A1:S76"/>
  <sheetViews>
    <sheetView topLeftCell="A4" workbookViewId="0">
      <selection activeCell="H29" sqref="H29"/>
    </sheetView>
  </sheetViews>
  <sheetFormatPr baseColWidth="10" defaultRowHeight="14.4" x14ac:dyDescent="0.3"/>
  <sheetData>
    <row r="1" spans="1:19" x14ac:dyDescent="0.3">
      <c r="A1" t="s">
        <v>0</v>
      </c>
      <c r="B1" t="s">
        <v>2</v>
      </c>
      <c r="C1" t="s">
        <v>15</v>
      </c>
      <c r="D1" t="s">
        <v>1</v>
      </c>
      <c r="E1" t="s">
        <v>16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2" t="s">
        <v>9</v>
      </c>
      <c r="M1" s="2" t="s">
        <v>10</v>
      </c>
      <c r="R1" t="s">
        <v>11</v>
      </c>
      <c r="S1" t="s">
        <v>12</v>
      </c>
    </row>
    <row r="2" spans="1:19" x14ac:dyDescent="0.3">
      <c r="A2">
        <v>0</v>
      </c>
      <c r="B2">
        <f>A2-$A$12</f>
        <v>-7.5107999999999997</v>
      </c>
      <c r="C2">
        <v>2517.5859999999998</v>
      </c>
      <c r="D2">
        <v>193.589</v>
      </c>
      <c r="E2">
        <v>167.22399999999999</v>
      </c>
      <c r="F2">
        <f>AVERAGE(C2:C11)</f>
        <v>2381.5086999999994</v>
      </c>
      <c r="G2">
        <f>AVERAGE(D2:D11)</f>
        <v>191.4178</v>
      </c>
      <c r="H2">
        <f>AVERAGE(E2:E11)</f>
        <v>160.6087</v>
      </c>
      <c r="I2">
        <f>C2/$F$2</f>
        <v>1.0571391152171732</v>
      </c>
      <c r="J2">
        <f>D2/$G$2</f>
        <v>1.0113427277922953</v>
      </c>
      <c r="K2" s="3">
        <f>E2/$H$2</f>
        <v>1.0411889268763148</v>
      </c>
      <c r="L2" s="2">
        <f>I2/K2</f>
        <v>1.0153192066580181</v>
      </c>
      <c r="M2" s="2">
        <f>J2/K2</f>
        <v>0.97133450201630411</v>
      </c>
      <c r="R2">
        <f>(L2-$L$12)/($N$12-$L$12)</f>
        <v>3.2557079575848409</v>
      </c>
      <c r="S2">
        <f>(M2-$M$12)/($O$12-$M$12)</f>
        <v>1.5254489945980785</v>
      </c>
    </row>
    <row r="3" spans="1:19" x14ac:dyDescent="0.3">
      <c r="A3">
        <v>0.50309999999999999</v>
      </c>
      <c r="B3">
        <f t="shared" ref="B3:B66" si="0">A3-$A$12</f>
        <v>-7.0076999999999998</v>
      </c>
      <c r="C3">
        <v>2527.19</v>
      </c>
      <c r="D3">
        <v>190.107</v>
      </c>
      <c r="E3">
        <v>161.328</v>
      </c>
      <c r="I3">
        <f t="shared" ref="I3:I66" si="1">C3/$F$2</f>
        <v>1.0611718529518708</v>
      </c>
      <c r="J3">
        <f t="shared" ref="J3:J66" si="2">D3/$G$2</f>
        <v>0.99315215199422413</v>
      </c>
      <c r="K3" s="3">
        <f t="shared" ref="K3:K66" si="3">E3/$H$2</f>
        <v>1.0044785867764325</v>
      </c>
      <c r="L3" s="2">
        <f t="shared" ref="L3:L66" si="4">I3/K3</f>
        <v>1.0564404925319295</v>
      </c>
      <c r="M3" s="2">
        <f t="shared" ref="M3:M66" si="5">J3/K3</f>
        <v>0.98872406546907377</v>
      </c>
      <c r="R3">
        <f t="shared" ref="R3:R66" si="6">(L3-$L$12)/($N$12-$L$12)</f>
        <v>3.4419408570854597</v>
      </c>
      <c r="S3">
        <f t="shared" ref="S3:S66" si="7">(M3-$M$12)/($O$12-$M$12)</f>
        <v>1.5712947379063835</v>
      </c>
    </row>
    <row r="4" spans="1:19" x14ac:dyDescent="0.3">
      <c r="A4">
        <v>1.0026999999999999</v>
      </c>
      <c r="B4">
        <f t="shared" si="0"/>
        <v>-6.5080999999999998</v>
      </c>
      <c r="C4">
        <v>2446.0520000000001</v>
      </c>
      <c r="D4">
        <v>197.036</v>
      </c>
      <c r="E4">
        <v>164.828</v>
      </c>
      <c r="I4">
        <f t="shared" si="1"/>
        <v>1.0271018535435124</v>
      </c>
      <c r="J4">
        <f t="shared" si="2"/>
        <v>1.0293504574809658</v>
      </c>
      <c r="K4" s="3">
        <f t="shared" si="3"/>
        <v>1.0262706814761591</v>
      </c>
      <c r="L4" s="2">
        <f t="shared" si="4"/>
        <v>1.0008098955590914</v>
      </c>
      <c r="M4" s="2">
        <f t="shared" si="5"/>
        <v>1.0030009392847283</v>
      </c>
      <c r="R4">
        <f t="shared" si="6"/>
        <v>3.1899971944536727</v>
      </c>
      <c r="S4">
        <f t="shared" si="7"/>
        <v>1.6089342044735164</v>
      </c>
    </row>
    <row r="5" spans="1:19" x14ac:dyDescent="0.3">
      <c r="A5">
        <v>1.5028999999999999</v>
      </c>
      <c r="B5">
        <f t="shared" si="0"/>
        <v>-6.0078999999999994</v>
      </c>
      <c r="C5">
        <v>2432.7069999999999</v>
      </c>
      <c r="D5">
        <v>192.714</v>
      </c>
      <c r="E5">
        <v>162.87899999999999</v>
      </c>
      <c r="I5">
        <f t="shared" si="1"/>
        <v>1.0214982628448934</v>
      </c>
      <c r="J5">
        <f t="shared" si="2"/>
        <v>1.006771575057283</v>
      </c>
      <c r="K5" s="3">
        <f t="shared" si="3"/>
        <v>1.014135597884797</v>
      </c>
      <c r="L5" s="2">
        <f t="shared" si="4"/>
        <v>1.0072600399546696</v>
      </c>
      <c r="M5" s="2">
        <f t="shared" si="5"/>
        <v>0.99273862110463995</v>
      </c>
      <c r="R5">
        <f t="shared" si="6"/>
        <v>3.2192090507333981</v>
      </c>
      <c r="S5">
        <f t="shared" si="7"/>
        <v>1.5818786888873819</v>
      </c>
    </row>
    <row r="6" spans="1:19" x14ac:dyDescent="0.3">
      <c r="A6">
        <v>2.0028000000000001</v>
      </c>
      <c r="B6">
        <f t="shared" si="0"/>
        <v>-5.5079999999999991</v>
      </c>
      <c r="C6">
        <v>2359.328</v>
      </c>
      <c r="D6">
        <v>192.929</v>
      </c>
      <c r="E6">
        <v>160.62100000000001</v>
      </c>
      <c r="I6">
        <f t="shared" si="1"/>
        <v>0.99068628218742205</v>
      </c>
      <c r="J6">
        <f t="shared" si="2"/>
        <v>1.0078947725864575</v>
      </c>
      <c r="K6" s="3">
        <f t="shared" si="3"/>
        <v>1.0000765836470877</v>
      </c>
      <c r="L6" s="2">
        <f t="shared" si="4"/>
        <v>0.99061041762879698</v>
      </c>
      <c r="M6" s="2">
        <f t="shared" si="5"/>
        <v>1.0078175902397979</v>
      </c>
      <c r="R6">
        <f t="shared" si="6"/>
        <v>3.1438050993383699</v>
      </c>
      <c r="S6">
        <f t="shared" si="7"/>
        <v>1.6216327948603066</v>
      </c>
    </row>
    <row r="7" spans="1:19" x14ac:dyDescent="0.3">
      <c r="A7">
        <v>2.5030000000000001</v>
      </c>
      <c r="B7">
        <f t="shared" si="0"/>
        <v>-5.0077999999999996</v>
      </c>
      <c r="C7">
        <v>2345.8620000000001</v>
      </c>
      <c r="D7">
        <v>190.107</v>
      </c>
      <c r="E7">
        <v>160.672</v>
      </c>
      <c r="I7">
        <f t="shared" si="1"/>
        <v>0.98503188336032566</v>
      </c>
      <c r="J7">
        <f t="shared" si="2"/>
        <v>0.99315215199422413</v>
      </c>
      <c r="K7" s="3">
        <f t="shared" si="3"/>
        <v>1.0003941255984266</v>
      </c>
      <c r="L7" s="2">
        <f t="shared" si="4"/>
        <v>0.98464381002946078</v>
      </c>
      <c r="M7" s="2">
        <f t="shared" si="5"/>
        <v>0.99276087951848946</v>
      </c>
      <c r="R7">
        <f t="shared" si="6"/>
        <v>3.1167831176616785</v>
      </c>
      <c r="S7">
        <f t="shared" si="7"/>
        <v>1.5819373708393796</v>
      </c>
    </row>
    <row r="8" spans="1:19" x14ac:dyDescent="0.3">
      <c r="A8">
        <v>3.0028000000000001</v>
      </c>
      <c r="B8">
        <f t="shared" si="0"/>
        <v>-4.5079999999999991</v>
      </c>
      <c r="C8">
        <v>2350.2759999999998</v>
      </c>
      <c r="D8">
        <v>192.5</v>
      </c>
      <c r="E8">
        <v>158.845</v>
      </c>
      <c r="I8">
        <f t="shared" si="1"/>
        <v>0.98688533029503545</v>
      </c>
      <c r="J8">
        <f t="shared" si="2"/>
        <v>1.0056536017026629</v>
      </c>
      <c r="K8" s="3">
        <f t="shared" si="3"/>
        <v>0.98901865216516915</v>
      </c>
      <c r="L8" s="2">
        <f t="shared" si="4"/>
        <v>0.99784299126668297</v>
      </c>
      <c r="M8" s="2">
        <f t="shared" si="5"/>
        <v>1.0168196519864174</v>
      </c>
      <c r="R8">
        <f t="shared" si="6"/>
        <v>3.1765604748284586</v>
      </c>
      <c r="S8">
        <f t="shared" si="7"/>
        <v>1.6453657777613409</v>
      </c>
    </row>
    <row r="9" spans="1:19" x14ac:dyDescent="0.3">
      <c r="A9">
        <v>3.5030000000000001</v>
      </c>
      <c r="B9">
        <f t="shared" si="0"/>
        <v>-4.0077999999999996</v>
      </c>
      <c r="C9">
        <v>2293.6030000000001</v>
      </c>
      <c r="D9">
        <v>186.339</v>
      </c>
      <c r="E9">
        <v>155.828</v>
      </c>
      <c r="I9">
        <f t="shared" si="1"/>
        <v>0.96308823058257176</v>
      </c>
      <c r="J9">
        <f t="shared" si="2"/>
        <v>0.97346746227362346</v>
      </c>
      <c r="K9" s="3">
        <f t="shared" si="3"/>
        <v>0.97023386653400467</v>
      </c>
      <c r="L9" s="2">
        <f t="shared" si="4"/>
        <v>0.99263514066257086</v>
      </c>
      <c r="M9" s="2">
        <f t="shared" si="5"/>
        <v>1.0033328003187214</v>
      </c>
      <c r="R9">
        <f t="shared" si="6"/>
        <v>3.1529748038661314</v>
      </c>
      <c r="S9">
        <f t="shared" si="7"/>
        <v>1.6098091209612015</v>
      </c>
    </row>
    <row r="10" spans="1:19" x14ac:dyDescent="0.3">
      <c r="A10">
        <v>4.0026000000000002</v>
      </c>
      <c r="B10">
        <f t="shared" si="0"/>
        <v>-3.5081999999999995</v>
      </c>
      <c r="C10">
        <v>2272.328</v>
      </c>
      <c r="D10">
        <v>194.286</v>
      </c>
      <c r="E10">
        <v>155.25899999999999</v>
      </c>
      <c r="I10">
        <f t="shared" si="1"/>
        <v>0.9541548179101762</v>
      </c>
      <c r="J10">
        <f t="shared" si="2"/>
        <v>1.014983977456642</v>
      </c>
      <c r="K10" s="3">
        <f t="shared" si="3"/>
        <v>0.96669109456710622</v>
      </c>
      <c r="L10" s="2">
        <f t="shared" si="4"/>
        <v>0.98703176565152506</v>
      </c>
      <c r="M10" s="2">
        <f t="shared" si="5"/>
        <v>1.0499568922905635</v>
      </c>
      <c r="R10">
        <f t="shared" si="6"/>
        <v>3.127597854845225</v>
      </c>
      <c r="S10">
        <f t="shared" si="7"/>
        <v>1.7327286041517604</v>
      </c>
    </row>
    <row r="11" spans="1:19" x14ac:dyDescent="0.3">
      <c r="A11">
        <v>4.5027999999999997</v>
      </c>
      <c r="B11">
        <f t="shared" si="0"/>
        <v>-3.008</v>
      </c>
      <c r="C11">
        <v>2270.1550000000002</v>
      </c>
      <c r="D11">
        <v>184.571</v>
      </c>
      <c r="E11">
        <v>158.60300000000001</v>
      </c>
      <c r="I11">
        <f t="shared" si="1"/>
        <v>0.9532423711070217</v>
      </c>
      <c r="J11">
        <f t="shared" si="2"/>
        <v>0.96423112166162184</v>
      </c>
      <c r="K11" s="3">
        <f t="shared" si="3"/>
        <v>0.98751188447450233</v>
      </c>
      <c r="L11" s="2">
        <f t="shared" si="4"/>
        <v>0.96529711297022325</v>
      </c>
      <c r="M11" s="2">
        <f t="shared" si="5"/>
        <v>0.97642482771205408</v>
      </c>
      <c r="R11">
        <f t="shared" si="6"/>
        <v>3.0291644692529291</v>
      </c>
      <c r="S11">
        <f t="shared" si="7"/>
        <v>1.5388690994694203</v>
      </c>
    </row>
    <row r="12" spans="1:19" x14ac:dyDescent="0.3">
      <c r="A12" s="4">
        <v>7.5107999999999997</v>
      </c>
      <c r="B12" s="4">
        <f t="shared" si="0"/>
        <v>0</v>
      </c>
      <c r="C12" s="4">
        <v>672.98299999999995</v>
      </c>
      <c r="D12" s="4">
        <v>71.661000000000001</v>
      </c>
      <c r="E12" s="4">
        <v>153.10300000000001</v>
      </c>
      <c r="F12" s="4"/>
      <c r="G12" s="4"/>
      <c r="H12" s="4"/>
      <c r="I12" s="4">
        <f t="shared" si="1"/>
        <v>0.28258683245624933</v>
      </c>
      <c r="J12" s="4">
        <f t="shared" si="2"/>
        <v>0.37436957273565991</v>
      </c>
      <c r="K12" s="4">
        <f t="shared" si="3"/>
        <v>0.95326716423207469</v>
      </c>
      <c r="L12" s="4">
        <f t="shared" si="4"/>
        <v>0.29644032969906536</v>
      </c>
      <c r="M12" s="4">
        <f t="shared" si="5"/>
        <v>0.39272261416582155</v>
      </c>
      <c r="N12" s="4">
        <f>AVERAGE(L66:L76)</f>
        <v>0.51724603043281103</v>
      </c>
      <c r="O12" s="4">
        <f>AVERAGE(M66:M76)</f>
        <v>0.77202856926459151</v>
      </c>
      <c r="P12" s="5">
        <f>(N12-L12)/(1-L12)</f>
        <v>0.31384075872242667</v>
      </c>
      <c r="Q12" s="5">
        <f>(O12-M12)/(1-M12)</f>
        <v>0.62460082319341004</v>
      </c>
      <c r="R12">
        <f t="shared" si="6"/>
        <v>0</v>
      </c>
      <c r="S12">
        <f t="shared" si="7"/>
        <v>0</v>
      </c>
    </row>
    <row r="13" spans="1:19" x14ac:dyDescent="0.3">
      <c r="A13">
        <v>8.0134000000000007</v>
      </c>
      <c r="B13">
        <f t="shared" si="0"/>
        <v>0.50260000000000105</v>
      </c>
      <c r="C13">
        <v>866.46600000000001</v>
      </c>
      <c r="D13">
        <v>88.911000000000001</v>
      </c>
      <c r="E13">
        <v>163.36199999999999</v>
      </c>
      <c r="I13">
        <f t="shared" si="1"/>
        <v>0.36383070949940272</v>
      </c>
      <c r="J13">
        <f t="shared" si="2"/>
        <v>0.4644865837973271</v>
      </c>
      <c r="K13" s="3">
        <f t="shared" si="3"/>
        <v>1.0171429069533593</v>
      </c>
      <c r="L13" s="2">
        <f t="shared" si="4"/>
        <v>0.3576987137325493</v>
      </c>
      <c r="M13" s="2">
        <f t="shared" si="5"/>
        <v>0.456658135864704</v>
      </c>
      <c r="R13">
        <f t="shared" si="6"/>
        <v>0.27743117061706296</v>
      </c>
      <c r="S13">
        <f t="shared" si="7"/>
        <v>0.1685592352016563</v>
      </c>
    </row>
    <row r="14" spans="1:19" x14ac:dyDescent="0.3">
      <c r="A14">
        <v>8.5139999999999993</v>
      </c>
      <c r="B14">
        <f t="shared" si="0"/>
        <v>1.0031999999999996</v>
      </c>
      <c r="C14">
        <v>918.31</v>
      </c>
      <c r="D14">
        <v>94.411000000000001</v>
      </c>
      <c r="E14">
        <v>162.22399999999999</v>
      </c>
      <c r="I14">
        <f t="shared" si="1"/>
        <v>0.3856001029935352</v>
      </c>
      <c r="J14">
        <f t="shared" si="2"/>
        <v>0.49321954384597461</v>
      </c>
      <c r="K14" s="3">
        <f t="shared" si="3"/>
        <v>1.0100573630195624</v>
      </c>
      <c r="L14" s="2">
        <f t="shared" si="4"/>
        <v>0.38176059807215823</v>
      </c>
      <c r="M14" s="2">
        <f t="shared" si="5"/>
        <v>0.48830844851375249</v>
      </c>
      <c r="R14">
        <f t="shared" si="6"/>
        <v>0.38640428254148512</v>
      </c>
      <c r="S14">
        <f t="shared" si="7"/>
        <v>0.25200193422494704</v>
      </c>
    </row>
    <row r="15" spans="1:19" x14ac:dyDescent="0.3">
      <c r="A15">
        <v>9.0134000000000007</v>
      </c>
      <c r="B15">
        <f t="shared" si="0"/>
        <v>1.502600000000001</v>
      </c>
      <c r="C15">
        <v>974.93100000000004</v>
      </c>
      <c r="D15">
        <v>95.411000000000001</v>
      </c>
      <c r="E15">
        <v>168.31</v>
      </c>
      <c r="I15">
        <f t="shared" si="1"/>
        <v>0.40937536780781036</v>
      </c>
      <c r="J15">
        <f t="shared" si="2"/>
        <v>0.49844371840027418</v>
      </c>
      <c r="K15" s="3">
        <f t="shared" si="3"/>
        <v>1.0479507025460015</v>
      </c>
      <c r="L15" s="2">
        <f t="shared" si="4"/>
        <v>0.39064372666885078</v>
      </c>
      <c r="M15" s="2">
        <f t="shared" si="5"/>
        <v>0.47563660884935011</v>
      </c>
      <c r="R15">
        <f t="shared" si="6"/>
        <v>0.42663480452154984</v>
      </c>
      <c r="S15">
        <f t="shared" si="7"/>
        <v>0.21859397030014474</v>
      </c>
    </row>
    <row r="16" spans="1:19" x14ac:dyDescent="0.3">
      <c r="A16">
        <v>9.5136000000000003</v>
      </c>
      <c r="B16">
        <f t="shared" si="0"/>
        <v>2.0028000000000006</v>
      </c>
      <c r="C16">
        <v>1021.724</v>
      </c>
      <c r="D16">
        <v>105.5</v>
      </c>
      <c r="E16">
        <v>173.46600000000001</v>
      </c>
      <c r="I16">
        <f t="shared" si="1"/>
        <v>0.42902383686442142</v>
      </c>
      <c r="J16">
        <f t="shared" si="2"/>
        <v>0.55115041547860233</v>
      </c>
      <c r="K16" s="3">
        <f t="shared" si="3"/>
        <v>1.0800535711950847</v>
      </c>
      <c r="L16" s="2">
        <f t="shared" si="4"/>
        <v>0.39722458987817094</v>
      </c>
      <c r="M16" s="2">
        <f t="shared" si="5"/>
        <v>0.51029914642914576</v>
      </c>
      <c r="R16">
        <f t="shared" si="6"/>
        <v>0.45643866912944586</v>
      </c>
      <c r="S16">
        <f t="shared" si="7"/>
        <v>0.30997808150074441</v>
      </c>
    </row>
    <row r="17" spans="1:19" x14ac:dyDescent="0.3">
      <c r="A17">
        <v>10.013199999999999</v>
      </c>
      <c r="B17">
        <f t="shared" si="0"/>
        <v>2.5023999999999997</v>
      </c>
      <c r="C17">
        <v>1026.0519999999999</v>
      </c>
      <c r="D17">
        <v>105.679</v>
      </c>
      <c r="E17">
        <v>171.08600000000001</v>
      </c>
      <c r="I17">
        <f t="shared" si="1"/>
        <v>0.43084117223674229</v>
      </c>
      <c r="J17">
        <f t="shared" si="2"/>
        <v>0.55208554272382193</v>
      </c>
      <c r="K17" s="3">
        <f t="shared" si="3"/>
        <v>1.0652349467992706</v>
      </c>
      <c r="L17" s="2">
        <f t="shared" si="4"/>
        <v>0.40445647557029368</v>
      </c>
      <c r="M17" s="2">
        <f t="shared" si="5"/>
        <v>0.51827584551434658</v>
      </c>
      <c r="R17">
        <f t="shared" si="6"/>
        <v>0.48919092900358369</v>
      </c>
      <c r="S17">
        <f t="shared" si="7"/>
        <v>0.33100780428251225</v>
      </c>
    </row>
    <row r="18" spans="1:19" x14ac:dyDescent="0.3">
      <c r="A18">
        <v>10.513999999999999</v>
      </c>
      <c r="B18">
        <f t="shared" si="0"/>
        <v>3.0031999999999996</v>
      </c>
      <c r="C18">
        <v>1057.914</v>
      </c>
      <c r="D18">
        <v>106.589</v>
      </c>
      <c r="E18">
        <v>175.36199999999999</v>
      </c>
      <c r="I18">
        <f t="shared" si="1"/>
        <v>0.44422008619997916</v>
      </c>
      <c r="J18">
        <f t="shared" si="2"/>
        <v>0.55683954156823445</v>
      </c>
      <c r="K18" s="3">
        <f t="shared" si="3"/>
        <v>1.0918586602095652</v>
      </c>
      <c r="L18" s="2">
        <f t="shared" si="4"/>
        <v>0.40684760984971996</v>
      </c>
      <c r="M18" s="2">
        <f t="shared" si="5"/>
        <v>0.50999232946630457</v>
      </c>
      <c r="R18">
        <f t="shared" si="6"/>
        <v>0.50002006190857862</v>
      </c>
      <c r="S18">
        <f t="shared" si="7"/>
        <v>0.30916919105566482</v>
      </c>
    </row>
    <row r="19" spans="1:19" x14ac:dyDescent="0.3">
      <c r="A19">
        <v>11.013400000000001</v>
      </c>
      <c r="B19" s="6">
        <f t="shared" si="0"/>
        <v>3.502600000000001</v>
      </c>
      <c r="C19">
        <v>1064.6210000000001</v>
      </c>
      <c r="D19">
        <v>109.875</v>
      </c>
      <c r="E19">
        <v>165.72399999999999</v>
      </c>
      <c r="I19">
        <f t="shared" si="1"/>
        <v>0.44703636816443304</v>
      </c>
      <c r="J19">
        <f t="shared" si="2"/>
        <v>0.57400617915366281</v>
      </c>
      <c r="K19" s="3">
        <f t="shared" si="3"/>
        <v>1.0318494577192892</v>
      </c>
      <c r="L19" s="2">
        <f t="shared" si="4"/>
        <v>0.43323797364057698</v>
      </c>
      <c r="M19" s="2">
        <f t="shared" si="5"/>
        <v>0.55628868616396465</v>
      </c>
      <c r="R19">
        <f t="shared" si="6"/>
        <v>0.61953855125537016</v>
      </c>
      <c r="S19">
        <f t="shared" si="7"/>
        <v>0.43122463488755686</v>
      </c>
    </row>
    <row r="20" spans="1:19" x14ac:dyDescent="0.3">
      <c r="A20">
        <v>11.513400000000001</v>
      </c>
      <c r="B20">
        <f t="shared" si="0"/>
        <v>4.002600000000001</v>
      </c>
      <c r="C20">
        <v>1068.31</v>
      </c>
      <c r="D20">
        <v>109.589</v>
      </c>
      <c r="E20">
        <v>163.77600000000001</v>
      </c>
      <c r="I20">
        <f t="shared" si="1"/>
        <v>0.44858538623016586</v>
      </c>
      <c r="J20">
        <f t="shared" si="2"/>
        <v>0.57251206523113318</v>
      </c>
      <c r="K20" s="3">
        <f t="shared" si="3"/>
        <v>1.0197206004406985</v>
      </c>
      <c r="L20" s="2">
        <f t="shared" si="4"/>
        <v>0.43991009501651546</v>
      </c>
      <c r="M20" s="2">
        <f t="shared" si="5"/>
        <v>0.56144012878008676</v>
      </c>
      <c r="R20">
        <f t="shared" si="6"/>
        <v>0.64975571210659255</v>
      </c>
      <c r="S20">
        <f t="shared" si="7"/>
        <v>0.44480586805005934</v>
      </c>
    </row>
    <row r="21" spans="1:19" x14ac:dyDescent="0.3">
      <c r="A21">
        <v>12.013500000000001</v>
      </c>
      <c r="B21">
        <f t="shared" si="0"/>
        <v>4.5027000000000008</v>
      </c>
      <c r="C21">
        <v>1063.8789999999999</v>
      </c>
      <c r="D21">
        <v>110.036</v>
      </c>
      <c r="E21">
        <v>163.81</v>
      </c>
      <c r="I21">
        <f t="shared" si="1"/>
        <v>0.44672480096335576</v>
      </c>
      <c r="J21">
        <f t="shared" si="2"/>
        <v>0.57484727125690505</v>
      </c>
      <c r="K21" s="3">
        <f t="shared" si="3"/>
        <v>1.0199322950749243</v>
      </c>
      <c r="L21" s="2">
        <f t="shared" si="4"/>
        <v>0.43799456407107817</v>
      </c>
      <c r="M21" s="2">
        <f t="shared" si="5"/>
        <v>0.56361316729820454</v>
      </c>
      <c r="R21">
        <f t="shared" si="6"/>
        <v>0.64108052419671568</v>
      </c>
      <c r="S21">
        <f t="shared" si="7"/>
        <v>0.45053485408074778</v>
      </c>
    </row>
    <row r="22" spans="1:19" x14ac:dyDescent="0.3">
      <c r="A22">
        <v>12.513500000000001</v>
      </c>
      <c r="B22">
        <f t="shared" si="0"/>
        <v>5.0027000000000008</v>
      </c>
      <c r="C22">
        <v>1097.6030000000001</v>
      </c>
      <c r="D22">
        <v>112.804</v>
      </c>
      <c r="E22">
        <v>162.93100000000001</v>
      </c>
      <c r="I22">
        <f t="shared" si="1"/>
        <v>0.46088557224250337</v>
      </c>
      <c r="J22">
        <f t="shared" si="2"/>
        <v>0.58930778642320625</v>
      </c>
      <c r="K22" s="3">
        <f t="shared" si="3"/>
        <v>1.0144593661489074</v>
      </c>
      <c r="L22" s="2">
        <f t="shared" si="4"/>
        <v>0.45431644442509123</v>
      </c>
      <c r="M22" s="2">
        <f t="shared" si="5"/>
        <v>0.58090822174606915</v>
      </c>
      <c r="R22">
        <f t="shared" si="6"/>
        <v>0.71500017527354398</v>
      </c>
      <c r="S22">
        <f t="shared" si="7"/>
        <v>0.49613143440166851</v>
      </c>
    </row>
    <row r="23" spans="1:19" x14ac:dyDescent="0.3">
      <c r="A23">
        <v>13.013500000000001</v>
      </c>
      <c r="B23">
        <f t="shared" si="0"/>
        <v>5.5027000000000008</v>
      </c>
      <c r="C23">
        <v>1103.8969999999999</v>
      </c>
      <c r="D23">
        <v>113.625</v>
      </c>
      <c r="E23">
        <v>164.483</v>
      </c>
      <c r="I23">
        <f t="shared" si="1"/>
        <v>0.46352843472711236</v>
      </c>
      <c r="J23">
        <f t="shared" si="2"/>
        <v>0.59359683373228611</v>
      </c>
      <c r="K23" s="3">
        <f t="shared" si="3"/>
        <v>1.0241226035700433</v>
      </c>
      <c r="L23" s="2">
        <f t="shared" si="4"/>
        <v>0.45261029598533808</v>
      </c>
      <c r="M23" s="2">
        <f t="shared" si="5"/>
        <v>0.57961501060813958</v>
      </c>
      <c r="R23">
        <f t="shared" si="6"/>
        <v>0.70727325321454126</v>
      </c>
      <c r="S23">
        <f t="shared" si="7"/>
        <v>0.49272202012660704</v>
      </c>
    </row>
    <row r="24" spans="1:19" x14ac:dyDescent="0.3">
      <c r="A24">
        <v>13.5137</v>
      </c>
      <c r="B24" s="6">
        <f t="shared" si="0"/>
        <v>6.0029000000000003</v>
      </c>
      <c r="C24">
        <v>1092.69</v>
      </c>
      <c r="D24">
        <v>112.804</v>
      </c>
      <c r="E24">
        <v>155.89699999999999</v>
      </c>
      <c r="I24">
        <f t="shared" si="1"/>
        <v>0.4588225942655596</v>
      </c>
      <c r="J24">
        <f t="shared" si="2"/>
        <v>0.58930778642320625</v>
      </c>
      <c r="K24" s="3">
        <f t="shared" si="3"/>
        <v>0.97066348211522779</v>
      </c>
      <c r="L24" s="2">
        <f t="shared" si="4"/>
        <v>0.47268966301865328</v>
      </c>
      <c r="M24" s="2">
        <f t="shared" si="5"/>
        <v>0.60711853003783789</v>
      </c>
      <c r="R24">
        <f t="shared" si="6"/>
        <v>0.79821006764727875</v>
      </c>
      <c r="S24">
        <f t="shared" si="7"/>
        <v>0.56523213777697845</v>
      </c>
    </row>
    <row r="25" spans="1:19" x14ac:dyDescent="0.3">
      <c r="A25">
        <v>14.013299999999999</v>
      </c>
      <c r="B25">
        <f t="shared" si="0"/>
        <v>6.5024999999999995</v>
      </c>
      <c r="C25">
        <v>1102.8969999999999</v>
      </c>
      <c r="D25">
        <v>111.607</v>
      </c>
      <c r="E25">
        <v>148.94800000000001</v>
      </c>
      <c r="I25">
        <f t="shared" si="1"/>
        <v>0.46310853283886816</v>
      </c>
      <c r="J25">
        <f t="shared" si="2"/>
        <v>0.58305444948170959</v>
      </c>
      <c r="K25" s="3">
        <f t="shared" si="3"/>
        <v>0.92739683466711331</v>
      </c>
      <c r="L25" s="2">
        <f t="shared" si="4"/>
        <v>0.49936393518649408</v>
      </c>
      <c r="M25" s="2">
        <f t="shared" si="5"/>
        <v>0.62870006418664937</v>
      </c>
      <c r="R25">
        <f t="shared" si="6"/>
        <v>0.91901434072175636</v>
      </c>
      <c r="S25">
        <f t="shared" si="7"/>
        <v>0.62212956809333542</v>
      </c>
    </row>
    <row r="26" spans="1:19" x14ac:dyDescent="0.3">
      <c r="A26">
        <v>14.513500000000001</v>
      </c>
      <c r="B26">
        <f t="shared" si="0"/>
        <v>7.0027000000000008</v>
      </c>
      <c r="C26">
        <v>1101.7929999999999</v>
      </c>
      <c r="D26">
        <v>115.393</v>
      </c>
      <c r="E26">
        <v>147.69</v>
      </c>
      <c r="I26">
        <f t="shared" si="1"/>
        <v>0.46264496115424653</v>
      </c>
      <c r="J26">
        <f t="shared" si="2"/>
        <v>0.60283317434428774</v>
      </c>
      <c r="K26" s="3">
        <f t="shared" si="3"/>
        <v>0.91956413320075436</v>
      </c>
      <c r="L26" s="2">
        <f t="shared" si="4"/>
        <v>0.50311331689710903</v>
      </c>
      <c r="M26" s="2">
        <f t="shared" si="5"/>
        <v>0.6555640358068211</v>
      </c>
      <c r="R26">
        <f t="shared" si="6"/>
        <v>0.93599479773964867</v>
      </c>
      <c r="S26">
        <f t="shared" si="7"/>
        <v>0.69295358564185094</v>
      </c>
    </row>
    <row r="27" spans="1:19" x14ac:dyDescent="0.3">
      <c r="A27">
        <v>15.013500000000001</v>
      </c>
      <c r="B27">
        <f t="shared" si="0"/>
        <v>7.5027000000000008</v>
      </c>
      <c r="C27">
        <v>1113.4480000000001</v>
      </c>
      <c r="D27">
        <v>114.661</v>
      </c>
      <c r="E27">
        <v>146.86199999999999</v>
      </c>
      <c r="I27">
        <f t="shared" si="1"/>
        <v>0.46753891766173283</v>
      </c>
      <c r="J27">
        <f t="shared" si="2"/>
        <v>0.59900907857054042</v>
      </c>
      <c r="K27" s="3">
        <f t="shared" si="3"/>
        <v>0.91440874622607615</v>
      </c>
      <c r="L27" s="2">
        <f t="shared" si="4"/>
        <v>0.51130188724828718</v>
      </c>
      <c r="M27" s="2">
        <f t="shared" si="5"/>
        <v>0.65507802833552831</v>
      </c>
      <c r="R27">
        <f t="shared" si="6"/>
        <v>0.97307975670568625</v>
      </c>
      <c r="S27">
        <f t="shared" si="7"/>
        <v>0.69167227838906542</v>
      </c>
    </row>
    <row r="28" spans="1:19" x14ac:dyDescent="0.3">
      <c r="A28">
        <v>15.5136</v>
      </c>
      <c r="B28">
        <f t="shared" si="0"/>
        <v>8.0028000000000006</v>
      </c>
      <c r="C28">
        <v>1109.31</v>
      </c>
      <c r="D28">
        <v>116</v>
      </c>
      <c r="E28">
        <v>149.96600000000001</v>
      </c>
      <c r="I28">
        <f t="shared" si="1"/>
        <v>0.46580136364817826</v>
      </c>
      <c r="J28">
        <f t="shared" si="2"/>
        <v>0.60600424829874755</v>
      </c>
      <c r="K28" s="3">
        <f t="shared" si="3"/>
        <v>0.93373522106834816</v>
      </c>
      <c r="L28" s="2">
        <f t="shared" si="4"/>
        <v>0.49885808432418788</v>
      </c>
      <c r="M28" s="2">
        <f t="shared" si="5"/>
        <v>0.64901080587425852</v>
      </c>
      <c r="R28">
        <f t="shared" si="6"/>
        <v>0.91672340864606616</v>
      </c>
      <c r="S28">
        <f t="shared" si="7"/>
        <v>0.67567668860274133</v>
      </c>
    </row>
    <row r="29" spans="1:19" x14ac:dyDescent="0.3">
      <c r="A29">
        <v>16.0136</v>
      </c>
      <c r="B29">
        <f t="shared" si="0"/>
        <v>8.5028000000000006</v>
      </c>
      <c r="C29">
        <v>1097.7929999999999</v>
      </c>
      <c r="D29">
        <v>117.089</v>
      </c>
      <c r="E29">
        <v>146.20699999999999</v>
      </c>
      <c r="I29">
        <f t="shared" si="1"/>
        <v>0.46096535360126972</v>
      </c>
      <c r="J29">
        <f t="shared" si="2"/>
        <v>0.61169337438837978</v>
      </c>
      <c r="K29" s="3">
        <f t="shared" si="3"/>
        <v>0.91033051136084153</v>
      </c>
      <c r="L29" s="2">
        <f t="shared" si="4"/>
        <v>0.50637141988372825</v>
      </c>
      <c r="M29" s="2">
        <f t="shared" si="5"/>
        <v>0.67194647081966652</v>
      </c>
      <c r="R29">
        <f t="shared" si="6"/>
        <v>0.95075031798116605</v>
      </c>
      <c r="S29">
        <f t="shared" si="7"/>
        <v>0.73614414142571538</v>
      </c>
    </row>
    <row r="30" spans="1:19" x14ac:dyDescent="0.3">
      <c r="A30">
        <v>16.5136</v>
      </c>
      <c r="B30">
        <f t="shared" si="0"/>
        <v>9.0028000000000006</v>
      </c>
      <c r="C30">
        <v>1122.828</v>
      </c>
      <c r="D30">
        <v>114.339</v>
      </c>
      <c r="E30">
        <v>146.37899999999999</v>
      </c>
      <c r="I30">
        <f t="shared" si="1"/>
        <v>0.4714775973734634</v>
      </c>
      <c r="J30">
        <f t="shared" si="2"/>
        <v>0.59732689436405595</v>
      </c>
      <c r="K30" s="3">
        <f t="shared" si="3"/>
        <v>0.91140143715751387</v>
      </c>
      <c r="L30" s="2">
        <f t="shared" si="4"/>
        <v>0.51731057045939222</v>
      </c>
      <c r="M30" s="2">
        <f t="shared" si="5"/>
        <v>0.65539384733362271</v>
      </c>
      <c r="R30">
        <f t="shared" si="6"/>
        <v>1.0002922932984371</v>
      </c>
      <c r="S30">
        <f t="shared" si="7"/>
        <v>0.69250490174719903</v>
      </c>
    </row>
    <row r="31" spans="1:19" x14ac:dyDescent="0.3">
      <c r="A31">
        <v>17.0136</v>
      </c>
      <c r="B31">
        <f t="shared" si="0"/>
        <v>9.5028000000000006</v>
      </c>
      <c r="C31">
        <v>1097.069</v>
      </c>
      <c r="D31">
        <v>118.982</v>
      </c>
      <c r="E31">
        <v>147.845</v>
      </c>
      <c r="I31">
        <f t="shared" si="1"/>
        <v>0.46066134463418096</v>
      </c>
      <c r="J31">
        <f t="shared" si="2"/>
        <v>0.6215827368196688</v>
      </c>
      <c r="K31" s="3">
        <f t="shared" si="3"/>
        <v>0.92052921168031365</v>
      </c>
      <c r="L31" s="2">
        <f t="shared" si="4"/>
        <v>0.50043098990123291</v>
      </c>
      <c r="M31" s="2">
        <f t="shared" si="5"/>
        <v>0.67524498835299906</v>
      </c>
      <c r="R31">
        <f t="shared" si="6"/>
        <v>0.92384689129084485</v>
      </c>
      <c r="S31">
        <f t="shared" si="7"/>
        <v>0.74484033374485159</v>
      </c>
    </row>
    <row r="32" spans="1:19" x14ac:dyDescent="0.3">
      <c r="A32">
        <v>17.5138</v>
      </c>
      <c r="B32">
        <f t="shared" si="0"/>
        <v>10.003</v>
      </c>
      <c r="C32">
        <v>1086.69</v>
      </c>
      <c r="D32">
        <v>118.446</v>
      </c>
      <c r="E32">
        <v>149.56899999999999</v>
      </c>
      <c r="I32">
        <f t="shared" si="1"/>
        <v>0.4563031829360944</v>
      </c>
      <c r="J32">
        <f t="shared" si="2"/>
        <v>0.61878257925856428</v>
      </c>
      <c r="K32" s="3">
        <f t="shared" si="3"/>
        <v>0.93126337489812194</v>
      </c>
      <c r="L32" s="2">
        <f t="shared" si="4"/>
        <v>0.48998295781363987</v>
      </c>
      <c r="M32" s="2">
        <f t="shared" si="5"/>
        <v>0.66445497153397415</v>
      </c>
      <c r="R32">
        <f t="shared" si="6"/>
        <v>0.87652912706250363</v>
      </c>
      <c r="S32">
        <f t="shared" si="7"/>
        <v>0.716393596555568</v>
      </c>
    </row>
    <row r="33" spans="1:19" x14ac:dyDescent="0.3">
      <c r="A33">
        <v>18.013300000000001</v>
      </c>
      <c r="B33">
        <f t="shared" si="0"/>
        <v>10.502500000000001</v>
      </c>
      <c r="C33">
        <v>1099.759</v>
      </c>
      <c r="D33">
        <v>118.946</v>
      </c>
      <c r="E33">
        <v>147.56899999999999</v>
      </c>
      <c r="I33">
        <f t="shared" si="1"/>
        <v>0.46179088071355789</v>
      </c>
      <c r="J33">
        <f t="shared" si="2"/>
        <v>0.62139466653571407</v>
      </c>
      <c r="K33" s="3">
        <f t="shared" si="3"/>
        <v>0.91881074935542095</v>
      </c>
      <c r="L33" s="2">
        <f t="shared" si="4"/>
        <v>0.50259629748293755</v>
      </c>
      <c r="M33" s="2">
        <f t="shared" si="5"/>
        <v>0.67630321801485771</v>
      </c>
      <c r="R33">
        <f t="shared" si="6"/>
        <v>0.9336532847603487</v>
      </c>
      <c r="S33">
        <f t="shared" si="7"/>
        <v>0.74763024423171198</v>
      </c>
    </row>
    <row r="34" spans="1:19" x14ac:dyDescent="0.3">
      <c r="A34">
        <v>18.5139</v>
      </c>
      <c r="B34">
        <f t="shared" si="0"/>
        <v>11.0031</v>
      </c>
      <c r="C34">
        <v>1091.7070000000001</v>
      </c>
      <c r="D34">
        <v>121.321</v>
      </c>
      <c r="E34">
        <v>142.43100000000001</v>
      </c>
      <c r="I34">
        <f t="shared" si="1"/>
        <v>0.4584098307094156</v>
      </c>
      <c r="J34">
        <f t="shared" si="2"/>
        <v>0.6338020811021754</v>
      </c>
      <c r="K34" s="3">
        <f t="shared" si="3"/>
        <v>0.88681995433622218</v>
      </c>
      <c r="L34" s="2">
        <f t="shared" si="4"/>
        <v>0.5169142039124861</v>
      </c>
      <c r="M34" s="2">
        <f t="shared" si="5"/>
        <v>0.7146908208403715</v>
      </c>
      <c r="R34">
        <f t="shared" si="6"/>
        <v>0.99849720129859754</v>
      </c>
      <c r="S34">
        <f t="shared" si="7"/>
        <v>0.84883509564385973</v>
      </c>
    </row>
    <row r="35" spans="1:19" x14ac:dyDescent="0.3">
      <c r="A35">
        <v>19.013300000000001</v>
      </c>
      <c r="B35">
        <f t="shared" si="0"/>
        <v>11.502500000000001</v>
      </c>
      <c r="C35">
        <v>1104.2760000000001</v>
      </c>
      <c r="D35">
        <v>119.25</v>
      </c>
      <c r="E35">
        <v>143.72399999999999</v>
      </c>
      <c r="I35">
        <f t="shared" si="1"/>
        <v>0.46368757754275697</v>
      </c>
      <c r="J35">
        <f t="shared" si="2"/>
        <v>0.62298281560022106</v>
      </c>
      <c r="K35" s="3">
        <f t="shared" si="3"/>
        <v>0.89487057674957826</v>
      </c>
      <c r="L35" s="2">
        <f t="shared" si="4"/>
        <v>0.51816160860601845</v>
      </c>
      <c r="M35" s="2">
        <f t="shared" si="5"/>
        <v>0.69617085619584229</v>
      </c>
      <c r="R35">
        <f t="shared" si="6"/>
        <v>1.0041465332197717</v>
      </c>
      <c r="S35">
        <f t="shared" si="7"/>
        <v>0.80000916924967302</v>
      </c>
    </row>
    <row r="36" spans="1:19" x14ac:dyDescent="0.3">
      <c r="A36">
        <v>19.513500000000001</v>
      </c>
      <c r="B36">
        <f t="shared" si="0"/>
        <v>12.002700000000001</v>
      </c>
      <c r="C36">
        <v>1080.81</v>
      </c>
      <c r="D36">
        <v>124.75</v>
      </c>
      <c r="E36">
        <v>146.72399999999999</v>
      </c>
      <c r="I36">
        <f t="shared" si="1"/>
        <v>0.4538341598332184</v>
      </c>
      <c r="J36">
        <f t="shared" si="2"/>
        <v>0.65171577564886862</v>
      </c>
      <c r="K36" s="3">
        <f t="shared" si="3"/>
        <v>0.91354951506362969</v>
      </c>
      <c r="L36" s="2">
        <f t="shared" si="4"/>
        <v>0.49678112937491775</v>
      </c>
      <c r="M36" s="2">
        <f t="shared" si="5"/>
        <v>0.71338856285581409</v>
      </c>
      <c r="R36">
        <f t="shared" si="6"/>
        <v>0.90731715263741997</v>
      </c>
      <c r="S36">
        <f t="shared" si="7"/>
        <v>0.84540183031529847</v>
      </c>
    </row>
    <row r="37" spans="1:19" x14ac:dyDescent="0.3">
      <c r="A37">
        <v>20.0137</v>
      </c>
      <c r="B37">
        <f t="shared" si="0"/>
        <v>12.5029</v>
      </c>
      <c r="C37">
        <v>1084.2760000000001</v>
      </c>
      <c r="D37">
        <v>121.732</v>
      </c>
      <c r="E37">
        <v>139.46600000000001</v>
      </c>
      <c r="I37">
        <f t="shared" si="1"/>
        <v>0.4552895397778729</v>
      </c>
      <c r="J37">
        <f t="shared" si="2"/>
        <v>0.63594921684399253</v>
      </c>
      <c r="K37" s="3">
        <f t="shared" si="3"/>
        <v>0.86835893696916799</v>
      </c>
      <c r="L37" s="2">
        <f t="shared" si="4"/>
        <v>0.52431030579010263</v>
      </c>
      <c r="M37" s="2">
        <f t="shared" si="5"/>
        <v>0.7323575422205536</v>
      </c>
      <c r="R37">
        <f t="shared" si="6"/>
        <v>1.0319931746952944</v>
      </c>
      <c r="S37">
        <f t="shared" si="7"/>
        <v>0.89541153648982996</v>
      </c>
    </row>
    <row r="38" spans="1:19" x14ac:dyDescent="0.3">
      <c r="A38">
        <v>20.5137</v>
      </c>
      <c r="B38">
        <f t="shared" si="0"/>
        <v>13.0029</v>
      </c>
      <c r="C38">
        <v>1088.2929999999999</v>
      </c>
      <c r="D38">
        <v>119.821</v>
      </c>
      <c r="E38">
        <v>141.517</v>
      </c>
      <c r="I38">
        <f t="shared" si="1"/>
        <v>0.45697628566294979</v>
      </c>
      <c r="J38">
        <f t="shared" si="2"/>
        <v>0.62596581927072614</v>
      </c>
      <c r="K38" s="3">
        <f t="shared" si="3"/>
        <v>0.8811291044632078</v>
      </c>
      <c r="L38" s="2">
        <f t="shared" si="4"/>
        <v>0.51862579881678528</v>
      </c>
      <c r="M38" s="2">
        <f t="shared" si="5"/>
        <v>0.71041328234421497</v>
      </c>
      <c r="R38">
        <f t="shared" si="6"/>
        <v>1.0062487896797465</v>
      </c>
      <c r="S38">
        <f t="shared" si="7"/>
        <v>0.83755781818840114</v>
      </c>
    </row>
    <row r="39" spans="1:19" x14ac:dyDescent="0.3">
      <c r="A39">
        <v>21.013100000000001</v>
      </c>
      <c r="B39">
        <f t="shared" si="0"/>
        <v>13.502300000000002</v>
      </c>
      <c r="C39">
        <v>1087.586</v>
      </c>
      <c r="D39">
        <v>125.857</v>
      </c>
      <c r="E39">
        <v>145.55199999999999</v>
      </c>
      <c r="I39">
        <f t="shared" si="1"/>
        <v>0.45667941502796117</v>
      </c>
      <c r="J39">
        <f t="shared" si="2"/>
        <v>0.65749893688047822</v>
      </c>
      <c r="K39" s="3">
        <f t="shared" si="3"/>
        <v>0.90625227649560702</v>
      </c>
      <c r="L39" s="2">
        <f t="shared" si="4"/>
        <v>0.50392084728757636</v>
      </c>
      <c r="M39" s="2">
        <f t="shared" si="5"/>
        <v>0.72551424579363843</v>
      </c>
      <c r="R39">
        <f t="shared" si="6"/>
        <v>0.93965199675119537</v>
      </c>
      <c r="S39">
        <f t="shared" si="7"/>
        <v>0.877369909842726</v>
      </c>
    </row>
    <row r="40" spans="1:19" x14ac:dyDescent="0.3">
      <c r="A40">
        <v>21.5136</v>
      </c>
      <c r="B40">
        <f t="shared" si="0"/>
        <v>14.002800000000001</v>
      </c>
      <c r="C40">
        <v>1078.931</v>
      </c>
      <c r="D40">
        <v>124.786</v>
      </c>
      <c r="E40">
        <v>145.74100000000001</v>
      </c>
      <c r="I40">
        <f t="shared" si="1"/>
        <v>0.45304516418520757</v>
      </c>
      <c r="J40">
        <f t="shared" si="2"/>
        <v>0.65190384593282336</v>
      </c>
      <c r="K40" s="3">
        <f t="shared" si="3"/>
        <v>0.90742904960939241</v>
      </c>
      <c r="L40" s="2">
        <f t="shared" si="4"/>
        <v>0.49926235486975346</v>
      </c>
      <c r="M40" s="2">
        <f t="shared" si="5"/>
        <v>0.71840751209523079</v>
      </c>
      <c r="R40">
        <f t="shared" si="6"/>
        <v>0.91855429681707879</v>
      </c>
      <c r="S40">
        <f t="shared" si="7"/>
        <v>0.8586337587149192</v>
      </c>
    </row>
    <row r="41" spans="1:19" x14ac:dyDescent="0.3">
      <c r="A41">
        <v>22.0136</v>
      </c>
      <c r="B41">
        <f t="shared" si="0"/>
        <v>14.502800000000001</v>
      </c>
      <c r="C41">
        <v>1077.586</v>
      </c>
      <c r="D41">
        <v>119.161</v>
      </c>
      <c r="E41">
        <v>143.483</v>
      </c>
      <c r="I41">
        <f t="shared" si="1"/>
        <v>0.45248039614551916</v>
      </c>
      <c r="J41">
        <f t="shared" si="2"/>
        <v>0.6225178640648884</v>
      </c>
      <c r="K41" s="3">
        <f t="shared" si="3"/>
        <v>0.89337003537168291</v>
      </c>
      <c r="L41" s="2">
        <f t="shared" si="4"/>
        <v>0.50648709742908105</v>
      </c>
      <c r="M41" s="2">
        <f t="shared" si="5"/>
        <v>0.69681972689613703</v>
      </c>
      <c r="R41">
        <f t="shared" si="6"/>
        <v>0.9512742063815488</v>
      </c>
      <c r="S41">
        <f t="shared" si="7"/>
        <v>0.80171984816618458</v>
      </c>
    </row>
    <row r="42" spans="1:19" x14ac:dyDescent="0.3">
      <c r="A42">
        <v>22.5137</v>
      </c>
      <c r="B42">
        <f t="shared" si="0"/>
        <v>15.0029</v>
      </c>
      <c r="C42">
        <v>1079.586</v>
      </c>
      <c r="D42">
        <v>124.571</v>
      </c>
      <c r="E42">
        <v>145.672</v>
      </c>
      <c r="I42">
        <f t="shared" si="1"/>
        <v>0.45332019992200756</v>
      </c>
      <c r="J42">
        <f t="shared" si="2"/>
        <v>0.65078064840364902</v>
      </c>
      <c r="K42" s="3">
        <f t="shared" si="3"/>
        <v>0.90699943402816907</v>
      </c>
      <c r="L42" s="2">
        <f t="shared" si="4"/>
        <v>0.49980207584994879</v>
      </c>
      <c r="M42" s="2">
        <f t="shared" si="5"/>
        <v>0.71750943163591596</v>
      </c>
      <c r="R42">
        <f t="shared" si="6"/>
        <v>0.92099862220542617</v>
      </c>
      <c r="S42">
        <f t="shared" si="7"/>
        <v>0.85626606464831545</v>
      </c>
    </row>
    <row r="43" spans="1:19" x14ac:dyDescent="0.3">
      <c r="A43">
        <v>23.0137</v>
      </c>
      <c r="B43">
        <f t="shared" si="0"/>
        <v>15.5029</v>
      </c>
      <c r="C43">
        <v>1060.569</v>
      </c>
      <c r="D43">
        <v>121.107</v>
      </c>
      <c r="E43">
        <v>143.24100000000001</v>
      </c>
      <c r="I43">
        <f t="shared" si="1"/>
        <v>0.44533492571326749</v>
      </c>
      <c r="J43">
        <f t="shared" si="2"/>
        <v>0.63268410774755535</v>
      </c>
      <c r="K43" s="3">
        <f t="shared" si="3"/>
        <v>0.89186326768101609</v>
      </c>
      <c r="L43" s="2">
        <f t="shared" si="4"/>
        <v>0.4993309421422949</v>
      </c>
      <c r="M43" s="2">
        <f t="shared" si="5"/>
        <v>0.70939585772226377</v>
      </c>
      <c r="R43">
        <f t="shared" si="6"/>
        <v>0.9188649195605747</v>
      </c>
      <c r="S43">
        <f t="shared" si="7"/>
        <v>0.83487548586992677</v>
      </c>
    </row>
    <row r="44" spans="1:19" x14ac:dyDescent="0.3">
      <c r="A44">
        <v>23.5139</v>
      </c>
      <c r="B44">
        <f t="shared" si="0"/>
        <v>16.0031</v>
      </c>
      <c r="C44">
        <v>1057.8969999999999</v>
      </c>
      <c r="D44">
        <v>118.732</v>
      </c>
      <c r="E44">
        <v>140.89699999999999</v>
      </c>
      <c r="I44">
        <f t="shared" si="1"/>
        <v>0.44421294786787896</v>
      </c>
      <c r="J44">
        <f t="shared" si="2"/>
        <v>0.62027669318109391</v>
      </c>
      <c r="K44" s="3">
        <f t="shared" si="3"/>
        <v>0.87726879054497042</v>
      </c>
      <c r="L44" s="2">
        <f t="shared" si="4"/>
        <v>0.50635900040616777</v>
      </c>
      <c r="M44" s="2">
        <f t="shared" si="5"/>
        <v>0.707054325728116</v>
      </c>
      <c r="R44">
        <f t="shared" si="6"/>
        <v>0.9506940717994814</v>
      </c>
      <c r="S44">
        <f t="shared" si="7"/>
        <v>0.82870228462520068</v>
      </c>
    </row>
    <row r="45" spans="1:19" x14ac:dyDescent="0.3">
      <c r="A45">
        <v>24.013500000000001</v>
      </c>
      <c r="B45">
        <f t="shared" si="0"/>
        <v>16.502700000000001</v>
      </c>
      <c r="C45">
        <v>1063.914</v>
      </c>
      <c r="D45">
        <v>121.875</v>
      </c>
      <c r="E45">
        <v>142.60300000000001</v>
      </c>
      <c r="I45">
        <f t="shared" si="1"/>
        <v>0.44673949752944436</v>
      </c>
      <c r="J45">
        <f t="shared" si="2"/>
        <v>0.6366962738052574</v>
      </c>
      <c r="K45" s="3">
        <f t="shared" si="3"/>
        <v>0.88789088013289452</v>
      </c>
      <c r="L45" s="2">
        <f t="shared" si="4"/>
        <v>0.50314684780023744</v>
      </c>
      <c r="M45" s="2">
        <f t="shared" si="5"/>
        <v>0.71708842612502144</v>
      </c>
      <c r="R45">
        <f t="shared" si="6"/>
        <v>0.93614665479323456</v>
      </c>
      <c r="S45">
        <f t="shared" si="7"/>
        <v>0.85515612818347697</v>
      </c>
    </row>
    <row r="46" spans="1:19" x14ac:dyDescent="0.3">
      <c r="A46">
        <v>24.5139</v>
      </c>
      <c r="B46">
        <f t="shared" si="0"/>
        <v>17.0031</v>
      </c>
      <c r="C46">
        <v>1069.3789999999999</v>
      </c>
      <c r="D46">
        <v>124.589</v>
      </c>
      <c r="E46">
        <v>137.328</v>
      </c>
      <c r="I46">
        <f t="shared" si="1"/>
        <v>0.44903426134869889</v>
      </c>
      <c r="J46">
        <f t="shared" si="2"/>
        <v>0.65087468354562639</v>
      </c>
      <c r="K46" s="3">
        <f t="shared" si="3"/>
        <v>0.85504708026402054</v>
      </c>
      <c r="L46" s="2">
        <f t="shared" si="4"/>
        <v>0.52515735298464095</v>
      </c>
      <c r="M46" s="2">
        <f t="shared" si="5"/>
        <v>0.76121502379102912</v>
      </c>
      <c r="R46">
        <f t="shared" si="6"/>
        <v>1.0358293401191196</v>
      </c>
      <c r="S46">
        <f t="shared" si="7"/>
        <v>0.97149123200360354</v>
      </c>
    </row>
    <row r="47" spans="1:19" x14ac:dyDescent="0.3">
      <c r="A47">
        <v>25.013300000000001</v>
      </c>
      <c r="B47">
        <f t="shared" si="0"/>
        <v>17.502500000000001</v>
      </c>
      <c r="C47">
        <v>1056.328</v>
      </c>
      <c r="D47">
        <v>123.893</v>
      </c>
      <c r="E47">
        <v>136.155</v>
      </c>
      <c r="I47">
        <f t="shared" si="1"/>
        <v>0.4435541218052238</v>
      </c>
      <c r="J47">
        <f t="shared" si="2"/>
        <v>0.64723865805583392</v>
      </c>
      <c r="K47" s="3">
        <f t="shared" si="3"/>
        <v>0.8477436153832264</v>
      </c>
      <c r="L47" s="2">
        <f t="shared" si="4"/>
        <v>0.52321729560264885</v>
      </c>
      <c r="M47" s="2">
        <f t="shared" si="5"/>
        <v>0.76348396650943418</v>
      </c>
      <c r="R47">
        <f t="shared" si="6"/>
        <v>1.0270430752013877</v>
      </c>
      <c r="S47">
        <f t="shared" si="7"/>
        <v>0.9774730593066161</v>
      </c>
    </row>
    <row r="48" spans="1:19" x14ac:dyDescent="0.3">
      <c r="A48">
        <v>25.513999999999999</v>
      </c>
      <c r="B48">
        <f t="shared" si="0"/>
        <v>18.0032</v>
      </c>
      <c r="C48">
        <v>1057.914</v>
      </c>
      <c r="D48">
        <v>122.875</v>
      </c>
      <c r="E48">
        <v>142.19</v>
      </c>
      <c r="I48">
        <f t="shared" si="1"/>
        <v>0.44422008619997916</v>
      </c>
      <c r="J48">
        <f t="shared" si="2"/>
        <v>0.64192044835955697</v>
      </c>
      <c r="K48" s="3">
        <f t="shared" si="3"/>
        <v>0.88531941295832661</v>
      </c>
      <c r="L48" s="2">
        <f t="shared" si="4"/>
        <v>0.50176250480671358</v>
      </c>
      <c r="M48" s="2">
        <f t="shared" si="5"/>
        <v>0.7250721479319614</v>
      </c>
      <c r="R48">
        <f t="shared" si="6"/>
        <v>0.92987714730804005</v>
      </c>
      <c r="S48">
        <f t="shared" si="7"/>
        <v>0.87620436562773496</v>
      </c>
    </row>
    <row r="49" spans="1:19" x14ac:dyDescent="0.3">
      <c r="A49">
        <v>26.013400000000001</v>
      </c>
      <c r="B49">
        <f t="shared" si="0"/>
        <v>18.502600000000001</v>
      </c>
      <c r="C49">
        <v>1068.1030000000001</v>
      </c>
      <c r="D49">
        <v>123.429</v>
      </c>
      <c r="E49">
        <v>142.672</v>
      </c>
      <c r="I49">
        <f t="shared" si="1"/>
        <v>0.44849846653929937</v>
      </c>
      <c r="J49">
        <f t="shared" si="2"/>
        <v>0.64481464106263886</v>
      </c>
      <c r="K49" s="3">
        <f t="shared" si="3"/>
        <v>0.88832049571411764</v>
      </c>
      <c r="L49" s="2">
        <f t="shared" si="4"/>
        <v>0.50488361881007038</v>
      </c>
      <c r="M49" s="2">
        <f t="shared" si="5"/>
        <v>0.72588062999072722</v>
      </c>
      <c r="R49">
        <f t="shared" si="6"/>
        <v>0.94401226244766379</v>
      </c>
      <c r="S49">
        <f t="shared" si="7"/>
        <v>0.87833584299553769</v>
      </c>
    </row>
    <row r="50" spans="1:19" x14ac:dyDescent="0.3">
      <c r="A50">
        <v>26.5136</v>
      </c>
      <c r="B50">
        <f t="shared" si="0"/>
        <v>19.002800000000001</v>
      </c>
      <c r="C50">
        <v>1064.914</v>
      </c>
      <c r="D50">
        <v>123.893</v>
      </c>
      <c r="E50">
        <v>140.69</v>
      </c>
      <c r="I50">
        <f t="shared" si="1"/>
        <v>0.44715939941768856</v>
      </c>
      <c r="J50">
        <f t="shared" si="2"/>
        <v>0.64723865805583392</v>
      </c>
      <c r="K50" s="3">
        <f t="shared" si="3"/>
        <v>0.87597994380130095</v>
      </c>
      <c r="L50" s="2">
        <f t="shared" si="4"/>
        <v>0.51046762266867374</v>
      </c>
      <c r="M50" s="2">
        <f t="shared" si="5"/>
        <v>0.73887383225596703</v>
      </c>
      <c r="R50">
        <f t="shared" si="6"/>
        <v>0.96930148206494493</v>
      </c>
      <c r="S50">
        <f t="shared" si="7"/>
        <v>0.91259104540029934</v>
      </c>
    </row>
    <row r="51" spans="1:19" x14ac:dyDescent="0.3">
      <c r="A51">
        <v>27.013400000000001</v>
      </c>
      <c r="B51">
        <f t="shared" si="0"/>
        <v>19.502600000000001</v>
      </c>
      <c r="C51">
        <v>1049.828</v>
      </c>
      <c r="D51">
        <v>121.411</v>
      </c>
      <c r="E51">
        <v>137.08600000000001</v>
      </c>
      <c r="I51">
        <f t="shared" si="1"/>
        <v>0.44082475953163647</v>
      </c>
      <c r="J51">
        <f t="shared" si="2"/>
        <v>0.63427225681206245</v>
      </c>
      <c r="K51" s="3">
        <f t="shared" si="3"/>
        <v>0.85354031257335383</v>
      </c>
      <c r="L51" s="2">
        <f t="shared" si="4"/>
        <v>0.51646624422762888</v>
      </c>
      <c r="M51" s="2">
        <f t="shared" si="5"/>
        <v>0.74310755739208589</v>
      </c>
      <c r="R51">
        <f t="shared" si="6"/>
        <v>0.99646845075742663</v>
      </c>
      <c r="S51">
        <f t="shared" si="7"/>
        <v>0.92375281356978778</v>
      </c>
    </row>
    <row r="52" spans="1:19" x14ac:dyDescent="0.3">
      <c r="A52">
        <v>27.5136</v>
      </c>
      <c r="B52">
        <f t="shared" si="0"/>
        <v>20.002800000000001</v>
      </c>
      <c r="C52">
        <v>1064.8789999999999</v>
      </c>
      <c r="D52">
        <v>121.732</v>
      </c>
      <c r="E52">
        <v>137.328</v>
      </c>
      <c r="I52">
        <f t="shared" si="1"/>
        <v>0.44714470285159996</v>
      </c>
      <c r="J52">
        <f t="shared" si="2"/>
        <v>0.63594921684399253</v>
      </c>
      <c r="K52" s="3">
        <f t="shared" si="3"/>
        <v>0.85504708026402054</v>
      </c>
      <c r="L52" s="2">
        <f t="shared" si="4"/>
        <v>0.52294746473320641</v>
      </c>
      <c r="M52" s="2">
        <f t="shared" si="5"/>
        <v>0.74375929878343638</v>
      </c>
      <c r="R52">
        <f t="shared" si="6"/>
        <v>1.0258210466552689</v>
      </c>
      <c r="S52">
        <f t="shared" si="7"/>
        <v>0.925471060759397</v>
      </c>
    </row>
    <row r="53" spans="1:19" x14ac:dyDescent="0.3">
      <c r="A53">
        <v>28.013200000000001</v>
      </c>
      <c r="B53">
        <f t="shared" si="0"/>
        <v>20.502400000000002</v>
      </c>
      <c r="C53">
        <v>1053.31</v>
      </c>
      <c r="D53">
        <v>122.696</v>
      </c>
      <c r="E53">
        <v>137.03399999999999</v>
      </c>
      <c r="I53">
        <f t="shared" si="1"/>
        <v>0.44228685790650279</v>
      </c>
      <c r="J53">
        <f t="shared" si="2"/>
        <v>0.64098532111433737</v>
      </c>
      <c r="K53" s="3">
        <f t="shared" si="3"/>
        <v>0.85321654430924343</v>
      </c>
      <c r="L53" s="2">
        <f t="shared" si="4"/>
        <v>0.51837585763714222</v>
      </c>
      <c r="M53" s="2">
        <f t="shared" si="5"/>
        <v>0.75125749188709579</v>
      </c>
      <c r="R53">
        <f t="shared" si="6"/>
        <v>1.0051168389247955</v>
      </c>
      <c r="S53">
        <f t="shared" si="7"/>
        <v>0.94523925317205471</v>
      </c>
    </row>
    <row r="54" spans="1:19" x14ac:dyDescent="0.3">
      <c r="A54">
        <v>28.5137</v>
      </c>
      <c r="B54">
        <f t="shared" si="0"/>
        <v>21.0029</v>
      </c>
      <c r="C54">
        <v>1053.7929999999999</v>
      </c>
      <c r="D54">
        <v>123.857</v>
      </c>
      <c r="E54">
        <v>138.46600000000001</v>
      </c>
      <c r="I54">
        <f t="shared" si="1"/>
        <v>0.44248967051852472</v>
      </c>
      <c r="J54">
        <f t="shared" si="2"/>
        <v>0.64705058777187907</v>
      </c>
      <c r="K54" s="3">
        <f t="shared" si="3"/>
        <v>0.86213262419781744</v>
      </c>
      <c r="L54" s="2">
        <f t="shared" si="4"/>
        <v>0.51325011732417036</v>
      </c>
      <c r="M54" s="2">
        <f t="shared" si="5"/>
        <v>0.75052326012362158</v>
      </c>
      <c r="R54">
        <f t="shared" si="6"/>
        <v>0.98190303467998286</v>
      </c>
      <c r="S54">
        <f t="shared" si="7"/>
        <v>0.94330352884818269</v>
      </c>
    </row>
    <row r="55" spans="1:19" x14ac:dyDescent="0.3">
      <c r="A55">
        <v>29.0137</v>
      </c>
      <c r="B55">
        <f t="shared" si="0"/>
        <v>21.5029</v>
      </c>
      <c r="C55">
        <v>1048.345</v>
      </c>
      <c r="D55">
        <v>123</v>
      </c>
      <c r="E55">
        <v>136.72399999999999</v>
      </c>
      <c r="I55">
        <f t="shared" si="1"/>
        <v>0.44020204503137034</v>
      </c>
      <c r="J55">
        <f t="shared" si="2"/>
        <v>0.64257347017884436</v>
      </c>
      <c r="K55" s="3">
        <f t="shared" si="3"/>
        <v>0.85128638735012485</v>
      </c>
      <c r="L55" s="2">
        <f t="shared" si="4"/>
        <v>0.51710217803626179</v>
      </c>
      <c r="M55" s="2">
        <f t="shared" si="5"/>
        <v>0.75482643646991721</v>
      </c>
      <c r="R55">
        <f t="shared" si="6"/>
        <v>0.99934851140133063</v>
      </c>
      <c r="S55">
        <f t="shared" si="7"/>
        <v>0.9546483977816933</v>
      </c>
    </row>
    <row r="56" spans="1:19" x14ac:dyDescent="0.3">
      <c r="A56">
        <v>29.5137</v>
      </c>
      <c r="B56">
        <f t="shared" si="0"/>
        <v>22.0029</v>
      </c>
      <c r="C56">
        <v>1055.172</v>
      </c>
      <c r="D56">
        <v>119.857</v>
      </c>
      <c r="E56">
        <v>138.5</v>
      </c>
      <c r="I56">
        <f t="shared" si="1"/>
        <v>0.44306871522241353</v>
      </c>
      <c r="J56">
        <f t="shared" si="2"/>
        <v>0.62615388955468088</v>
      </c>
      <c r="K56" s="3">
        <f t="shared" si="3"/>
        <v>0.86234431883204332</v>
      </c>
      <c r="L56" s="2">
        <f t="shared" si="4"/>
        <v>0.51379559828550214</v>
      </c>
      <c r="M56" s="2">
        <f t="shared" si="5"/>
        <v>0.72610658629112546</v>
      </c>
      <c r="R56">
        <f t="shared" si="6"/>
        <v>0.98437344626591172</v>
      </c>
      <c r="S56">
        <f t="shared" si="7"/>
        <v>0.87893155286341829</v>
      </c>
    </row>
    <row r="57" spans="1:19" x14ac:dyDescent="0.3">
      <c r="A57">
        <v>30.013100000000001</v>
      </c>
      <c r="B57">
        <f t="shared" si="0"/>
        <v>22.502300000000002</v>
      </c>
      <c r="C57">
        <v>1026.9659999999999</v>
      </c>
      <c r="D57">
        <v>121.875</v>
      </c>
      <c r="E57">
        <v>137.5</v>
      </c>
      <c r="I57">
        <f t="shared" si="1"/>
        <v>0.43122496256259746</v>
      </c>
      <c r="J57">
        <f t="shared" si="2"/>
        <v>0.6366962738052574</v>
      </c>
      <c r="K57" s="3">
        <f t="shared" si="3"/>
        <v>0.85611800606069288</v>
      </c>
      <c r="L57" s="2">
        <f t="shared" si="4"/>
        <v>0.50369804105256322</v>
      </c>
      <c r="M57" s="2">
        <f t="shared" si="5"/>
        <v>0.74370153331422861</v>
      </c>
      <c r="R57">
        <f t="shared" si="6"/>
        <v>0.93864293659435727</v>
      </c>
      <c r="S57">
        <f t="shared" si="7"/>
        <v>0.92531876821447046</v>
      </c>
    </row>
    <row r="58" spans="1:19" x14ac:dyDescent="0.3">
      <c r="A58">
        <v>30.513999999999999</v>
      </c>
      <c r="B58">
        <f t="shared" si="0"/>
        <v>23.0032</v>
      </c>
      <c r="C58">
        <v>1024.7760000000001</v>
      </c>
      <c r="D58">
        <v>123.196</v>
      </c>
      <c r="E58">
        <v>137.37899999999999</v>
      </c>
      <c r="I58">
        <f t="shared" si="1"/>
        <v>0.43030537742734271</v>
      </c>
      <c r="J58">
        <f t="shared" si="2"/>
        <v>0.64359740839148705</v>
      </c>
      <c r="K58" s="3">
        <f t="shared" si="3"/>
        <v>0.85536462221535936</v>
      </c>
      <c r="L58" s="2">
        <f t="shared" si="4"/>
        <v>0.50306660604324438</v>
      </c>
      <c r="M58" s="2">
        <f t="shared" si="5"/>
        <v>0.75242462883792893</v>
      </c>
      <c r="R58">
        <f t="shared" si="6"/>
        <v>0.9357832504213075</v>
      </c>
      <c r="S58">
        <f t="shared" si="7"/>
        <v>0.94831628619814901</v>
      </c>
    </row>
    <row r="59" spans="1:19" x14ac:dyDescent="0.3">
      <c r="A59">
        <v>31.013500000000001</v>
      </c>
      <c r="B59">
        <f t="shared" si="0"/>
        <v>23.502700000000001</v>
      </c>
      <c r="C59">
        <v>1053.7239999999999</v>
      </c>
      <c r="D59">
        <v>121.232</v>
      </c>
      <c r="E59">
        <v>138</v>
      </c>
      <c r="I59">
        <f t="shared" si="1"/>
        <v>0.44246069728823589</v>
      </c>
      <c r="J59">
        <f t="shared" si="2"/>
        <v>0.63333712956684274</v>
      </c>
      <c r="K59" s="3">
        <f t="shared" si="3"/>
        <v>0.8592311624463681</v>
      </c>
      <c r="L59" s="2">
        <f t="shared" si="4"/>
        <v>0.51494954632287748</v>
      </c>
      <c r="M59" s="2">
        <f t="shared" si="5"/>
        <v>0.73709748580769696</v>
      </c>
      <c r="R59">
        <f t="shared" si="6"/>
        <v>0.98959952527356743</v>
      </c>
      <c r="S59">
        <f t="shared" si="7"/>
        <v>0.90790789602077659</v>
      </c>
    </row>
    <row r="60" spans="1:19" x14ac:dyDescent="0.3">
      <c r="A60">
        <v>31.5137</v>
      </c>
      <c r="B60">
        <f t="shared" si="0"/>
        <v>24.0029</v>
      </c>
      <c r="C60">
        <v>1038.9659999999999</v>
      </c>
      <c r="D60">
        <v>120.929</v>
      </c>
      <c r="E60">
        <v>133.74100000000001</v>
      </c>
      <c r="I60">
        <f t="shared" si="1"/>
        <v>0.43626378522152792</v>
      </c>
      <c r="J60">
        <f t="shared" si="2"/>
        <v>0.63175420467689003</v>
      </c>
      <c r="K60" s="3">
        <f t="shared" si="3"/>
        <v>0.83271329635318647</v>
      </c>
      <c r="L60" s="2">
        <f t="shared" si="4"/>
        <v>0.52390635184056344</v>
      </c>
      <c r="M60" s="2">
        <f t="shared" si="5"/>
        <v>0.75866952940900112</v>
      </c>
      <c r="R60">
        <f t="shared" si="6"/>
        <v>1.0301637203460776</v>
      </c>
      <c r="S60">
        <f t="shared" si="7"/>
        <v>0.96478030551323202</v>
      </c>
    </row>
    <row r="61" spans="1:19" x14ac:dyDescent="0.3">
      <c r="A61">
        <v>32.013199999999998</v>
      </c>
      <c r="B61">
        <f t="shared" si="0"/>
        <v>24.502399999999998</v>
      </c>
      <c r="C61">
        <v>1050.914</v>
      </c>
      <c r="D61">
        <v>117.661</v>
      </c>
      <c r="E61">
        <v>133.69</v>
      </c>
      <c r="I61">
        <f t="shared" si="1"/>
        <v>0.4412807729822697</v>
      </c>
      <c r="J61">
        <f t="shared" si="2"/>
        <v>0.61468160223343915</v>
      </c>
      <c r="K61" s="3">
        <f t="shared" si="3"/>
        <v>0.83239575440184743</v>
      </c>
      <c r="L61" s="2">
        <f t="shared" si="4"/>
        <v>0.53013337784185399</v>
      </c>
      <c r="M61" s="2">
        <f t="shared" si="5"/>
        <v>0.73844874746525369</v>
      </c>
      <c r="R61">
        <f t="shared" si="6"/>
        <v>1.0583651027406349</v>
      </c>
      <c r="S61">
        <f t="shared" si="7"/>
        <v>0.91147035434602186</v>
      </c>
    </row>
    <row r="62" spans="1:19" x14ac:dyDescent="0.3">
      <c r="A62">
        <v>32.513800000000003</v>
      </c>
      <c r="B62">
        <f t="shared" si="0"/>
        <v>25.003000000000004</v>
      </c>
      <c r="C62">
        <v>1027.2070000000001</v>
      </c>
      <c r="D62">
        <v>122.625</v>
      </c>
      <c r="E62">
        <v>134.39699999999999</v>
      </c>
      <c r="I62">
        <f t="shared" si="1"/>
        <v>0.4313261589176644</v>
      </c>
      <c r="J62">
        <f t="shared" si="2"/>
        <v>0.64061440472098208</v>
      </c>
      <c r="K62" s="3">
        <f t="shared" si="3"/>
        <v>0.83679775753119223</v>
      </c>
      <c r="L62" s="2">
        <f t="shared" si="4"/>
        <v>0.51544851194416164</v>
      </c>
      <c r="M62" s="2">
        <f t="shared" si="5"/>
        <v>0.76555463844811122</v>
      </c>
      <c r="R62">
        <f t="shared" si="6"/>
        <v>0.99185927499753779</v>
      </c>
      <c r="S62">
        <f t="shared" si="7"/>
        <v>0.9829321666864036</v>
      </c>
    </row>
    <row r="63" spans="1:19" x14ac:dyDescent="0.3">
      <c r="A63">
        <v>33.013199999999998</v>
      </c>
      <c r="B63">
        <f t="shared" si="0"/>
        <v>25.502399999999998</v>
      </c>
      <c r="C63">
        <v>1035.3620000000001</v>
      </c>
      <c r="D63">
        <v>120.875</v>
      </c>
      <c r="E63">
        <v>137.5</v>
      </c>
      <c r="I63">
        <f t="shared" si="1"/>
        <v>0.43475045881629587</v>
      </c>
      <c r="J63">
        <f t="shared" si="2"/>
        <v>0.63147209925095782</v>
      </c>
      <c r="K63" s="3">
        <f t="shared" si="3"/>
        <v>0.85611800606069288</v>
      </c>
      <c r="L63" s="2">
        <f t="shared" si="4"/>
        <v>0.50781604374464595</v>
      </c>
      <c r="M63" s="2">
        <f t="shared" si="5"/>
        <v>0.73759936688703498</v>
      </c>
      <c r="R63">
        <f t="shared" si="6"/>
        <v>0.95729282959258355</v>
      </c>
      <c r="S63">
        <f t="shared" si="7"/>
        <v>0.90923105236090673</v>
      </c>
    </row>
    <row r="64" spans="1:19" x14ac:dyDescent="0.3">
      <c r="A64">
        <v>33.514000000000003</v>
      </c>
      <c r="B64">
        <f t="shared" si="0"/>
        <v>26.003200000000003</v>
      </c>
      <c r="C64">
        <v>1020.276</v>
      </c>
      <c r="D64">
        <v>117.089</v>
      </c>
      <c r="E64">
        <v>135.845</v>
      </c>
      <c r="I64">
        <f t="shared" si="1"/>
        <v>0.42841581893024377</v>
      </c>
      <c r="J64">
        <f t="shared" si="2"/>
        <v>0.61169337438837978</v>
      </c>
      <c r="K64" s="3">
        <f t="shared" si="3"/>
        <v>0.84581345842410782</v>
      </c>
      <c r="L64" s="2">
        <f t="shared" si="4"/>
        <v>0.50651336256632074</v>
      </c>
      <c r="M64" s="2">
        <f t="shared" si="5"/>
        <v>0.72320127836233183</v>
      </c>
      <c r="R64">
        <f t="shared" si="6"/>
        <v>0.95139315773630284</v>
      </c>
      <c r="S64">
        <f t="shared" si="7"/>
        <v>0.87127201604429005</v>
      </c>
    </row>
    <row r="65" spans="1:19" x14ac:dyDescent="0.3">
      <c r="A65">
        <v>34.013599999999997</v>
      </c>
      <c r="B65">
        <f t="shared" si="0"/>
        <v>26.502799999999997</v>
      </c>
      <c r="C65">
        <v>1040.6379999999999</v>
      </c>
      <c r="D65">
        <v>117.821</v>
      </c>
      <c r="E65">
        <v>137.58600000000001</v>
      </c>
      <c r="I65">
        <f t="shared" si="1"/>
        <v>0.43696586117867225</v>
      </c>
      <c r="J65">
        <f t="shared" si="2"/>
        <v>0.61551747016212699</v>
      </c>
      <c r="K65" s="3">
        <f t="shared" si="3"/>
        <v>0.85665346895902905</v>
      </c>
      <c r="L65" s="2">
        <f t="shared" si="4"/>
        <v>0.51008473905983909</v>
      </c>
      <c r="M65" s="2">
        <f t="shared" si="5"/>
        <v>0.71851395280063379</v>
      </c>
      <c r="R65">
        <f t="shared" si="6"/>
        <v>0.96756745251968268</v>
      </c>
      <c r="S65">
        <f t="shared" si="7"/>
        <v>0.85891437836766182</v>
      </c>
    </row>
    <row r="66" spans="1:19" x14ac:dyDescent="0.3">
      <c r="A66">
        <v>34.513500000000001</v>
      </c>
      <c r="B66">
        <f t="shared" si="0"/>
        <v>27.002700000000001</v>
      </c>
      <c r="C66">
        <v>1021.5170000000001</v>
      </c>
      <c r="D66">
        <v>120.446</v>
      </c>
      <c r="E66">
        <v>134.13800000000001</v>
      </c>
      <c r="I66">
        <f t="shared" si="1"/>
        <v>0.42893691717355487</v>
      </c>
      <c r="J66">
        <f t="shared" si="2"/>
        <v>0.62923092836716332</v>
      </c>
      <c r="K66" s="3">
        <f t="shared" si="3"/>
        <v>0.83518514252341258</v>
      </c>
      <c r="L66" s="2">
        <f t="shared" si="4"/>
        <v>0.51358303127564386</v>
      </c>
      <c r="M66" s="2">
        <f t="shared" si="5"/>
        <v>0.75340292389064412</v>
      </c>
      <c r="R66">
        <f t="shared" si="6"/>
        <v>0.98341075821414536</v>
      </c>
      <c r="S66">
        <f t="shared" si="7"/>
        <v>0.95089545754930915</v>
      </c>
    </row>
    <row r="67" spans="1:19" x14ac:dyDescent="0.3">
      <c r="A67">
        <v>35.013500000000001</v>
      </c>
      <c r="B67">
        <f t="shared" ref="B67:B76" si="8">A67-$A$12</f>
        <v>27.502700000000001</v>
      </c>
      <c r="C67">
        <v>1016.207</v>
      </c>
      <c r="D67">
        <v>121.679</v>
      </c>
      <c r="E67">
        <v>133.46600000000001</v>
      </c>
      <c r="I67">
        <f t="shared" ref="I67:I76" si="9">C67/$F$2</f>
        <v>0.42670723814697809</v>
      </c>
      <c r="J67">
        <f t="shared" ref="J67:J76" si="10">D67/$G$2</f>
        <v>0.63567233559261471</v>
      </c>
      <c r="K67" s="3">
        <f t="shared" ref="K67:K76" si="11">E67/$H$2</f>
        <v>0.83100106034106502</v>
      </c>
      <c r="L67" s="2">
        <f t="shared" ref="L67:L76" si="12">I67/K67</f>
        <v>0.51348579263165561</v>
      </c>
      <c r="M67" s="2">
        <f t="shared" ref="M67:M76" si="13">J67/K67</f>
        <v>0.76494768289671955</v>
      </c>
      <c r="R67">
        <f t="shared" ref="R67:R76" si="14">(L67-$L$12)/($N$12-$L$12)</f>
        <v>0.98297037717477398</v>
      </c>
      <c r="S67">
        <f t="shared" ref="S67:S76" si="15">(M67-$M$12)/($O$12-$M$12)</f>
        <v>0.98133199262313686</v>
      </c>
    </row>
    <row r="68" spans="1:19" x14ac:dyDescent="0.3">
      <c r="A68">
        <v>35.513500000000001</v>
      </c>
      <c r="B68">
        <f t="shared" si="8"/>
        <v>28.002700000000001</v>
      </c>
      <c r="C68">
        <v>1027.81</v>
      </c>
      <c r="D68">
        <v>117.232</v>
      </c>
      <c r="E68">
        <v>131.06899999999999</v>
      </c>
      <c r="I68">
        <f t="shared" si="9"/>
        <v>0.43157935975627559</v>
      </c>
      <c r="J68">
        <f t="shared" si="10"/>
        <v>0.61244043134964454</v>
      </c>
      <c r="K68" s="3">
        <f t="shared" si="11"/>
        <v>0.81607658862813781</v>
      </c>
      <c r="L68" s="2">
        <f t="shared" si="12"/>
        <v>0.5288466373992915</v>
      </c>
      <c r="M68" s="2">
        <f t="shared" si="13"/>
        <v>0.75046930629291175</v>
      </c>
      <c r="R68">
        <f t="shared" si="14"/>
        <v>1.0525376243816678</v>
      </c>
      <c r="S68">
        <f t="shared" si="15"/>
        <v>0.94316128528468313</v>
      </c>
    </row>
    <row r="69" spans="1:19" x14ac:dyDescent="0.3">
      <c r="A69">
        <v>36.013500000000001</v>
      </c>
      <c r="B69">
        <f t="shared" si="8"/>
        <v>28.502700000000001</v>
      </c>
      <c r="C69">
        <v>1010.552</v>
      </c>
      <c r="D69">
        <v>119.732</v>
      </c>
      <c r="E69">
        <v>131.91399999999999</v>
      </c>
      <c r="I69">
        <f t="shared" si="9"/>
        <v>0.42433269296895715</v>
      </c>
      <c r="J69">
        <f t="shared" si="10"/>
        <v>0.62550086773539348</v>
      </c>
      <c r="K69" s="3">
        <f t="shared" si="11"/>
        <v>0.82133782291992896</v>
      </c>
      <c r="L69" s="2">
        <f t="shared" si="12"/>
        <v>0.51663600668043841</v>
      </c>
      <c r="M69" s="2">
        <f t="shared" si="13"/>
        <v>0.76156345206614529</v>
      </c>
      <c r="R69">
        <f t="shared" si="14"/>
        <v>0.99723728259575961</v>
      </c>
      <c r="S69">
        <f t="shared" si="15"/>
        <v>0.97240982626882</v>
      </c>
    </row>
    <row r="70" spans="1:19" x14ac:dyDescent="0.3">
      <c r="A70">
        <v>36.513599999999997</v>
      </c>
      <c r="B70">
        <f t="shared" si="8"/>
        <v>29.002799999999997</v>
      </c>
      <c r="C70">
        <v>1011.138</v>
      </c>
      <c r="D70">
        <v>122.107</v>
      </c>
      <c r="E70">
        <v>131.60300000000001</v>
      </c>
      <c r="I70">
        <f t="shared" si="9"/>
        <v>0.42457875547546825</v>
      </c>
      <c r="J70">
        <f t="shared" si="10"/>
        <v>0.63790828230185492</v>
      </c>
      <c r="K70" s="3">
        <f t="shared" si="11"/>
        <v>0.81940143964803902</v>
      </c>
      <c r="L70" s="2">
        <f t="shared" si="12"/>
        <v>0.51815719979432717</v>
      </c>
      <c r="M70" s="2">
        <f t="shared" si="13"/>
        <v>0.77850520079127317</v>
      </c>
      <c r="R70">
        <f t="shared" si="14"/>
        <v>1.0041265662910346</v>
      </c>
      <c r="S70">
        <f t="shared" si="15"/>
        <v>1.0170749534501644</v>
      </c>
    </row>
    <row r="71" spans="1:19" x14ac:dyDescent="0.3">
      <c r="A71">
        <v>37.013599999999997</v>
      </c>
      <c r="B71">
        <f t="shared" si="8"/>
        <v>29.502799999999997</v>
      </c>
      <c r="C71">
        <v>1011.103</v>
      </c>
      <c r="D71">
        <v>124.875</v>
      </c>
      <c r="E71">
        <v>128.655</v>
      </c>
      <c r="I71">
        <f t="shared" si="9"/>
        <v>0.42456405890937965</v>
      </c>
      <c r="J71">
        <f t="shared" si="10"/>
        <v>0.65236879746815601</v>
      </c>
      <c r="K71" s="3">
        <f t="shared" si="11"/>
        <v>0.80104626959809777</v>
      </c>
      <c r="L71" s="2">
        <f t="shared" si="12"/>
        <v>0.53001190445889301</v>
      </c>
      <c r="M71" s="2">
        <f t="shared" si="13"/>
        <v>0.81439589974679438</v>
      </c>
      <c r="R71">
        <f t="shared" si="14"/>
        <v>1.0578149657534226</v>
      </c>
      <c r="S71">
        <f t="shared" si="15"/>
        <v>1.1116969821134777</v>
      </c>
    </row>
    <row r="72" spans="1:19" x14ac:dyDescent="0.3">
      <c r="A72">
        <v>37.513599999999997</v>
      </c>
      <c r="B72">
        <f t="shared" si="8"/>
        <v>30.002799999999997</v>
      </c>
      <c r="C72">
        <v>1006.776</v>
      </c>
      <c r="D72">
        <v>118.625</v>
      </c>
      <c r="E72">
        <v>132.37899999999999</v>
      </c>
      <c r="I72">
        <f t="shared" si="9"/>
        <v>0.42274714343894698</v>
      </c>
      <c r="J72">
        <f t="shared" si="10"/>
        <v>0.61971770650378388</v>
      </c>
      <c r="K72" s="3">
        <f t="shared" si="11"/>
        <v>0.82423305835860694</v>
      </c>
      <c r="L72" s="2">
        <f t="shared" si="12"/>
        <v>0.51289758297345356</v>
      </c>
      <c r="M72" s="2">
        <f t="shared" si="13"/>
        <v>0.75187193745650205</v>
      </c>
      <c r="R72">
        <f t="shared" si="14"/>
        <v>0.98030645293619045</v>
      </c>
      <c r="S72">
        <f t="shared" si="15"/>
        <v>0.94685917387497709</v>
      </c>
    </row>
    <row r="73" spans="1:19" x14ac:dyDescent="0.3">
      <c r="A73">
        <v>38.013599999999997</v>
      </c>
      <c r="B73">
        <f t="shared" si="8"/>
        <v>30.502799999999997</v>
      </c>
      <c r="C73">
        <v>984.51700000000005</v>
      </c>
      <c r="D73">
        <v>119.482</v>
      </c>
      <c r="E73">
        <v>132.72399999999999</v>
      </c>
      <c r="I73">
        <f t="shared" si="9"/>
        <v>0.41340054730851927</v>
      </c>
      <c r="J73">
        <f t="shared" si="10"/>
        <v>0.62419482409681859</v>
      </c>
      <c r="K73" s="3">
        <f t="shared" si="11"/>
        <v>0.82638113626472287</v>
      </c>
      <c r="L73" s="2">
        <f t="shared" si="12"/>
        <v>0.50025409483220651</v>
      </c>
      <c r="M73" s="2">
        <f t="shared" si="13"/>
        <v>0.75533527655072719</v>
      </c>
      <c r="R73">
        <f t="shared" si="14"/>
        <v>0.92304575677104495</v>
      </c>
      <c r="S73">
        <f t="shared" si="15"/>
        <v>0.95598990079257407</v>
      </c>
    </row>
    <row r="74" spans="1:19" x14ac:dyDescent="0.3">
      <c r="A74">
        <v>38.5137</v>
      </c>
      <c r="B74">
        <f t="shared" si="8"/>
        <v>31.0029</v>
      </c>
      <c r="C74">
        <v>1008.672</v>
      </c>
      <c r="D74">
        <v>119.857</v>
      </c>
      <c r="E74">
        <v>129.53399999999999</v>
      </c>
      <c r="I74">
        <f t="shared" si="9"/>
        <v>0.42354327741905806</v>
      </c>
      <c r="J74">
        <f t="shared" si="10"/>
        <v>0.62615388955468088</v>
      </c>
      <c r="K74" s="3">
        <f t="shared" si="11"/>
        <v>0.8065191985241148</v>
      </c>
      <c r="L74" s="2">
        <f t="shared" si="12"/>
        <v>0.52514965321857021</v>
      </c>
      <c r="M74" s="2">
        <f t="shared" si="13"/>
        <v>0.77636575880711534</v>
      </c>
      <c r="R74">
        <f t="shared" si="14"/>
        <v>1.0357944688905003</v>
      </c>
      <c r="S74">
        <f t="shared" si="15"/>
        <v>1.0114345411249723</v>
      </c>
    </row>
    <row r="75" spans="1:19" x14ac:dyDescent="0.3">
      <c r="A75">
        <v>39.0137</v>
      </c>
      <c r="B75">
        <f t="shared" si="8"/>
        <v>31.5029</v>
      </c>
      <c r="C75">
        <v>997.56899999999996</v>
      </c>
      <c r="D75">
        <v>123.661</v>
      </c>
      <c r="E75">
        <v>129.70699999999999</v>
      </c>
      <c r="I75">
        <f t="shared" si="9"/>
        <v>0.41888110675388263</v>
      </c>
      <c r="J75">
        <f t="shared" si="10"/>
        <v>0.64602664955923639</v>
      </c>
      <c r="K75" s="3">
        <f t="shared" si="11"/>
        <v>0.80759635063355839</v>
      </c>
      <c r="L75" s="2">
        <f t="shared" si="12"/>
        <v>0.51867632441041978</v>
      </c>
      <c r="M75" s="2">
        <f t="shared" si="13"/>
        <v>0.79993755426510937</v>
      </c>
      <c r="R75">
        <f t="shared" si="14"/>
        <v>1.0064776134531663</v>
      </c>
      <c r="S75">
        <f t="shared" si="15"/>
        <v>1.0735790847081492</v>
      </c>
    </row>
    <row r="76" spans="1:19" x14ac:dyDescent="0.3">
      <c r="A76">
        <v>39.5137</v>
      </c>
      <c r="B76">
        <f t="shared" si="8"/>
        <v>32.002899999999997</v>
      </c>
      <c r="C76">
        <v>980.94799999999998</v>
      </c>
      <c r="D76">
        <v>120.964</v>
      </c>
      <c r="E76">
        <v>129.20699999999999</v>
      </c>
      <c r="I76">
        <f t="shared" si="9"/>
        <v>0.41190191746937571</v>
      </c>
      <c r="J76">
        <f t="shared" si="10"/>
        <v>0.63193705078629048</v>
      </c>
      <c r="K76" s="3">
        <f t="shared" si="11"/>
        <v>0.80448319424788317</v>
      </c>
      <c r="L76" s="2">
        <f t="shared" si="12"/>
        <v>0.51200810708602262</v>
      </c>
      <c r="M76" s="2">
        <f t="shared" si="13"/>
        <v>0.785519269146564</v>
      </c>
      <c r="R76">
        <f t="shared" si="14"/>
        <v>0.97627813353829818</v>
      </c>
      <c r="S76">
        <f t="shared" si="15"/>
        <v>1.0355668022097348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FS_40kDa_1</vt:lpstr>
      <vt:lpstr>FS_40kDa_2</vt:lpstr>
      <vt:lpstr>FS_40kDa_3</vt:lpstr>
      <vt:lpstr>FS_250kDa_1</vt:lpstr>
      <vt:lpstr>FS_250kDa_2</vt:lpstr>
      <vt:lpstr>FS_250kDa_3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2025-12-31T13:57:51Z</dcterms:created>
  <dcterms:modified xsi:type="dcterms:W3CDTF">2026-01-14T22:45:49Z</dcterms:modified>
</cp:coreProperties>
</file>