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\Desktop\Confocal\FRAP\01142026\"/>
    </mc:Choice>
  </mc:AlternateContent>
  <xr:revisionPtr revIDLastSave="0" documentId="8_{C06D50F0-D34B-4406-AF80-4EC48E2AF3EF}" xr6:coauthVersionLast="45" xr6:coauthVersionMax="45" xr10:uidLastSave="{00000000-0000-0000-0000-000000000000}"/>
  <bookViews>
    <workbookView xWindow="28680" yWindow="-120" windowWidth="29040" windowHeight="15990" activeTab="5" xr2:uid="{9886C226-2E2E-491F-AF01-5A5B7B16BB5C}"/>
  </bookViews>
  <sheets>
    <sheet name="WS_250kDa_1" sheetId="4" r:id="rId1"/>
    <sheet name="WS_250kDa_2" sheetId="5" r:id="rId2"/>
    <sheet name="WS_250kDa_3" sheetId="6" r:id="rId3"/>
    <sheet name="WS_40kDa_1" sheetId="1" r:id="rId4"/>
    <sheet name="WS_40kDa_2" sheetId="2" r:id="rId5"/>
    <sheet name="WS_40kDa_3" sheetId="9" r:id="rId6"/>
  </sheets>
  <externalReferences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76" i="9" l="1"/>
  <c r="B75" i="9"/>
  <c r="K74" i="9"/>
  <c r="B74" i="9"/>
  <c r="B73" i="9"/>
  <c r="J72" i="9"/>
  <c r="B72" i="9"/>
  <c r="B71" i="9"/>
  <c r="J70" i="9"/>
  <c r="B70" i="9"/>
  <c r="B69" i="9"/>
  <c r="B68" i="9"/>
  <c r="B67" i="9"/>
  <c r="B66" i="9"/>
  <c r="B65" i="9"/>
  <c r="J64" i="9"/>
  <c r="B64" i="9"/>
  <c r="B63" i="9"/>
  <c r="J62" i="9"/>
  <c r="B62" i="9"/>
  <c r="B61" i="9"/>
  <c r="B60" i="9"/>
  <c r="B59" i="9"/>
  <c r="B58" i="9"/>
  <c r="B57" i="9"/>
  <c r="J56" i="9"/>
  <c r="B56" i="9"/>
  <c r="B55" i="9"/>
  <c r="J54" i="9"/>
  <c r="B54" i="9"/>
  <c r="B53" i="9"/>
  <c r="B52" i="9"/>
  <c r="B51" i="9"/>
  <c r="K50" i="9"/>
  <c r="B50" i="9"/>
  <c r="B49" i="9"/>
  <c r="K48" i="9"/>
  <c r="J48" i="9"/>
  <c r="B48" i="9"/>
  <c r="B47" i="9"/>
  <c r="J46" i="9"/>
  <c r="B46" i="9"/>
  <c r="B45" i="9"/>
  <c r="B44" i="9"/>
  <c r="B43" i="9"/>
  <c r="B42" i="9"/>
  <c r="B41" i="9"/>
  <c r="J40" i="9"/>
  <c r="B40" i="9"/>
  <c r="B39" i="9"/>
  <c r="J38" i="9"/>
  <c r="B38" i="9"/>
  <c r="B37" i="9"/>
  <c r="B36" i="9"/>
  <c r="B35" i="9"/>
  <c r="K34" i="9"/>
  <c r="B34" i="9"/>
  <c r="I33" i="9"/>
  <c r="B33" i="9"/>
  <c r="B32" i="9"/>
  <c r="J31" i="9"/>
  <c r="B31" i="9"/>
  <c r="J30" i="9"/>
  <c r="I30" i="9"/>
  <c r="B30" i="9"/>
  <c r="I29" i="9"/>
  <c r="B29" i="9"/>
  <c r="B28" i="9"/>
  <c r="J27" i="9"/>
  <c r="B27" i="9"/>
  <c r="J26" i="9"/>
  <c r="I26" i="9"/>
  <c r="B26" i="9"/>
  <c r="I25" i="9"/>
  <c r="B25" i="9"/>
  <c r="B24" i="9"/>
  <c r="J23" i="9"/>
  <c r="B23" i="9"/>
  <c r="J22" i="9"/>
  <c r="I22" i="9"/>
  <c r="B22" i="9"/>
  <c r="I21" i="9"/>
  <c r="B21" i="9"/>
  <c r="B20" i="9"/>
  <c r="J19" i="9"/>
  <c r="B19" i="9"/>
  <c r="J18" i="9"/>
  <c r="I18" i="9"/>
  <c r="B18" i="9"/>
  <c r="I17" i="9"/>
  <c r="B17" i="9"/>
  <c r="B16" i="9"/>
  <c r="J15" i="9"/>
  <c r="B15" i="9"/>
  <c r="J14" i="9"/>
  <c r="I14" i="9"/>
  <c r="B14" i="9"/>
  <c r="I13" i="9"/>
  <c r="B13" i="9"/>
  <c r="I12" i="9"/>
  <c r="B12" i="9"/>
  <c r="I11" i="9"/>
  <c r="B11" i="9"/>
  <c r="I10" i="9"/>
  <c r="B10" i="9"/>
  <c r="I9" i="9"/>
  <c r="B9" i="9"/>
  <c r="I8" i="9"/>
  <c r="B8" i="9"/>
  <c r="I7" i="9"/>
  <c r="B7" i="9"/>
  <c r="I6" i="9"/>
  <c r="B6" i="9"/>
  <c r="I5" i="9"/>
  <c r="B5" i="9"/>
  <c r="I4" i="9"/>
  <c r="B4" i="9"/>
  <c r="I3" i="9"/>
  <c r="B3" i="9"/>
  <c r="I2" i="9"/>
  <c r="H2" i="9"/>
  <c r="G2" i="9"/>
  <c r="J76" i="9" s="1"/>
  <c r="F2" i="9"/>
  <c r="B2" i="9"/>
  <c r="L26" i="9" l="1"/>
  <c r="K75" i="9"/>
  <c r="K73" i="9"/>
  <c r="K71" i="9"/>
  <c r="K69" i="9"/>
  <c r="K67" i="9"/>
  <c r="K65" i="9"/>
  <c r="K63" i="9"/>
  <c r="K61" i="9"/>
  <c r="K59" i="9"/>
  <c r="K57" i="9"/>
  <c r="K55" i="9"/>
  <c r="K53" i="9"/>
  <c r="K51" i="9"/>
  <c r="K49" i="9"/>
  <c r="K47" i="9"/>
  <c r="K45" i="9"/>
  <c r="K43" i="9"/>
  <c r="K41" i="9"/>
  <c r="K39" i="9"/>
  <c r="K37" i="9"/>
  <c r="K35" i="9"/>
  <c r="K76" i="9"/>
  <c r="K68" i="9"/>
  <c r="K60" i="9"/>
  <c r="K52" i="9"/>
  <c r="K44" i="9"/>
  <c r="K36" i="9"/>
  <c r="K33" i="9"/>
  <c r="L33" i="9" s="1"/>
  <c r="K29" i="9"/>
  <c r="L29" i="9" s="1"/>
  <c r="K25" i="9"/>
  <c r="K21" i="9"/>
  <c r="K17" i="9"/>
  <c r="L17" i="9" s="1"/>
  <c r="K13" i="9"/>
  <c r="L13" i="9" s="1"/>
  <c r="K12" i="9"/>
  <c r="L12" i="9" s="1"/>
  <c r="K11" i="9"/>
  <c r="L11" i="9" s="1"/>
  <c r="K10" i="9"/>
  <c r="L10" i="9" s="1"/>
  <c r="K9" i="9"/>
  <c r="L9" i="9" s="1"/>
  <c r="K8" i="9"/>
  <c r="L8" i="9" s="1"/>
  <c r="K7" i="9"/>
  <c r="L7" i="9" s="1"/>
  <c r="K6" i="9"/>
  <c r="L6" i="9" s="1"/>
  <c r="K5" i="9"/>
  <c r="L5" i="9" s="1"/>
  <c r="K4" i="9"/>
  <c r="L4" i="9" s="1"/>
  <c r="K3" i="9"/>
  <c r="L3" i="9" s="1"/>
  <c r="K2" i="9"/>
  <c r="L2" i="9" s="1"/>
  <c r="K64" i="9"/>
  <c r="M64" i="9" s="1"/>
  <c r="K70" i="9"/>
  <c r="K62" i="9"/>
  <c r="K54" i="9"/>
  <c r="K46" i="9"/>
  <c r="M46" i="9" s="1"/>
  <c r="K38" i="9"/>
  <c r="M38" i="9" s="1"/>
  <c r="K30" i="9"/>
  <c r="L30" i="9" s="1"/>
  <c r="K26" i="9"/>
  <c r="M26" i="9" s="1"/>
  <c r="K22" i="9"/>
  <c r="M22" i="9" s="1"/>
  <c r="K18" i="9"/>
  <c r="L18" i="9" s="1"/>
  <c r="K14" i="9"/>
  <c r="L14" i="9" s="1"/>
  <c r="K72" i="9"/>
  <c r="M14" i="9"/>
  <c r="K16" i="9"/>
  <c r="M18" i="9"/>
  <c r="M19" i="9"/>
  <c r="K20" i="9"/>
  <c r="K24" i="9"/>
  <c r="K28" i="9"/>
  <c r="M30" i="9"/>
  <c r="K32" i="9"/>
  <c r="K40" i="9"/>
  <c r="K56" i="9"/>
  <c r="M56" i="9" s="1"/>
  <c r="K66" i="9"/>
  <c r="M72" i="9"/>
  <c r="M76" i="9"/>
  <c r="L21" i="9"/>
  <c r="L25" i="9"/>
  <c r="M40" i="9"/>
  <c r="M54" i="9"/>
  <c r="K15" i="9"/>
  <c r="M15" i="9" s="1"/>
  <c r="K19" i="9"/>
  <c r="K23" i="9"/>
  <c r="M23" i="9" s="1"/>
  <c r="K27" i="9"/>
  <c r="M27" i="9" s="1"/>
  <c r="K31" i="9"/>
  <c r="M31" i="9" s="1"/>
  <c r="K42" i="9"/>
  <c r="M48" i="9"/>
  <c r="K58" i="9"/>
  <c r="M62" i="9"/>
  <c r="M70" i="9"/>
  <c r="I76" i="9"/>
  <c r="L76" i="9" s="1"/>
  <c r="I75" i="9"/>
  <c r="I74" i="9"/>
  <c r="L74" i="9" s="1"/>
  <c r="I73" i="9"/>
  <c r="L73" i="9" s="1"/>
  <c r="I72" i="9"/>
  <c r="L72" i="9" s="1"/>
  <c r="I71" i="9"/>
  <c r="L71" i="9" s="1"/>
  <c r="I70" i="9"/>
  <c r="L70" i="9" s="1"/>
  <c r="I69" i="9"/>
  <c r="L69" i="9" s="1"/>
  <c r="I68" i="9"/>
  <c r="L68" i="9" s="1"/>
  <c r="I67" i="9"/>
  <c r="I66" i="9"/>
  <c r="L66" i="9" s="1"/>
  <c r="I65" i="9"/>
  <c r="L65" i="9" s="1"/>
  <c r="I64" i="9"/>
  <c r="L64" i="9" s="1"/>
  <c r="I63" i="9"/>
  <c r="L63" i="9" s="1"/>
  <c r="I62" i="9"/>
  <c r="L62" i="9" s="1"/>
  <c r="I61" i="9"/>
  <c r="L61" i="9" s="1"/>
  <c r="I60" i="9"/>
  <c r="L60" i="9" s="1"/>
  <c r="I59" i="9"/>
  <c r="I58" i="9"/>
  <c r="L58" i="9" s="1"/>
  <c r="I57" i="9"/>
  <c r="L57" i="9" s="1"/>
  <c r="I56" i="9"/>
  <c r="L56" i="9" s="1"/>
  <c r="I55" i="9"/>
  <c r="L55" i="9" s="1"/>
  <c r="I54" i="9"/>
  <c r="I53" i="9"/>
  <c r="L53" i="9" s="1"/>
  <c r="I52" i="9"/>
  <c r="L52" i="9" s="1"/>
  <c r="I51" i="9"/>
  <c r="I50" i="9"/>
  <c r="L50" i="9" s="1"/>
  <c r="I49" i="9"/>
  <c r="L49" i="9" s="1"/>
  <c r="I48" i="9"/>
  <c r="L48" i="9" s="1"/>
  <c r="I47" i="9"/>
  <c r="L47" i="9" s="1"/>
  <c r="I46" i="9"/>
  <c r="I45" i="9"/>
  <c r="L45" i="9" s="1"/>
  <c r="I44" i="9"/>
  <c r="L44" i="9" s="1"/>
  <c r="I43" i="9"/>
  <c r="I42" i="9"/>
  <c r="L42" i="9" s="1"/>
  <c r="I41" i="9"/>
  <c r="L41" i="9" s="1"/>
  <c r="I40" i="9"/>
  <c r="L40" i="9" s="1"/>
  <c r="I39" i="9"/>
  <c r="L39" i="9" s="1"/>
  <c r="I38" i="9"/>
  <c r="L38" i="9" s="1"/>
  <c r="I37" i="9"/>
  <c r="L37" i="9" s="1"/>
  <c r="I36" i="9"/>
  <c r="L36" i="9" s="1"/>
  <c r="I35" i="9"/>
  <c r="I34" i="9"/>
  <c r="L34" i="9" s="1"/>
  <c r="J2" i="9"/>
  <c r="J3" i="9"/>
  <c r="M3" i="9" s="1"/>
  <c r="J4" i="9"/>
  <c r="M4" i="9" s="1"/>
  <c r="J5" i="9"/>
  <c r="J6" i="9"/>
  <c r="M6" i="9" s="1"/>
  <c r="J7" i="9"/>
  <c r="M7" i="9" s="1"/>
  <c r="J8" i="9"/>
  <c r="M8" i="9" s="1"/>
  <c r="J9" i="9"/>
  <c r="J10" i="9"/>
  <c r="M10" i="9" s="1"/>
  <c r="J11" i="9"/>
  <c r="M11" i="9" s="1"/>
  <c r="J12" i="9"/>
  <c r="M12" i="9" s="1"/>
  <c r="J13" i="9"/>
  <c r="I16" i="9"/>
  <c r="L16" i="9" s="1"/>
  <c r="J17" i="9"/>
  <c r="M17" i="9" s="1"/>
  <c r="I20" i="9"/>
  <c r="L20" i="9" s="1"/>
  <c r="J21" i="9"/>
  <c r="M21" i="9" s="1"/>
  <c r="I24" i="9"/>
  <c r="J25" i="9"/>
  <c r="M25" i="9" s="1"/>
  <c r="I28" i="9"/>
  <c r="J29" i="9"/>
  <c r="I32" i="9"/>
  <c r="L32" i="9" s="1"/>
  <c r="J33" i="9"/>
  <c r="M33" i="9" s="1"/>
  <c r="J36" i="9"/>
  <c r="M36" i="9" s="1"/>
  <c r="J44" i="9"/>
  <c r="M44" i="9" s="1"/>
  <c r="J52" i="9"/>
  <c r="J60" i="9"/>
  <c r="M60" i="9" s="1"/>
  <c r="J68" i="9"/>
  <c r="M68" i="9" s="1"/>
  <c r="J75" i="9"/>
  <c r="J73" i="9"/>
  <c r="M73" i="9" s="1"/>
  <c r="J71" i="9"/>
  <c r="M71" i="9" s="1"/>
  <c r="J69" i="9"/>
  <c r="J67" i="9"/>
  <c r="J65" i="9"/>
  <c r="M65" i="9" s="1"/>
  <c r="J63" i="9"/>
  <c r="M63" i="9" s="1"/>
  <c r="J61" i="9"/>
  <c r="J59" i="9"/>
  <c r="J57" i="9"/>
  <c r="M57" i="9" s="1"/>
  <c r="J55" i="9"/>
  <c r="M55" i="9" s="1"/>
  <c r="J53" i="9"/>
  <c r="J51" i="9"/>
  <c r="J49" i="9"/>
  <c r="M49" i="9" s="1"/>
  <c r="J47" i="9"/>
  <c r="M47" i="9" s="1"/>
  <c r="J45" i="9"/>
  <c r="J43" i="9"/>
  <c r="J41" i="9"/>
  <c r="M41" i="9" s="1"/>
  <c r="J39" i="9"/>
  <c r="M39" i="9" s="1"/>
  <c r="J37" i="9"/>
  <c r="J35" i="9"/>
  <c r="I15" i="9"/>
  <c r="L15" i="9" s="1"/>
  <c r="J16" i="9"/>
  <c r="M16" i="9" s="1"/>
  <c r="I19" i="9"/>
  <c r="L19" i="9" s="1"/>
  <c r="J20" i="9"/>
  <c r="M20" i="9" s="1"/>
  <c r="I23" i="9"/>
  <c r="L23" i="9" s="1"/>
  <c r="J24" i="9"/>
  <c r="M24" i="9" s="1"/>
  <c r="I27" i="9"/>
  <c r="J28" i="9"/>
  <c r="I31" i="9"/>
  <c r="L31" i="9" s="1"/>
  <c r="J32" i="9"/>
  <c r="M32" i="9" s="1"/>
  <c r="J34" i="9"/>
  <c r="M34" i="9" s="1"/>
  <c r="J42" i="9"/>
  <c r="M42" i="9" s="1"/>
  <c r="J50" i="9"/>
  <c r="M50" i="9" s="1"/>
  <c r="J58" i="9"/>
  <c r="M58" i="9" s="1"/>
  <c r="J66" i="9"/>
  <c r="M66" i="9" s="1"/>
  <c r="J74" i="9"/>
  <c r="M74" i="9" s="1"/>
  <c r="L22" i="9" l="1"/>
  <c r="M28" i="9"/>
  <c r="M35" i="9"/>
  <c r="M43" i="9"/>
  <c r="M51" i="9"/>
  <c r="M59" i="9"/>
  <c r="M67" i="9"/>
  <c r="M75" i="9"/>
  <c r="M29" i="9"/>
  <c r="M13" i="9"/>
  <c r="M9" i="9"/>
  <c r="M5" i="9"/>
  <c r="L46" i="9"/>
  <c r="L54" i="9"/>
  <c r="M52" i="9"/>
  <c r="L24" i="9"/>
  <c r="M2" i="9"/>
  <c r="L27" i="9"/>
  <c r="M37" i="9"/>
  <c r="M45" i="9"/>
  <c r="M53" i="9"/>
  <c r="M61" i="9"/>
  <c r="M69" i="9"/>
  <c r="O12" i="9" s="1"/>
  <c r="L28" i="9"/>
  <c r="L35" i="9"/>
  <c r="L43" i="9"/>
  <c r="L51" i="9"/>
  <c r="L59" i="9"/>
  <c r="L67" i="9"/>
  <c r="L75" i="9"/>
  <c r="Q12" i="9" l="1"/>
  <c r="S31" i="9"/>
  <c r="S38" i="9"/>
  <c r="S64" i="9"/>
  <c r="S55" i="9"/>
  <c r="S7" i="9"/>
  <c r="S54" i="9"/>
  <c r="S20" i="9"/>
  <c r="S63" i="9"/>
  <c r="S3" i="9"/>
  <c r="S65" i="9"/>
  <c r="S40" i="9"/>
  <c r="S36" i="9"/>
  <c r="S8" i="9"/>
  <c r="S26" i="9"/>
  <c r="S33" i="9"/>
  <c r="S30" i="9"/>
  <c r="S42" i="9"/>
  <c r="S49" i="9"/>
  <c r="S10" i="9"/>
  <c r="S66" i="9"/>
  <c r="S46" i="9"/>
  <c r="S17" i="9"/>
  <c r="S70" i="9"/>
  <c r="S34" i="9"/>
  <c r="S68" i="9"/>
  <c r="S15" i="9"/>
  <c r="S23" i="9"/>
  <c r="S32" i="9"/>
  <c r="S71" i="9"/>
  <c r="S76" i="9"/>
  <c r="S74" i="9"/>
  <c r="S21" i="9"/>
  <c r="S62" i="9"/>
  <c r="S58" i="9"/>
  <c r="S60" i="9"/>
  <c r="S48" i="9"/>
  <c r="S50" i="9"/>
  <c r="S41" i="9"/>
  <c r="S73" i="9"/>
  <c r="S4" i="9"/>
  <c r="S22" i="9"/>
  <c r="S16" i="9"/>
  <c r="S24" i="9"/>
  <c r="S25" i="9"/>
  <c r="S72" i="9"/>
  <c r="S27" i="9"/>
  <c r="S56" i="9"/>
  <c r="S47" i="9"/>
  <c r="S19" i="9"/>
  <c r="S44" i="9"/>
  <c r="S39" i="9"/>
  <c r="S11" i="9"/>
  <c r="S14" i="9"/>
  <c r="S57" i="9"/>
  <c r="S6" i="9"/>
  <c r="S18" i="9"/>
  <c r="S12" i="9"/>
  <c r="S45" i="9"/>
  <c r="S28" i="9"/>
  <c r="S37" i="9"/>
  <c r="S52" i="9"/>
  <c r="S13" i="9"/>
  <c r="S43" i="9"/>
  <c r="S61" i="9"/>
  <c r="S67" i="9"/>
  <c r="S35" i="9"/>
  <c r="S9" i="9"/>
  <c r="S51" i="9"/>
  <c r="S69" i="9"/>
  <c r="N12" i="9"/>
  <c r="R35" i="9" s="1"/>
  <c r="S75" i="9"/>
  <c r="S53" i="9"/>
  <c r="S2" i="9"/>
  <c r="S5" i="9"/>
  <c r="S29" i="9"/>
  <c r="S59" i="9"/>
  <c r="R24" i="9" l="1"/>
  <c r="R43" i="9"/>
  <c r="R54" i="9"/>
  <c r="R59" i="9"/>
  <c r="R28" i="9"/>
  <c r="R27" i="9"/>
  <c r="R75" i="9"/>
  <c r="P12" i="9"/>
  <c r="R30" i="9"/>
  <c r="R33" i="9"/>
  <c r="R56" i="9"/>
  <c r="R9" i="9"/>
  <c r="R62" i="9"/>
  <c r="R74" i="9"/>
  <c r="R11" i="9"/>
  <c r="R72" i="9"/>
  <c r="R5" i="9"/>
  <c r="R15" i="9"/>
  <c r="R49" i="9"/>
  <c r="R65" i="9"/>
  <c r="R6" i="9"/>
  <c r="R14" i="9"/>
  <c r="R38" i="9"/>
  <c r="R52" i="9"/>
  <c r="R41" i="9"/>
  <c r="R73" i="9"/>
  <c r="R17" i="9"/>
  <c r="R76" i="9"/>
  <c r="R10" i="9"/>
  <c r="R7" i="9"/>
  <c r="R64" i="9"/>
  <c r="R23" i="9"/>
  <c r="R32" i="9"/>
  <c r="R45" i="9"/>
  <c r="R39" i="9"/>
  <c r="R71" i="9"/>
  <c r="R13" i="9"/>
  <c r="R18" i="9"/>
  <c r="R36" i="9"/>
  <c r="R60" i="9"/>
  <c r="R26" i="9"/>
  <c r="R34" i="9"/>
  <c r="R50" i="9"/>
  <c r="R66" i="9"/>
  <c r="R44" i="9"/>
  <c r="R16" i="9"/>
  <c r="R37" i="9"/>
  <c r="R53" i="9"/>
  <c r="R69" i="9"/>
  <c r="R21" i="9"/>
  <c r="R19" i="9"/>
  <c r="R47" i="9"/>
  <c r="R63" i="9"/>
  <c r="R4" i="9"/>
  <c r="R29" i="9"/>
  <c r="R40" i="9"/>
  <c r="R68" i="9"/>
  <c r="R2" i="9"/>
  <c r="R3" i="9"/>
  <c r="R25" i="9"/>
  <c r="R31" i="9"/>
  <c r="R57" i="9"/>
  <c r="R20" i="9"/>
  <c r="R8" i="9"/>
  <c r="R48" i="9"/>
  <c r="R42" i="9"/>
  <c r="R58" i="9"/>
  <c r="R70" i="9"/>
  <c r="R61" i="9"/>
  <c r="R55" i="9"/>
  <c r="R12" i="9"/>
  <c r="R22" i="9"/>
  <c r="R46" i="9"/>
  <c r="R67" i="9"/>
  <c r="R51" i="9"/>
  <c r="B19" i="6" l="1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2" i="6"/>
  <c r="G2" i="6"/>
  <c r="J3" i="6" s="1"/>
  <c r="F2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H2" i="6"/>
  <c r="K9" i="6" s="1"/>
  <c r="B2" i="6"/>
  <c r="B76" i="5"/>
  <c r="I75" i="5"/>
  <c r="B75" i="5"/>
  <c r="B74" i="5"/>
  <c r="I73" i="5"/>
  <c r="B73" i="5"/>
  <c r="J72" i="5"/>
  <c r="B72" i="5"/>
  <c r="I71" i="5"/>
  <c r="B71" i="5"/>
  <c r="J70" i="5"/>
  <c r="B70" i="5"/>
  <c r="I69" i="5"/>
  <c r="B69" i="5"/>
  <c r="B68" i="5"/>
  <c r="I67" i="5"/>
  <c r="B67" i="5"/>
  <c r="B66" i="5"/>
  <c r="I65" i="5"/>
  <c r="B65" i="5"/>
  <c r="J64" i="5"/>
  <c r="B64" i="5"/>
  <c r="I63" i="5"/>
  <c r="B63" i="5"/>
  <c r="J62" i="5"/>
  <c r="B62" i="5"/>
  <c r="I61" i="5"/>
  <c r="B61" i="5"/>
  <c r="B60" i="5"/>
  <c r="I59" i="5"/>
  <c r="B59" i="5"/>
  <c r="B58" i="5"/>
  <c r="I57" i="5"/>
  <c r="B57" i="5"/>
  <c r="J56" i="5"/>
  <c r="B56" i="5"/>
  <c r="I55" i="5"/>
  <c r="B55" i="5"/>
  <c r="J54" i="5"/>
  <c r="B54" i="5"/>
  <c r="I53" i="5"/>
  <c r="B53" i="5"/>
  <c r="B52" i="5"/>
  <c r="I51" i="5"/>
  <c r="B51" i="5"/>
  <c r="B50" i="5"/>
  <c r="I49" i="5"/>
  <c r="B49" i="5"/>
  <c r="J48" i="5"/>
  <c r="B48" i="5"/>
  <c r="I47" i="5"/>
  <c r="B47" i="5"/>
  <c r="J46" i="5"/>
  <c r="B46" i="5"/>
  <c r="I45" i="5"/>
  <c r="B45" i="5"/>
  <c r="B44" i="5"/>
  <c r="I43" i="5"/>
  <c r="B43" i="5"/>
  <c r="B42" i="5"/>
  <c r="I41" i="5"/>
  <c r="B41" i="5"/>
  <c r="J40" i="5"/>
  <c r="B40" i="5"/>
  <c r="I39" i="5"/>
  <c r="B39" i="5"/>
  <c r="J38" i="5"/>
  <c r="B38" i="5"/>
  <c r="I37" i="5"/>
  <c r="B37" i="5"/>
  <c r="J36" i="5"/>
  <c r="B36" i="5"/>
  <c r="J35" i="5"/>
  <c r="I35" i="5"/>
  <c r="B35" i="5"/>
  <c r="K34" i="5"/>
  <c r="L34" i="5" s="1"/>
  <c r="I34" i="5"/>
  <c r="B34" i="5"/>
  <c r="K33" i="5"/>
  <c r="I33" i="5"/>
  <c r="L33" i="5" s="1"/>
  <c r="B33" i="5"/>
  <c r="K32" i="5"/>
  <c r="L32" i="5" s="1"/>
  <c r="I32" i="5"/>
  <c r="B32" i="5"/>
  <c r="K31" i="5"/>
  <c r="I31" i="5"/>
  <c r="L31" i="5" s="1"/>
  <c r="B31" i="5"/>
  <c r="K30" i="5"/>
  <c r="L30" i="5" s="1"/>
  <c r="I30" i="5"/>
  <c r="B30" i="5"/>
  <c r="K29" i="5"/>
  <c r="I29" i="5"/>
  <c r="L29" i="5" s="1"/>
  <c r="B29" i="5"/>
  <c r="K28" i="5"/>
  <c r="L28" i="5" s="1"/>
  <c r="I28" i="5"/>
  <c r="B28" i="5"/>
  <c r="K27" i="5"/>
  <c r="I27" i="5"/>
  <c r="L27" i="5" s="1"/>
  <c r="B27" i="5"/>
  <c r="K26" i="5"/>
  <c r="L26" i="5" s="1"/>
  <c r="I26" i="5"/>
  <c r="B26" i="5"/>
  <c r="K25" i="5"/>
  <c r="I25" i="5"/>
  <c r="L25" i="5" s="1"/>
  <c r="B25" i="5"/>
  <c r="K24" i="5"/>
  <c r="L24" i="5" s="1"/>
  <c r="I24" i="5"/>
  <c r="B24" i="5"/>
  <c r="K23" i="5"/>
  <c r="I23" i="5"/>
  <c r="L23" i="5" s="1"/>
  <c r="B23" i="5"/>
  <c r="K22" i="5"/>
  <c r="L22" i="5" s="1"/>
  <c r="I22" i="5"/>
  <c r="B22" i="5"/>
  <c r="K21" i="5"/>
  <c r="I21" i="5"/>
  <c r="L21" i="5" s="1"/>
  <c r="B21" i="5"/>
  <c r="K20" i="5"/>
  <c r="L20" i="5" s="1"/>
  <c r="I20" i="5"/>
  <c r="B20" i="5"/>
  <c r="K19" i="5"/>
  <c r="I19" i="5"/>
  <c r="L19" i="5" s="1"/>
  <c r="B19" i="5"/>
  <c r="K18" i="5"/>
  <c r="L18" i="5" s="1"/>
  <c r="I18" i="5"/>
  <c r="B18" i="5"/>
  <c r="K17" i="5"/>
  <c r="I17" i="5"/>
  <c r="L17" i="5" s="1"/>
  <c r="B17" i="5"/>
  <c r="K16" i="5"/>
  <c r="L16" i="5" s="1"/>
  <c r="I16" i="5"/>
  <c r="B16" i="5"/>
  <c r="K15" i="5"/>
  <c r="I15" i="5"/>
  <c r="L15" i="5" s="1"/>
  <c r="B15" i="5"/>
  <c r="K14" i="5"/>
  <c r="L14" i="5" s="1"/>
  <c r="I14" i="5"/>
  <c r="B14" i="5"/>
  <c r="K13" i="5"/>
  <c r="I13" i="5"/>
  <c r="L13" i="5" s="1"/>
  <c r="B13" i="5"/>
  <c r="K12" i="5"/>
  <c r="I12" i="5"/>
  <c r="L12" i="5" s="1"/>
  <c r="B12" i="5"/>
  <c r="I11" i="5"/>
  <c r="B11" i="5"/>
  <c r="K10" i="5"/>
  <c r="I10" i="5"/>
  <c r="L10" i="5" s="1"/>
  <c r="B10" i="5"/>
  <c r="I9" i="5"/>
  <c r="B9" i="5"/>
  <c r="K8" i="5"/>
  <c r="I8" i="5"/>
  <c r="L8" i="5" s="1"/>
  <c r="B8" i="5"/>
  <c r="I7" i="5"/>
  <c r="B7" i="5"/>
  <c r="K6" i="5"/>
  <c r="I6" i="5"/>
  <c r="L6" i="5" s="1"/>
  <c r="B6" i="5"/>
  <c r="I5" i="5"/>
  <c r="B5" i="5"/>
  <c r="K4" i="5"/>
  <c r="I4" i="5"/>
  <c r="L4" i="5" s="1"/>
  <c r="B4" i="5"/>
  <c r="I3" i="5"/>
  <c r="B3" i="5"/>
  <c r="K2" i="5"/>
  <c r="I2" i="5"/>
  <c r="L2" i="5" s="1"/>
  <c r="H2" i="5"/>
  <c r="G2" i="5"/>
  <c r="F2" i="5"/>
  <c r="I76" i="5" s="1"/>
  <c r="B2" i="5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I14" i="4"/>
  <c r="B14" i="4"/>
  <c r="I13" i="4"/>
  <c r="B13" i="4"/>
  <c r="B12" i="4"/>
  <c r="I11" i="4"/>
  <c r="B11" i="4"/>
  <c r="I10" i="4"/>
  <c r="B10" i="4"/>
  <c r="K9" i="4"/>
  <c r="I9" i="4"/>
  <c r="B9" i="4"/>
  <c r="B8" i="4"/>
  <c r="I7" i="4"/>
  <c r="B7" i="4"/>
  <c r="I6" i="4"/>
  <c r="B6" i="4"/>
  <c r="K5" i="4"/>
  <c r="I5" i="4"/>
  <c r="B5" i="4"/>
  <c r="K4" i="4"/>
  <c r="L4" i="4" s="1"/>
  <c r="I4" i="4"/>
  <c r="B4" i="4"/>
  <c r="K3" i="4"/>
  <c r="L3" i="4" s="1"/>
  <c r="I3" i="4"/>
  <c r="B3" i="4"/>
  <c r="K2" i="4"/>
  <c r="L2" i="4" s="1"/>
  <c r="I2" i="4"/>
  <c r="H2" i="4"/>
  <c r="G2" i="4"/>
  <c r="J34" i="4" s="1"/>
  <c r="F2" i="4"/>
  <c r="B2" i="4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H2" i="2"/>
  <c r="K34" i="2" s="1"/>
  <c r="G2" i="2"/>
  <c r="F2" i="2"/>
  <c r="I34" i="2" s="1"/>
  <c r="L34" i="2" s="1"/>
  <c r="B2" i="2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I43" i="1"/>
  <c r="B43" i="1"/>
  <c r="B42" i="1"/>
  <c r="B41" i="1"/>
  <c r="B40" i="1"/>
  <c r="B39" i="1"/>
  <c r="B38" i="1"/>
  <c r="B37" i="1"/>
  <c r="B36" i="1"/>
  <c r="I35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I10" i="1"/>
  <c r="B10" i="1"/>
  <c r="I9" i="1"/>
  <c r="B9" i="1"/>
  <c r="I8" i="1"/>
  <c r="B8" i="1"/>
  <c r="I7" i="1"/>
  <c r="B7" i="1"/>
  <c r="I6" i="1"/>
  <c r="B6" i="1"/>
  <c r="I5" i="1"/>
  <c r="B5" i="1"/>
  <c r="I4" i="1"/>
  <c r="B4" i="1"/>
  <c r="I3" i="1"/>
  <c r="B3" i="1"/>
  <c r="I2" i="1"/>
  <c r="H2" i="1"/>
  <c r="G2" i="1"/>
  <c r="J11" i="1" s="1"/>
  <c r="F2" i="1"/>
  <c r="I45" i="1" s="1"/>
  <c r="B2" i="1"/>
  <c r="J22" i="6" l="1"/>
  <c r="J62" i="6"/>
  <c r="J54" i="6"/>
  <c r="J30" i="6"/>
  <c r="J46" i="6"/>
  <c r="J14" i="6"/>
  <c r="J70" i="6"/>
  <c r="J38" i="6"/>
  <c r="J6" i="6"/>
  <c r="J66" i="6"/>
  <c r="J50" i="6"/>
  <c r="J34" i="6"/>
  <c r="J18" i="6"/>
  <c r="J74" i="6"/>
  <c r="J58" i="6"/>
  <c r="J42" i="6"/>
  <c r="J26" i="6"/>
  <c r="J10" i="6"/>
  <c r="J73" i="6"/>
  <c r="J69" i="6"/>
  <c r="J65" i="6"/>
  <c r="J61" i="6"/>
  <c r="J57" i="6"/>
  <c r="J53" i="6"/>
  <c r="J49" i="6"/>
  <c r="J45" i="6"/>
  <c r="J41" i="6"/>
  <c r="J37" i="6"/>
  <c r="J33" i="6"/>
  <c r="J29" i="6"/>
  <c r="J25" i="6"/>
  <c r="J21" i="6"/>
  <c r="J17" i="6"/>
  <c r="J13" i="6"/>
  <c r="J9" i="6"/>
  <c r="M9" i="6" s="1"/>
  <c r="J5" i="6"/>
  <c r="J76" i="6"/>
  <c r="J72" i="6"/>
  <c r="J68" i="6"/>
  <c r="J64" i="6"/>
  <c r="J60" i="6"/>
  <c r="J56" i="6"/>
  <c r="J52" i="6"/>
  <c r="J48" i="6"/>
  <c r="J44" i="6"/>
  <c r="J40" i="6"/>
  <c r="J36" i="6"/>
  <c r="J32" i="6"/>
  <c r="J28" i="6"/>
  <c r="J24" i="6"/>
  <c r="J20" i="6"/>
  <c r="J16" i="6"/>
  <c r="J12" i="6"/>
  <c r="J8" i="6"/>
  <c r="J4" i="6"/>
  <c r="J2" i="6"/>
  <c r="J75" i="6"/>
  <c r="J71" i="6"/>
  <c r="J67" i="6"/>
  <c r="J63" i="6"/>
  <c r="J59" i="6"/>
  <c r="J55" i="6"/>
  <c r="J51" i="6"/>
  <c r="J47" i="6"/>
  <c r="J43" i="6"/>
  <c r="J39" i="6"/>
  <c r="J35" i="6"/>
  <c r="J31" i="6"/>
  <c r="J27" i="6"/>
  <c r="J23" i="6"/>
  <c r="J19" i="6"/>
  <c r="J15" i="6"/>
  <c r="J11" i="6"/>
  <c r="J7" i="6"/>
  <c r="K8" i="6"/>
  <c r="L8" i="6" s="1"/>
  <c r="L9" i="6"/>
  <c r="K2" i="6"/>
  <c r="L2" i="6" s="1"/>
  <c r="K3" i="6"/>
  <c r="L3" i="6" s="1"/>
  <c r="K4" i="6"/>
  <c r="K5" i="6"/>
  <c r="L5" i="6" s="1"/>
  <c r="K6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7" i="6"/>
  <c r="K35" i="6"/>
  <c r="K38" i="6"/>
  <c r="K36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0" i="6"/>
  <c r="L6" i="6"/>
  <c r="K7" i="6"/>
  <c r="K11" i="6"/>
  <c r="K12" i="6"/>
  <c r="M35" i="5"/>
  <c r="L35" i="5"/>
  <c r="L47" i="5"/>
  <c r="L63" i="5"/>
  <c r="M38" i="5"/>
  <c r="M54" i="5"/>
  <c r="M70" i="5"/>
  <c r="J34" i="5"/>
  <c r="M34" i="5" s="1"/>
  <c r="J33" i="5"/>
  <c r="M33" i="5" s="1"/>
  <c r="J32" i="5"/>
  <c r="M32" i="5" s="1"/>
  <c r="J31" i="5"/>
  <c r="M31" i="5" s="1"/>
  <c r="J30" i="5"/>
  <c r="M30" i="5" s="1"/>
  <c r="J29" i="5"/>
  <c r="M29" i="5" s="1"/>
  <c r="J28" i="5"/>
  <c r="M28" i="5" s="1"/>
  <c r="J27" i="5"/>
  <c r="M27" i="5" s="1"/>
  <c r="J26" i="5"/>
  <c r="M26" i="5" s="1"/>
  <c r="J25" i="5"/>
  <c r="M25" i="5" s="1"/>
  <c r="J24" i="5"/>
  <c r="M24" i="5" s="1"/>
  <c r="J23" i="5"/>
  <c r="M23" i="5" s="1"/>
  <c r="J22" i="5"/>
  <c r="M22" i="5" s="1"/>
  <c r="J21" i="5"/>
  <c r="M21" i="5" s="1"/>
  <c r="J20" i="5"/>
  <c r="M20" i="5" s="1"/>
  <c r="J19" i="5"/>
  <c r="M19" i="5" s="1"/>
  <c r="J18" i="5"/>
  <c r="M18" i="5" s="1"/>
  <c r="J17" i="5"/>
  <c r="M17" i="5" s="1"/>
  <c r="J16" i="5"/>
  <c r="M16" i="5" s="1"/>
  <c r="J15" i="5"/>
  <c r="M15" i="5" s="1"/>
  <c r="J14" i="5"/>
  <c r="M14" i="5" s="1"/>
  <c r="J13" i="5"/>
  <c r="M13" i="5" s="1"/>
  <c r="J12" i="5"/>
  <c r="M12" i="5" s="1"/>
  <c r="J11" i="5"/>
  <c r="M11" i="5" s="1"/>
  <c r="J10" i="5"/>
  <c r="M10" i="5" s="1"/>
  <c r="J9" i="5"/>
  <c r="M9" i="5" s="1"/>
  <c r="J8" i="5"/>
  <c r="M8" i="5" s="1"/>
  <c r="J7" i="5"/>
  <c r="J6" i="5"/>
  <c r="M6" i="5" s="1"/>
  <c r="J5" i="5"/>
  <c r="J4" i="5"/>
  <c r="M4" i="5" s="1"/>
  <c r="J3" i="5"/>
  <c r="M3" i="5" s="1"/>
  <c r="J2" i="5"/>
  <c r="M2" i="5" s="1"/>
  <c r="J75" i="5"/>
  <c r="M75" i="5" s="1"/>
  <c r="J73" i="5"/>
  <c r="J71" i="5"/>
  <c r="M71" i="5" s="1"/>
  <c r="J69" i="5"/>
  <c r="J67" i="5"/>
  <c r="M67" i="5" s="1"/>
  <c r="J65" i="5"/>
  <c r="J63" i="5"/>
  <c r="M63" i="5" s="1"/>
  <c r="J61" i="5"/>
  <c r="J59" i="5"/>
  <c r="M59" i="5" s="1"/>
  <c r="J57" i="5"/>
  <c r="J55" i="5"/>
  <c r="M55" i="5" s="1"/>
  <c r="J53" i="5"/>
  <c r="J51" i="5"/>
  <c r="M51" i="5" s="1"/>
  <c r="J49" i="5"/>
  <c r="J47" i="5"/>
  <c r="M47" i="5" s="1"/>
  <c r="J45" i="5"/>
  <c r="J43" i="5"/>
  <c r="M43" i="5" s="1"/>
  <c r="J41" i="5"/>
  <c r="J39" i="5"/>
  <c r="M39" i="5" s="1"/>
  <c r="J37" i="5"/>
  <c r="L43" i="5"/>
  <c r="J44" i="5"/>
  <c r="L51" i="5"/>
  <c r="J52" i="5"/>
  <c r="L59" i="5"/>
  <c r="J60" i="5"/>
  <c r="L67" i="5"/>
  <c r="J68" i="5"/>
  <c r="L75" i="5"/>
  <c r="J76" i="5"/>
  <c r="K76" i="5"/>
  <c r="L76" i="5" s="1"/>
  <c r="K75" i="5"/>
  <c r="K74" i="5"/>
  <c r="K73" i="5"/>
  <c r="K72" i="5"/>
  <c r="M72" i="5" s="1"/>
  <c r="K71" i="5"/>
  <c r="L71" i="5" s="1"/>
  <c r="K70" i="5"/>
  <c r="K69" i="5"/>
  <c r="L69" i="5" s="1"/>
  <c r="K68" i="5"/>
  <c r="K67" i="5"/>
  <c r="K66" i="5"/>
  <c r="K65" i="5"/>
  <c r="L65" i="5" s="1"/>
  <c r="K64" i="5"/>
  <c r="M64" i="5" s="1"/>
  <c r="K63" i="5"/>
  <c r="K62" i="5"/>
  <c r="M62" i="5" s="1"/>
  <c r="K61" i="5"/>
  <c r="L61" i="5" s="1"/>
  <c r="K60" i="5"/>
  <c r="K59" i="5"/>
  <c r="K58" i="5"/>
  <c r="K57" i="5"/>
  <c r="K56" i="5"/>
  <c r="M56" i="5" s="1"/>
  <c r="K55" i="5"/>
  <c r="L55" i="5" s="1"/>
  <c r="K54" i="5"/>
  <c r="K53" i="5"/>
  <c r="L53" i="5" s="1"/>
  <c r="K52" i="5"/>
  <c r="K51" i="5"/>
  <c r="K50" i="5"/>
  <c r="K49" i="5"/>
  <c r="L49" i="5" s="1"/>
  <c r="K48" i="5"/>
  <c r="M48" i="5" s="1"/>
  <c r="K47" i="5"/>
  <c r="K46" i="5"/>
  <c r="M46" i="5" s="1"/>
  <c r="K45" i="5"/>
  <c r="L45" i="5" s="1"/>
  <c r="K44" i="5"/>
  <c r="K43" i="5"/>
  <c r="K42" i="5"/>
  <c r="K41" i="5"/>
  <c r="K40" i="5"/>
  <c r="M40" i="5" s="1"/>
  <c r="K39" i="5"/>
  <c r="L39" i="5" s="1"/>
  <c r="K38" i="5"/>
  <c r="K37" i="5"/>
  <c r="L37" i="5" s="1"/>
  <c r="K36" i="5"/>
  <c r="M36" i="5" s="1"/>
  <c r="K35" i="5"/>
  <c r="K3" i="5"/>
  <c r="L3" i="5" s="1"/>
  <c r="K5" i="5"/>
  <c r="L5" i="5" s="1"/>
  <c r="K7" i="5"/>
  <c r="L7" i="5" s="1"/>
  <c r="K9" i="5"/>
  <c r="L9" i="5" s="1"/>
  <c r="K11" i="5"/>
  <c r="L11" i="5" s="1"/>
  <c r="L41" i="5"/>
  <c r="J42" i="5"/>
  <c r="M42" i="5" s="1"/>
  <c r="J50" i="5"/>
  <c r="M50" i="5" s="1"/>
  <c r="L57" i="5"/>
  <c r="J58" i="5"/>
  <c r="M58" i="5" s="1"/>
  <c r="J66" i="5"/>
  <c r="M66" i="5" s="1"/>
  <c r="L73" i="5"/>
  <c r="J74" i="5"/>
  <c r="M74" i="5" s="1"/>
  <c r="I36" i="5"/>
  <c r="I38" i="5"/>
  <c r="L38" i="5" s="1"/>
  <c r="I40" i="5"/>
  <c r="I42" i="5"/>
  <c r="L42" i="5" s="1"/>
  <c r="I44" i="5"/>
  <c r="I46" i="5"/>
  <c r="L46" i="5" s="1"/>
  <c r="I48" i="5"/>
  <c r="I50" i="5"/>
  <c r="L50" i="5" s="1"/>
  <c r="I52" i="5"/>
  <c r="I54" i="5"/>
  <c r="L54" i="5" s="1"/>
  <c r="I56" i="5"/>
  <c r="I58" i="5"/>
  <c r="L58" i="5" s="1"/>
  <c r="I60" i="5"/>
  <c r="I62" i="5"/>
  <c r="L62" i="5" s="1"/>
  <c r="I64" i="5"/>
  <c r="I66" i="5"/>
  <c r="L66" i="5" s="1"/>
  <c r="I68" i="5"/>
  <c r="I70" i="5"/>
  <c r="L70" i="5" s="1"/>
  <c r="I72" i="5"/>
  <c r="I74" i="5"/>
  <c r="L74" i="5" s="1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M34" i="4" s="1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L13" i="4" s="1"/>
  <c r="J7" i="4"/>
  <c r="M7" i="4" s="1"/>
  <c r="K8" i="4"/>
  <c r="L10" i="4"/>
  <c r="J11" i="4"/>
  <c r="K12" i="4"/>
  <c r="J16" i="4"/>
  <c r="M16" i="4" s="1"/>
  <c r="J20" i="4"/>
  <c r="M20" i="4" s="1"/>
  <c r="J24" i="4"/>
  <c r="M24" i="4" s="1"/>
  <c r="L5" i="4"/>
  <c r="J6" i="4"/>
  <c r="M6" i="4" s="1"/>
  <c r="K7" i="4"/>
  <c r="L9" i="4"/>
  <c r="J10" i="4"/>
  <c r="K11" i="4"/>
  <c r="L11" i="4" s="1"/>
  <c r="J13" i="4"/>
  <c r="L14" i="4"/>
  <c r="J15" i="4"/>
  <c r="M15" i="4" s="1"/>
  <c r="J19" i="4"/>
  <c r="M19" i="4" s="1"/>
  <c r="J23" i="4"/>
  <c r="M23" i="4" s="1"/>
  <c r="J27" i="4"/>
  <c r="M27" i="4" s="1"/>
  <c r="J31" i="4"/>
  <c r="M31" i="4" s="1"/>
  <c r="I34" i="4"/>
  <c r="L34" i="4" s="1"/>
  <c r="I33" i="4"/>
  <c r="I32" i="4"/>
  <c r="L32" i="4" s="1"/>
  <c r="I31" i="4"/>
  <c r="L31" i="4" s="1"/>
  <c r="I30" i="4"/>
  <c r="L30" i="4" s="1"/>
  <c r="I29" i="4"/>
  <c r="I28" i="4"/>
  <c r="L28" i="4" s="1"/>
  <c r="I27" i="4"/>
  <c r="L27" i="4" s="1"/>
  <c r="I26" i="4"/>
  <c r="L26" i="4" s="1"/>
  <c r="I25" i="4"/>
  <c r="I24" i="4"/>
  <c r="L24" i="4" s="1"/>
  <c r="I23" i="4"/>
  <c r="L23" i="4" s="1"/>
  <c r="I22" i="4"/>
  <c r="L22" i="4" s="1"/>
  <c r="I21" i="4"/>
  <c r="I20" i="4"/>
  <c r="L20" i="4" s="1"/>
  <c r="I19" i="4"/>
  <c r="L19" i="4" s="1"/>
  <c r="I18" i="4"/>
  <c r="L18" i="4" s="1"/>
  <c r="I17" i="4"/>
  <c r="I16" i="4"/>
  <c r="L16" i="4" s="1"/>
  <c r="I15" i="4"/>
  <c r="L15" i="4" s="1"/>
  <c r="I76" i="4"/>
  <c r="L76" i="4" s="1"/>
  <c r="I75" i="4"/>
  <c r="L75" i="4" s="1"/>
  <c r="I74" i="4"/>
  <c r="L74" i="4" s="1"/>
  <c r="I73" i="4"/>
  <c r="I72" i="4"/>
  <c r="L72" i="4" s="1"/>
  <c r="I71" i="4"/>
  <c r="L71" i="4" s="1"/>
  <c r="I70" i="4"/>
  <c r="L70" i="4" s="1"/>
  <c r="I69" i="4"/>
  <c r="I68" i="4"/>
  <c r="L68" i="4" s="1"/>
  <c r="I67" i="4"/>
  <c r="L67" i="4" s="1"/>
  <c r="I66" i="4"/>
  <c r="L66" i="4" s="1"/>
  <c r="I65" i="4"/>
  <c r="I64" i="4"/>
  <c r="L64" i="4" s="1"/>
  <c r="I63" i="4"/>
  <c r="L63" i="4" s="1"/>
  <c r="I62" i="4"/>
  <c r="L62" i="4" s="1"/>
  <c r="I61" i="4"/>
  <c r="I60" i="4"/>
  <c r="L60" i="4" s="1"/>
  <c r="I59" i="4"/>
  <c r="L59" i="4" s="1"/>
  <c r="I58" i="4"/>
  <c r="L58" i="4" s="1"/>
  <c r="I57" i="4"/>
  <c r="I56" i="4"/>
  <c r="L56" i="4" s="1"/>
  <c r="I55" i="4"/>
  <c r="L55" i="4" s="1"/>
  <c r="I54" i="4"/>
  <c r="L54" i="4" s="1"/>
  <c r="I53" i="4"/>
  <c r="I52" i="4"/>
  <c r="L52" i="4" s="1"/>
  <c r="I51" i="4"/>
  <c r="L51" i="4" s="1"/>
  <c r="I50" i="4"/>
  <c r="L50" i="4" s="1"/>
  <c r="I49" i="4"/>
  <c r="I48" i="4"/>
  <c r="L48" i="4" s="1"/>
  <c r="I47" i="4"/>
  <c r="L47" i="4" s="1"/>
  <c r="I46" i="4"/>
  <c r="L46" i="4" s="1"/>
  <c r="I45" i="4"/>
  <c r="I44" i="4"/>
  <c r="L44" i="4" s="1"/>
  <c r="I43" i="4"/>
  <c r="L43" i="4" s="1"/>
  <c r="I42" i="4"/>
  <c r="L42" i="4" s="1"/>
  <c r="I41" i="4"/>
  <c r="I40" i="4"/>
  <c r="L40" i="4" s="1"/>
  <c r="I39" i="4"/>
  <c r="L39" i="4" s="1"/>
  <c r="I38" i="4"/>
  <c r="L38" i="4" s="1"/>
  <c r="I37" i="4"/>
  <c r="I36" i="4"/>
  <c r="L36" i="4" s="1"/>
  <c r="I35" i="4"/>
  <c r="L35" i="4" s="1"/>
  <c r="J2" i="4"/>
  <c r="M2" i="4" s="1"/>
  <c r="J3" i="4"/>
  <c r="M3" i="4" s="1"/>
  <c r="J4" i="4"/>
  <c r="M4" i="4" s="1"/>
  <c r="J5" i="4"/>
  <c r="M5" i="4" s="1"/>
  <c r="K6" i="4"/>
  <c r="L6" i="4" s="1"/>
  <c r="I8" i="4"/>
  <c r="L8" i="4" s="1"/>
  <c r="J9" i="4"/>
  <c r="M9" i="4" s="1"/>
  <c r="K10" i="4"/>
  <c r="I12" i="4"/>
  <c r="L12" i="4" s="1"/>
  <c r="J14" i="4"/>
  <c r="M14" i="4" s="1"/>
  <c r="J18" i="4"/>
  <c r="M18" i="4" s="1"/>
  <c r="J22" i="4"/>
  <c r="M22" i="4" s="1"/>
  <c r="J26" i="4"/>
  <c r="M26" i="4" s="1"/>
  <c r="J30" i="4"/>
  <c r="M30" i="4" s="1"/>
  <c r="J76" i="4"/>
  <c r="M76" i="4" s="1"/>
  <c r="J75" i="4"/>
  <c r="M75" i="4" s="1"/>
  <c r="J74" i="4"/>
  <c r="M74" i="4" s="1"/>
  <c r="J73" i="4"/>
  <c r="J72" i="4"/>
  <c r="M72" i="4" s="1"/>
  <c r="J71" i="4"/>
  <c r="M71" i="4" s="1"/>
  <c r="J70" i="4"/>
  <c r="M70" i="4" s="1"/>
  <c r="J69" i="4"/>
  <c r="J68" i="4"/>
  <c r="M68" i="4" s="1"/>
  <c r="J67" i="4"/>
  <c r="M67" i="4" s="1"/>
  <c r="J66" i="4"/>
  <c r="M66" i="4" s="1"/>
  <c r="J65" i="4"/>
  <c r="J64" i="4"/>
  <c r="M64" i="4" s="1"/>
  <c r="J63" i="4"/>
  <c r="M63" i="4" s="1"/>
  <c r="J62" i="4"/>
  <c r="M62" i="4" s="1"/>
  <c r="J61" i="4"/>
  <c r="J60" i="4"/>
  <c r="M60" i="4" s="1"/>
  <c r="J59" i="4"/>
  <c r="M59" i="4" s="1"/>
  <c r="J58" i="4"/>
  <c r="M58" i="4" s="1"/>
  <c r="J57" i="4"/>
  <c r="J56" i="4"/>
  <c r="M56" i="4" s="1"/>
  <c r="J55" i="4"/>
  <c r="M55" i="4" s="1"/>
  <c r="J54" i="4"/>
  <c r="M54" i="4" s="1"/>
  <c r="J53" i="4"/>
  <c r="J52" i="4"/>
  <c r="M52" i="4" s="1"/>
  <c r="J51" i="4"/>
  <c r="M51" i="4" s="1"/>
  <c r="J50" i="4"/>
  <c r="M50" i="4" s="1"/>
  <c r="J49" i="4"/>
  <c r="J48" i="4"/>
  <c r="M48" i="4" s="1"/>
  <c r="J47" i="4"/>
  <c r="M47" i="4" s="1"/>
  <c r="J46" i="4"/>
  <c r="M46" i="4" s="1"/>
  <c r="J45" i="4"/>
  <c r="J44" i="4"/>
  <c r="M44" i="4" s="1"/>
  <c r="J43" i="4"/>
  <c r="M43" i="4" s="1"/>
  <c r="J42" i="4"/>
  <c r="M42" i="4" s="1"/>
  <c r="J41" i="4"/>
  <c r="J40" i="4"/>
  <c r="M40" i="4" s="1"/>
  <c r="J39" i="4"/>
  <c r="M39" i="4" s="1"/>
  <c r="J38" i="4"/>
  <c r="M38" i="4" s="1"/>
  <c r="J37" i="4"/>
  <c r="J36" i="4"/>
  <c r="M36" i="4" s="1"/>
  <c r="J35" i="4"/>
  <c r="M35" i="4" s="1"/>
  <c r="L7" i="4"/>
  <c r="J25" i="4"/>
  <c r="J8" i="4"/>
  <c r="M8" i="4" s="1"/>
  <c r="J12" i="4"/>
  <c r="M12" i="4" s="1"/>
  <c r="J17" i="4"/>
  <c r="J21" i="4"/>
  <c r="M21" i="4" s="1"/>
  <c r="J29" i="4"/>
  <c r="J33" i="4"/>
  <c r="J28" i="4"/>
  <c r="M28" i="4" s="1"/>
  <c r="J32" i="4"/>
  <c r="M32" i="4" s="1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I2" i="2"/>
  <c r="L2" i="2" s="1"/>
  <c r="I3" i="2"/>
  <c r="I4" i="2"/>
  <c r="L4" i="2" s="1"/>
  <c r="I5" i="2"/>
  <c r="L5" i="2" s="1"/>
  <c r="I6" i="2"/>
  <c r="L6" i="2" s="1"/>
  <c r="I7" i="2"/>
  <c r="L7" i="2" s="1"/>
  <c r="I8" i="2"/>
  <c r="L8" i="2" s="1"/>
  <c r="I9" i="2"/>
  <c r="L9" i="2" s="1"/>
  <c r="I10" i="2"/>
  <c r="L10" i="2" s="1"/>
  <c r="I11" i="2"/>
  <c r="L11" i="2" s="1"/>
  <c r="I12" i="2"/>
  <c r="L12" i="2" s="1"/>
  <c r="I13" i="2"/>
  <c r="L13" i="2" s="1"/>
  <c r="I14" i="2"/>
  <c r="L14" i="2" s="1"/>
  <c r="I15" i="2"/>
  <c r="L15" i="2" s="1"/>
  <c r="I16" i="2"/>
  <c r="L16" i="2" s="1"/>
  <c r="I17" i="2"/>
  <c r="L17" i="2" s="1"/>
  <c r="I18" i="2"/>
  <c r="L18" i="2" s="1"/>
  <c r="I19" i="2"/>
  <c r="L19" i="2" s="1"/>
  <c r="I20" i="2"/>
  <c r="L20" i="2" s="1"/>
  <c r="I21" i="2"/>
  <c r="L21" i="2" s="1"/>
  <c r="I22" i="2"/>
  <c r="L22" i="2" s="1"/>
  <c r="I23" i="2"/>
  <c r="L23" i="2" s="1"/>
  <c r="I24" i="2"/>
  <c r="L24" i="2" s="1"/>
  <c r="I25" i="2"/>
  <c r="L25" i="2" s="1"/>
  <c r="I26" i="2"/>
  <c r="L26" i="2" s="1"/>
  <c r="I27" i="2"/>
  <c r="L27" i="2" s="1"/>
  <c r="I28" i="2"/>
  <c r="L28" i="2" s="1"/>
  <c r="I29" i="2"/>
  <c r="L29" i="2" s="1"/>
  <c r="I30" i="2"/>
  <c r="L30" i="2" s="1"/>
  <c r="I31" i="2"/>
  <c r="L31" i="2" s="1"/>
  <c r="I32" i="2"/>
  <c r="L32" i="2" s="1"/>
  <c r="I33" i="2"/>
  <c r="L33" i="2" s="1"/>
  <c r="I76" i="2"/>
  <c r="L76" i="2" s="1"/>
  <c r="I75" i="2"/>
  <c r="L75" i="2" s="1"/>
  <c r="I74" i="2"/>
  <c r="L74" i="2" s="1"/>
  <c r="I73" i="2"/>
  <c r="L73" i="2" s="1"/>
  <c r="I72" i="2"/>
  <c r="L72" i="2" s="1"/>
  <c r="I71" i="2"/>
  <c r="L71" i="2" s="1"/>
  <c r="I70" i="2"/>
  <c r="L70" i="2" s="1"/>
  <c r="I69" i="2"/>
  <c r="L69" i="2" s="1"/>
  <c r="I68" i="2"/>
  <c r="L68" i="2" s="1"/>
  <c r="I67" i="2"/>
  <c r="L67" i="2" s="1"/>
  <c r="I66" i="2"/>
  <c r="L66" i="2" s="1"/>
  <c r="I65" i="2"/>
  <c r="L65" i="2" s="1"/>
  <c r="I64" i="2"/>
  <c r="L64" i="2" s="1"/>
  <c r="I63" i="2"/>
  <c r="L63" i="2" s="1"/>
  <c r="I62" i="2"/>
  <c r="L62" i="2" s="1"/>
  <c r="I61" i="2"/>
  <c r="L61" i="2" s="1"/>
  <c r="I60" i="2"/>
  <c r="L60" i="2" s="1"/>
  <c r="I59" i="2"/>
  <c r="L59" i="2" s="1"/>
  <c r="I58" i="2"/>
  <c r="L58" i="2" s="1"/>
  <c r="I57" i="2"/>
  <c r="L57" i="2" s="1"/>
  <c r="I56" i="2"/>
  <c r="L56" i="2" s="1"/>
  <c r="I55" i="2"/>
  <c r="L55" i="2" s="1"/>
  <c r="I54" i="2"/>
  <c r="L54" i="2" s="1"/>
  <c r="I53" i="2"/>
  <c r="L53" i="2" s="1"/>
  <c r="I52" i="2"/>
  <c r="L52" i="2" s="1"/>
  <c r="I51" i="2"/>
  <c r="L51" i="2" s="1"/>
  <c r="I50" i="2"/>
  <c r="L50" i="2" s="1"/>
  <c r="I49" i="2"/>
  <c r="L49" i="2" s="1"/>
  <c r="I48" i="2"/>
  <c r="L48" i="2" s="1"/>
  <c r="I47" i="2"/>
  <c r="L47" i="2" s="1"/>
  <c r="I46" i="2"/>
  <c r="L46" i="2" s="1"/>
  <c r="I45" i="2"/>
  <c r="L45" i="2" s="1"/>
  <c r="I44" i="2"/>
  <c r="L44" i="2" s="1"/>
  <c r="I43" i="2"/>
  <c r="L43" i="2" s="1"/>
  <c r="I42" i="2"/>
  <c r="L42" i="2" s="1"/>
  <c r="I41" i="2"/>
  <c r="L41" i="2" s="1"/>
  <c r="I40" i="2"/>
  <c r="L40" i="2" s="1"/>
  <c r="I39" i="2"/>
  <c r="L39" i="2" s="1"/>
  <c r="I38" i="2"/>
  <c r="L38" i="2" s="1"/>
  <c r="I37" i="2"/>
  <c r="L37" i="2" s="1"/>
  <c r="I36" i="2"/>
  <c r="L36" i="2" s="1"/>
  <c r="I35" i="2"/>
  <c r="L35" i="2" s="1"/>
  <c r="J2" i="2"/>
  <c r="M2" i="2" s="1"/>
  <c r="J3" i="2"/>
  <c r="M3" i="2" s="1"/>
  <c r="J4" i="2"/>
  <c r="M4" i="2" s="1"/>
  <c r="J5" i="2"/>
  <c r="M5" i="2" s="1"/>
  <c r="J6" i="2"/>
  <c r="M6" i="2" s="1"/>
  <c r="J7" i="2"/>
  <c r="M7" i="2" s="1"/>
  <c r="J8" i="2"/>
  <c r="M8" i="2" s="1"/>
  <c r="J9" i="2"/>
  <c r="M9" i="2" s="1"/>
  <c r="J10" i="2"/>
  <c r="M10" i="2" s="1"/>
  <c r="J11" i="2"/>
  <c r="M11" i="2" s="1"/>
  <c r="J12" i="2"/>
  <c r="M12" i="2" s="1"/>
  <c r="J13" i="2"/>
  <c r="M13" i="2" s="1"/>
  <c r="J14" i="2"/>
  <c r="M14" i="2" s="1"/>
  <c r="J15" i="2"/>
  <c r="M15" i="2" s="1"/>
  <c r="J16" i="2"/>
  <c r="M16" i="2" s="1"/>
  <c r="J17" i="2"/>
  <c r="M17" i="2" s="1"/>
  <c r="J18" i="2"/>
  <c r="M18" i="2" s="1"/>
  <c r="J19" i="2"/>
  <c r="M19" i="2" s="1"/>
  <c r="J20" i="2"/>
  <c r="M20" i="2" s="1"/>
  <c r="J21" i="2"/>
  <c r="M21" i="2" s="1"/>
  <c r="J22" i="2"/>
  <c r="M22" i="2" s="1"/>
  <c r="J23" i="2"/>
  <c r="M23" i="2" s="1"/>
  <c r="J24" i="2"/>
  <c r="M24" i="2" s="1"/>
  <c r="J25" i="2"/>
  <c r="M25" i="2" s="1"/>
  <c r="J26" i="2"/>
  <c r="M26" i="2" s="1"/>
  <c r="J27" i="2"/>
  <c r="M27" i="2" s="1"/>
  <c r="J28" i="2"/>
  <c r="M28" i="2" s="1"/>
  <c r="J29" i="2"/>
  <c r="M29" i="2" s="1"/>
  <c r="J30" i="2"/>
  <c r="M30" i="2" s="1"/>
  <c r="J31" i="2"/>
  <c r="M31" i="2" s="1"/>
  <c r="J32" i="2"/>
  <c r="M32" i="2" s="1"/>
  <c r="J33" i="2"/>
  <c r="M33" i="2" s="1"/>
  <c r="J34" i="2"/>
  <c r="M34" i="2" s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6" i="1"/>
  <c r="K44" i="1"/>
  <c r="K42" i="1"/>
  <c r="K40" i="1"/>
  <c r="K38" i="1"/>
  <c r="K36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47" i="1"/>
  <c r="K45" i="1"/>
  <c r="L45" i="1" s="1"/>
  <c r="K43" i="1"/>
  <c r="K41" i="1"/>
  <c r="K39" i="1"/>
  <c r="K37" i="1"/>
  <c r="K35" i="1"/>
  <c r="L35" i="1"/>
  <c r="I11" i="1"/>
  <c r="L11" i="1" s="1"/>
  <c r="I12" i="1"/>
  <c r="I37" i="1"/>
  <c r="L37" i="1" s="1"/>
  <c r="L43" i="1"/>
  <c r="I46" i="1"/>
  <c r="L46" i="1" s="1"/>
  <c r="I44" i="1"/>
  <c r="L44" i="1" s="1"/>
  <c r="I42" i="1"/>
  <c r="L42" i="1" s="1"/>
  <c r="I40" i="1"/>
  <c r="L40" i="1" s="1"/>
  <c r="I38" i="1"/>
  <c r="L38" i="1" s="1"/>
  <c r="I36" i="1"/>
  <c r="L36" i="1" s="1"/>
  <c r="I76" i="1"/>
  <c r="L76" i="1" s="1"/>
  <c r="I75" i="1"/>
  <c r="I74" i="1"/>
  <c r="L74" i="1" s="1"/>
  <c r="I73" i="1"/>
  <c r="L73" i="1" s="1"/>
  <c r="I72" i="1"/>
  <c r="L72" i="1" s="1"/>
  <c r="I71" i="1"/>
  <c r="I70" i="1"/>
  <c r="L70" i="1" s="1"/>
  <c r="I69" i="1"/>
  <c r="L69" i="1" s="1"/>
  <c r="I68" i="1"/>
  <c r="L68" i="1" s="1"/>
  <c r="I67" i="1"/>
  <c r="I66" i="1"/>
  <c r="L66" i="1" s="1"/>
  <c r="I65" i="1"/>
  <c r="L65" i="1" s="1"/>
  <c r="I64" i="1"/>
  <c r="L64" i="1" s="1"/>
  <c r="I63" i="1"/>
  <c r="I62" i="1"/>
  <c r="L62" i="1" s="1"/>
  <c r="I61" i="1"/>
  <c r="L61" i="1" s="1"/>
  <c r="I60" i="1"/>
  <c r="L60" i="1" s="1"/>
  <c r="I59" i="1"/>
  <c r="I58" i="1"/>
  <c r="L58" i="1" s="1"/>
  <c r="I57" i="1"/>
  <c r="L57" i="1" s="1"/>
  <c r="I56" i="1"/>
  <c r="L56" i="1" s="1"/>
  <c r="I55" i="1"/>
  <c r="I54" i="1"/>
  <c r="L54" i="1" s="1"/>
  <c r="I53" i="1"/>
  <c r="L53" i="1" s="1"/>
  <c r="I52" i="1"/>
  <c r="L52" i="1" s="1"/>
  <c r="I51" i="1"/>
  <c r="I50" i="1"/>
  <c r="L50" i="1" s="1"/>
  <c r="I49" i="1"/>
  <c r="L49" i="1" s="1"/>
  <c r="I48" i="1"/>
  <c r="L48" i="1" s="1"/>
  <c r="I34" i="1"/>
  <c r="L34" i="1" s="1"/>
  <c r="I33" i="1"/>
  <c r="L33" i="1" s="1"/>
  <c r="I32" i="1"/>
  <c r="I31" i="1"/>
  <c r="L31" i="1" s="1"/>
  <c r="I30" i="1"/>
  <c r="L30" i="1" s="1"/>
  <c r="I29" i="1"/>
  <c r="L29" i="1" s="1"/>
  <c r="I28" i="1"/>
  <c r="I27" i="1"/>
  <c r="L27" i="1" s="1"/>
  <c r="I26" i="1"/>
  <c r="L26" i="1" s="1"/>
  <c r="I25" i="1"/>
  <c r="L25" i="1" s="1"/>
  <c r="I24" i="1"/>
  <c r="I23" i="1"/>
  <c r="L23" i="1" s="1"/>
  <c r="I22" i="1"/>
  <c r="L22" i="1" s="1"/>
  <c r="I21" i="1"/>
  <c r="L21" i="1" s="1"/>
  <c r="I20" i="1"/>
  <c r="I19" i="1"/>
  <c r="L19" i="1" s="1"/>
  <c r="I18" i="1"/>
  <c r="L18" i="1" s="1"/>
  <c r="I17" i="1"/>
  <c r="L17" i="1" s="1"/>
  <c r="I16" i="1"/>
  <c r="I15" i="1"/>
  <c r="L15" i="1" s="1"/>
  <c r="I14" i="1"/>
  <c r="L14" i="1" s="1"/>
  <c r="J2" i="1"/>
  <c r="M2" i="1" s="1"/>
  <c r="J3" i="1"/>
  <c r="J4" i="1"/>
  <c r="J5" i="1"/>
  <c r="J6" i="1"/>
  <c r="M6" i="1" s="1"/>
  <c r="J7" i="1"/>
  <c r="J8" i="1"/>
  <c r="J9" i="1"/>
  <c r="J10" i="1"/>
  <c r="M10" i="1" s="1"/>
  <c r="K12" i="1"/>
  <c r="I13" i="1"/>
  <c r="L13" i="1" s="1"/>
  <c r="I39" i="1"/>
  <c r="I47" i="1"/>
  <c r="L47" i="1" s="1"/>
  <c r="J76" i="1"/>
  <c r="M76" i="1" s="1"/>
  <c r="J75" i="1"/>
  <c r="J74" i="1"/>
  <c r="M74" i="1" s="1"/>
  <c r="J73" i="1"/>
  <c r="M73" i="1" s="1"/>
  <c r="J72" i="1"/>
  <c r="M72" i="1" s="1"/>
  <c r="J71" i="1"/>
  <c r="J70" i="1"/>
  <c r="M70" i="1" s="1"/>
  <c r="J69" i="1"/>
  <c r="M69" i="1" s="1"/>
  <c r="J68" i="1"/>
  <c r="M68" i="1" s="1"/>
  <c r="J67" i="1"/>
  <c r="J66" i="1"/>
  <c r="M66" i="1" s="1"/>
  <c r="J65" i="1"/>
  <c r="M65" i="1" s="1"/>
  <c r="J64" i="1"/>
  <c r="M64" i="1" s="1"/>
  <c r="J63" i="1"/>
  <c r="J62" i="1"/>
  <c r="M62" i="1" s="1"/>
  <c r="J61" i="1"/>
  <c r="M61" i="1" s="1"/>
  <c r="J60" i="1"/>
  <c r="M60" i="1" s="1"/>
  <c r="J59" i="1"/>
  <c r="J58" i="1"/>
  <c r="M58" i="1" s="1"/>
  <c r="J57" i="1"/>
  <c r="M57" i="1" s="1"/>
  <c r="J56" i="1"/>
  <c r="M56" i="1" s="1"/>
  <c r="J55" i="1"/>
  <c r="J54" i="1"/>
  <c r="M54" i="1" s="1"/>
  <c r="J53" i="1"/>
  <c r="M53" i="1" s="1"/>
  <c r="J52" i="1"/>
  <c r="M52" i="1" s="1"/>
  <c r="J51" i="1"/>
  <c r="J50" i="1"/>
  <c r="M50" i="1" s="1"/>
  <c r="J49" i="1"/>
  <c r="M49" i="1" s="1"/>
  <c r="J48" i="1"/>
  <c r="M48" i="1" s="1"/>
  <c r="J47" i="1"/>
  <c r="J46" i="1"/>
  <c r="J45" i="1"/>
  <c r="M45" i="1" s="1"/>
  <c r="J44" i="1"/>
  <c r="M44" i="1" s="1"/>
  <c r="J43" i="1"/>
  <c r="M43" i="1" s="1"/>
  <c r="J42" i="1"/>
  <c r="M42" i="1" s="1"/>
  <c r="J41" i="1"/>
  <c r="M41" i="1" s="1"/>
  <c r="J40" i="1"/>
  <c r="M40" i="1" s="1"/>
  <c r="J39" i="1"/>
  <c r="J38" i="1"/>
  <c r="J37" i="1"/>
  <c r="M37" i="1" s="1"/>
  <c r="J36" i="1"/>
  <c r="M36" i="1" s="1"/>
  <c r="J35" i="1"/>
  <c r="M35" i="1" s="1"/>
  <c r="J34" i="1"/>
  <c r="M34" i="1" s="1"/>
  <c r="J33" i="1"/>
  <c r="M33" i="1" s="1"/>
  <c r="J32" i="1"/>
  <c r="J31" i="1"/>
  <c r="M31" i="1" s="1"/>
  <c r="J30" i="1"/>
  <c r="M30" i="1" s="1"/>
  <c r="J29" i="1"/>
  <c r="M29" i="1" s="1"/>
  <c r="J28" i="1"/>
  <c r="J27" i="1"/>
  <c r="M27" i="1" s="1"/>
  <c r="J26" i="1"/>
  <c r="M26" i="1" s="1"/>
  <c r="J25" i="1"/>
  <c r="M25" i="1" s="1"/>
  <c r="J24" i="1"/>
  <c r="J23" i="1"/>
  <c r="M23" i="1" s="1"/>
  <c r="J22" i="1"/>
  <c r="M22" i="1" s="1"/>
  <c r="J21" i="1"/>
  <c r="M21" i="1" s="1"/>
  <c r="J20" i="1"/>
  <c r="J19" i="1"/>
  <c r="M19" i="1" s="1"/>
  <c r="J18" i="1"/>
  <c r="M18" i="1" s="1"/>
  <c r="J17" i="1"/>
  <c r="M17" i="1" s="1"/>
  <c r="J16" i="1"/>
  <c r="J15" i="1"/>
  <c r="M15" i="1" s="1"/>
  <c r="J14" i="1"/>
  <c r="M14" i="1" s="1"/>
  <c r="J13" i="1"/>
  <c r="M13" i="1" s="1"/>
  <c r="J12" i="1"/>
  <c r="M12" i="1" s="1"/>
  <c r="K2" i="1"/>
  <c r="L2" i="1" s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M11" i="1" s="1"/>
  <c r="I41" i="1"/>
  <c r="L41" i="1" s="1"/>
  <c r="M8" i="6" l="1"/>
  <c r="M6" i="6"/>
  <c r="L4" i="6"/>
  <c r="L10" i="6"/>
  <c r="M13" i="6"/>
  <c r="M17" i="6"/>
  <c r="M21" i="6"/>
  <c r="M25" i="6"/>
  <c r="M29" i="6"/>
  <c r="M33" i="6"/>
  <c r="M37" i="6"/>
  <c r="M41" i="6"/>
  <c r="M45" i="6"/>
  <c r="M49" i="6"/>
  <c r="M53" i="6"/>
  <c r="M57" i="6"/>
  <c r="M61" i="6"/>
  <c r="M65" i="6"/>
  <c r="M69" i="6"/>
  <c r="M73" i="6"/>
  <c r="M3" i="6"/>
  <c r="L39" i="6"/>
  <c r="L12" i="6"/>
  <c r="L16" i="6"/>
  <c r="L20" i="6"/>
  <c r="L24" i="6"/>
  <c r="L28" i="6"/>
  <c r="L32" i="6"/>
  <c r="L38" i="6"/>
  <c r="L46" i="6"/>
  <c r="L50" i="6"/>
  <c r="L54" i="6"/>
  <c r="L58" i="6"/>
  <c r="L62" i="6"/>
  <c r="L66" i="6"/>
  <c r="L70" i="6"/>
  <c r="L74" i="6"/>
  <c r="L11" i="6"/>
  <c r="M10" i="6"/>
  <c r="M14" i="6"/>
  <c r="M18" i="6"/>
  <c r="M22" i="6"/>
  <c r="M26" i="6"/>
  <c r="M30" i="6"/>
  <c r="M34" i="6"/>
  <c r="M38" i="6"/>
  <c r="M42" i="6"/>
  <c r="M46" i="6"/>
  <c r="M50" i="6"/>
  <c r="M54" i="6"/>
  <c r="M58" i="6"/>
  <c r="M62" i="6"/>
  <c r="M66" i="6"/>
  <c r="M70" i="6"/>
  <c r="M74" i="6"/>
  <c r="M2" i="6"/>
  <c r="L40" i="6"/>
  <c r="L13" i="6"/>
  <c r="L17" i="6"/>
  <c r="L21" i="6"/>
  <c r="L25" i="6"/>
  <c r="L29" i="6"/>
  <c r="L33" i="6"/>
  <c r="L43" i="6"/>
  <c r="L47" i="6"/>
  <c r="L51" i="6"/>
  <c r="L55" i="6"/>
  <c r="L59" i="6"/>
  <c r="L63" i="6"/>
  <c r="L67" i="6"/>
  <c r="L71" i="6"/>
  <c r="L75" i="6"/>
  <c r="M7" i="6"/>
  <c r="M11" i="6"/>
  <c r="M15" i="6"/>
  <c r="M19" i="6"/>
  <c r="M23" i="6"/>
  <c r="M27" i="6"/>
  <c r="M31" i="6"/>
  <c r="M35" i="6"/>
  <c r="M39" i="6"/>
  <c r="M43" i="6"/>
  <c r="M47" i="6"/>
  <c r="M51" i="6"/>
  <c r="M55" i="6"/>
  <c r="M59" i="6"/>
  <c r="M63" i="6"/>
  <c r="M67" i="6"/>
  <c r="M71" i="6"/>
  <c r="M75" i="6"/>
  <c r="M5" i="6"/>
  <c r="L35" i="6"/>
  <c r="L41" i="6"/>
  <c r="L14" i="6"/>
  <c r="L18" i="6"/>
  <c r="L22" i="6"/>
  <c r="L26" i="6"/>
  <c r="L30" i="6"/>
  <c r="L34" i="6"/>
  <c r="L44" i="6"/>
  <c r="L48" i="6"/>
  <c r="L52" i="6"/>
  <c r="L56" i="6"/>
  <c r="L60" i="6"/>
  <c r="L64" i="6"/>
  <c r="L68" i="6"/>
  <c r="L72" i="6"/>
  <c r="L76" i="6"/>
  <c r="L7" i="6"/>
  <c r="M12" i="6"/>
  <c r="M16" i="6"/>
  <c r="M20" i="6"/>
  <c r="M24" i="6"/>
  <c r="M28" i="6"/>
  <c r="M32" i="6"/>
  <c r="M36" i="6"/>
  <c r="M40" i="6"/>
  <c r="M44" i="6"/>
  <c r="M48" i="6"/>
  <c r="M52" i="6"/>
  <c r="M56" i="6"/>
  <c r="M60" i="6"/>
  <c r="M64" i="6"/>
  <c r="M68" i="6"/>
  <c r="M72" i="6"/>
  <c r="M76" i="6"/>
  <c r="M4" i="6"/>
  <c r="L37" i="6"/>
  <c r="L42" i="6"/>
  <c r="L15" i="6"/>
  <c r="L19" i="6"/>
  <c r="L23" i="6"/>
  <c r="L27" i="6"/>
  <c r="L31" i="6"/>
  <c r="L36" i="6"/>
  <c r="L45" i="6"/>
  <c r="L49" i="6"/>
  <c r="L53" i="6"/>
  <c r="L57" i="6"/>
  <c r="L61" i="6"/>
  <c r="L65" i="6"/>
  <c r="L69" i="6"/>
  <c r="L73" i="6"/>
  <c r="M7" i="5"/>
  <c r="L72" i="5"/>
  <c r="L64" i="5"/>
  <c r="L56" i="5"/>
  <c r="L48" i="5"/>
  <c r="L40" i="5"/>
  <c r="M76" i="5"/>
  <c r="M60" i="5"/>
  <c r="M44" i="5"/>
  <c r="M41" i="5"/>
  <c r="M49" i="5"/>
  <c r="M57" i="5"/>
  <c r="M65" i="5"/>
  <c r="M73" i="5"/>
  <c r="M5" i="5"/>
  <c r="L68" i="5"/>
  <c r="L60" i="5"/>
  <c r="L52" i="5"/>
  <c r="L44" i="5"/>
  <c r="L36" i="5"/>
  <c r="M68" i="5"/>
  <c r="M52" i="5"/>
  <c r="M37" i="5"/>
  <c r="M45" i="5"/>
  <c r="M53" i="5"/>
  <c r="M61" i="5"/>
  <c r="M69" i="5"/>
  <c r="M17" i="4"/>
  <c r="M25" i="4"/>
  <c r="M37" i="4"/>
  <c r="M41" i="4"/>
  <c r="M45" i="4"/>
  <c r="M49" i="4"/>
  <c r="M53" i="4"/>
  <c r="M57" i="4"/>
  <c r="M61" i="4"/>
  <c r="M65" i="4"/>
  <c r="M69" i="4"/>
  <c r="M73" i="4"/>
  <c r="L37" i="4"/>
  <c r="L41" i="4"/>
  <c r="L45" i="4"/>
  <c r="L49" i="4"/>
  <c r="L53" i="4"/>
  <c r="L57" i="4"/>
  <c r="L61" i="4"/>
  <c r="L65" i="4"/>
  <c r="L69" i="4"/>
  <c r="L73" i="4"/>
  <c r="M10" i="4"/>
  <c r="M33" i="4"/>
  <c r="O12" i="4"/>
  <c r="Q12" i="4" s="1"/>
  <c r="R12" i="4"/>
  <c r="R46" i="4"/>
  <c r="R62" i="4"/>
  <c r="N12" i="4"/>
  <c r="R36" i="4" s="1"/>
  <c r="R74" i="4"/>
  <c r="R20" i="4"/>
  <c r="R28" i="4"/>
  <c r="R9" i="4"/>
  <c r="S36" i="4"/>
  <c r="M29" i="4"/>
  <c r="S35" i="4"/>
  <c r="S43" i="4"/>
  <c r="S51" i="4"/>
  <c r="S59" i="4"/>
  <c r="S67" i="4"/>
  <c r="S75" i="4"/>
  <c r="S5" i="4"/>
  <c r="R35" i="4"/>
  <c r="R39" i="4"/>
  <c r="R47" i="4"/>
  <c r="R51" i="4"/>
  <c r="R55" i="4"/>
  <c r="R63" i="4"/>
  <c r="R67" i="4"/>
  <c r="R71" i="4"/>
  <c r="L17" i="4"/>
  <c r="R17" i="4" s="1"/>
  <c r="L21" i="4"/>
  <c r="R21" i="4" s="1"/>
  <c r="L25" i="4"/>
  <c r="R25" i="4" s="1"/>
  <c r="L29" i="4"/>
  <c r="R29" i="4" s="1"/>
  <c r="L33" i="4"/>
  <c r="R33" i="4" s="1"/>
  <c r="S23" i="4"/>
  <c r="M13" i="4"/>
  <c r="S13" i="4" s="1"/>
  <c r="M11" i="4"/>
  <c r="S11" i="4" s="1"/>
  <c r="R4" i="4"/>
  <c r="N12" i="2"/>
  <c r="P12" i="2" s="1"/>
  <c r="R28" i="2"/>
  <c r="R12" i="2"/>
  <c r="M38" i="2"/>
  <c r="M42" i="2"/>
  <c r="M46" i="2"/>
  <c r="M50" i="2"/>
  <c r="M54" i="2"/>
  <c r="M58" i="2"/>
  <c r="M62" i="2"/>
  <c r="M66" i="2"/>
  <c r="M70" i="2"/>
  <c r="M74" i="2"/>
  <c r="R39" i="2"/>
  <c r="R47" i="2"/>
  <c r="R55" i="2"/>
  <c r="R63" i="2"/>
  <c r="R71" i="2"/>
  <c r="R31" i="2"/>
  <c r="R23" i="2"/>
  <c r="R19" i="2"/>
  <c r="R15" i="2"/>
  <c r="R11" i="2"/>
  <c r="R7" i="2"/>
  <c r="L3" i="2"/>
  <c r="R3" i="2" s="1"/>
  <c r="M35" i="2"/>
  <c r="M39" i="2"/>
  <c r="M43" i="2"/>
  <c r="M47" i="2"/>
  <c r="M51" i="2"/>
  <c r="M55" i="2"/>
  <c r="M59" i="2"/>
  <c r="M63" i="2"/>
  <c r="M67" i="2"/>
  <c r="M71" i="2"/>
  <c r="M75" i="2"/>
  <c r="R36" i="2"/>
  <c r="R40" i="2"/>
  <c r="R44" i="2"/>
  <c r="R48" i="2"/>
  <c r="R52" i="2"/>
  <c r="R56" i="2"/>
  <c r="R60" i="2"/>
  <c r="R64" i="2"/>
  <c r="R68" i="2"/>
  <c r="R72" i="2"/>
  <c r="R76" i="2"/>
  <c r="R30" i="2"/>
  <c r="R26" i="2"/>
  <c r="R22" i="2"/>
  <c r="R18" i="2"/>
  <c r="R14" i="2"/>
  <c r="R10" i="2"/>
  <c r="R6" i="2"/>
  <c r="R2" i="2"/>
  <c r="M36" i="2"/>
  <c r="M40" i="2"/>
  <c r="M44" i="2"/>
  <c r="M48" i="2"/>
  <c r="M52" i="2"/>
  <c r="M56" i="2"/>
  <c r="M60" i="2"/>
  <c r="M64" i="2"/>
  <c r="M68" i="2"/>
  <c r="M72" i="2"/>
  <c r="M76" i="2"/>
  <c r="R37" i="2"/>
  <c r="R41" i="2"/>
  <c r="R45" i="2"/>
  <c r="R49" i="2"/>
  <c r="R53" i="2"/>
  <c r="R57" i="2"/>
  <c r="R61" i="2"/>
  <c r="R65" i="2"/>
  <c r="R69" i="2"/>
  <c r="R73" i="2"/>
  <c r="R33" i="2"/>
  <c r="R29" i="2"/>
  <c r="R25" i="2"/>
  <c r="R21" i="2"/>
  <c r="R17" i="2"/>
  <c r="R13" i="2"/>
  <c r="R9" i="2"/>
  <c r="R5" i="2"/>
  <c r="M37" i="2"/>
  <c r="M41" i="2"/>
  <c r="M45" i="2"/>
  <c r="M49" i="2"/>
  <c r="M53" i="2"/>
  <c r="M57" i="2"/>
  <c r="M61" i="2"/>
  <c r="M65" i="2"/>
  <c r="M69" i="2"/>
  <c r="M73" i="2"/>
  <c r="R34" i="2"/>
  <c r="M38" i="1"/>
  <c r="M46" i="1"/>
  <c r="L39" i="1"/>
  <c r="M9" i="1"/>
  <c r="M5" i="1"/>
  <c r="L51" i="1"/>
  <c r="L55" i="1"/>
  <c r="L59" i="1"/>
  <c r="L63" i="1"/>
  <c r="L67" i="1"/>
  <c r="L71" i="1"/>
  <c r="L75" i="1"/>
  <c r="M39" i="1"/>
  <c r="M47" i="1"/>
  <c r="M51" i="1"/>
  <c r="M55" i="1"/>
  <c r="M59" i="1"/>
  <c r="M63" i="1"/>
  <c r="M67" i="1"/>
  <c r="O12" i="1" s="1"/>
  <c r="M71" i="1"/>
  <c r="M75" i="1"/>
  <c r="M8" i="1"/>
  <c r="M4" i="1"/>
  <c r="M16" i="1"/>
  <c r="M20" i="1"/>
  <c r="M24" i="1"/>
  <c r="M28" i="1"/>
  <c r="M32" i="1"/>
  <c r="M7" i="1"/>
  <c r="M3" i="1"/>
  <c r="L16" i="1"/>
  <c r="L20" i="1"/>
  <c r="L24" i="1"/>
  <c r="L28" i="1"/>
  <c r="L32" i="1"/>
  <c r="L12" i="1"/>
  <c r="O12" i="6" l="1"/>
  <c r="S5" i="6" s="1"/>
  <c r="N12" i="6"/>
  <c r="R61" i="6" s="1"/>
  <c r="S69" i="5"/>
  <c r="O12" i="5"/>
  <c r="S57" i="5"/>
  <c r="S52" i="5"/>
  <c r="S49" i="5"/>
  <c r="S7" i="5"/>
  <c r="N12" i="5"/>
  <c r="R64" i="5" s="1"/>
  <c r="S65" i="5"/>
  <c r="S37" i="5"/>
  <c r="S60" i="5"/>
  <c r="S53" i="5"/>
  <c r="S68" i="5"/>
  <c r="S73" i="5"/>
  <c r="S41" i="5"/>
  <c r="S54" i="4"/>
  <c r="S38" i="4"/>
  <c r="S21" i="4"/>
  <c r="S31" i="4"/>
  <c r="R19" i="4"/>
  <c r="R65" i="4"/>
  <c r="R49" i="4"/>
  <c r="S3" i="4"/>
  <c r="S73" i="4"/>
  <c r="S57" i="4"/>
  <c r="S41" i="4"/>
  <c r="S28" i="4"/>
  <c r="S6" i="4"/>
  <c r="R26" i="4"/>
  <c r="R72" i="4"/>
  <c r="R56" i="4"/>
  <c r="R40" i="4"/>
  <c r="S18" i="4"/>
  <c r="S64" i="4"/>
  <c r="S44" i="4"/>
  <c r="R11" i="4"/>
  <c r="S71" i="4"/>
  <c r="S55" i="4"/>
  <c r="S39" i="4"/>
  <c r="R3" i="4"/>
  <c r="R14" i="4"/>
  <c r="R24" i="4"/>
  <c r="R70" i="4"/>
  <c r="R58" i="4"/>
  <c r="R42" i="4"/>
  <c r="S26" i="4"/>
  <c r="S66" i="4"/>
  <c r="S50" i="4"/>
  <c r="R7" i="4"/>
  <c r="R5" i="4"/>
  <c r="R31" i="4"/>
  <c r="R15" i="4"/>
  <c r="R61" i="4"/>
  <c r="R45" i="4"/>
  <c r="R8" i="4"/>
  <c r="S69" i="4"/>
  <c r="S53" i="4"/>
  <c r="S37" i="4"/>
  <c r="S52" i="4"/>
  <c r="S19" i="4"/>
  <c r="R22" i="4"/>
  <c r="R68" i="4"/>
  <c r="R52" i="4"/>
  <c r="S76" i="4"/>
  <c r="S60" i="4"/>
  <c r="S40" i="4"/>
  <c r="S34" i="4"/>
  <c r="S7" i="4"/>
  <c r="S27" i="4"/>
  <c r="P12" i="4"/>
  <c r="R2" i="4"/>
  <c r="R54" i="4"/>
  <c r="R38" i="4"/>
  <c r="S74" i="4"/>
  <c r="S62" i="4"/>
  <c r="S46" i="4"/>
  <c r="S12" i="4"/>
  <c r="S10" i="4"/>
  <c r="R27" i="4"/>
  <c r="R73" i="4"/>
  <c r="R57" i="4"/>
  <c r="R41" i="4"/>
  <c r="S14" i="4"/>
  <c r="S65" i="4"/>
  <c r="S49" i="4"/>
  <c r="S25" i="4"/>
  <c r="R10" i="4"/>
  <c r="R34" i="4"/>
  <c r="R18" i="4"/>
  <c r="R64" i="4"/>
  <c r="R48" i="4"/>
  <c r="S4" i="4"/>
  <c r="S72" i="4"/>
  <c r="S56" i="4"/>
  <c r="S8" i="4"/>
  <c r="R13" i="4"/>
  <c r="S20" i="4"/>
  <c r="R75" i="4"/>
  <c r="R59" i="4"/>
  <c r="R43" i="4"/>
  <c r="S22" i="4"/>
  <c r="S63" i="4"/>
  <c r="S47" i="4"/>
  <c r="S29" i="4"/>
  <c r="S24" i="4"/>
  <c r="R32" i="4"/>
  <c r="R16" i="4"/>
  <c r="R66" i="4"/>
  <c r="R50" i="4"/>
  <c r="S2" i="4"/>
  <c r="S70" i="4"/>
  <c r="S58" i="4"/>
  <c r="S42" i="4"/>
  <c r="S33" i="4"/>
  <c r="S15" i="4"/>
  <c r="R23" i="4"/>
  <c r="R69" i="4"/>
  <c r="R53" i="4"/>
  <c r="R37" i="4"/>
  <c r="S30" i="4"/>
  <c r="S61" i="4"/>
  <c r="S45" i="4"/>
  <c r="S17" i="4"/>
  <c r="S16" i="4"/>
  <c r="R30" i="4"/>
  <c r="R76" i="4"/>
  <c r="R60" i="4"/>
  <c r="R44" i="4"/>
  <c r="S9" i="4"/>
  <c r="S68" i="4"/>
  <c r="S48" i="4"/>
  <c r="S32" i="4"/>
  <c r="R6" i="4"/>
  <c r="S36" i="2"/>
  <c r="S43" i="2"/>
  <c r="S66" i="2"/>
  <c r="O12" i="2"/>
  <c r="S68" i="2" s="1"/>
  <c r="R4" i="2"/>
  <c r="R20" i="2"/>
  <c r="R74" i="2"/>
  <c r="R62" i="2"/>
  <c r="R46" i="2"/>
  <c r="S65" i="2"/>
  <c r="S61" i="2"/>
  <c r="S45" i="2"/>
  <c r="S64" i="2"/>
  <c r="S48" i="2"/>
  <c r="S71" i="2"/>
  <c r="S55" i="2"/>
  <c r="S39" i="2"/>
  <c r="R27" i="2"/>
  <c r="R67" i="2"/>
  <c r="R51" i="2"/>
  <c r="R35" i="2"/>
  <c r="S62" i="2"/>
  <c r="S46" i="2"/>
  <c r="R8" i="2"/>
  <c r="R24" i="2"/>
  <c r="R70" i="2"/>
  <c r="R58" i="2"/>
  <c r="R42" i="2"/>
  <c r="S73" i="2"/>
  <c r="S41" i="2"/>
  <c r="S76" i="2"/>
  <c r="S60" i="2"/>
  <c r="S44" i="2"/>
  <c r="S67" i="2"/>
  <c r="S51" i="2"/>
  <c r="S35" i="2"/>
  <c r="S74" i="2"/>
  <c r="S58" i="2"/>
  <c r="S42" i="2"/>
  <c r="R54" i="2"/>
  <c r="R38" i="2"/>
  <c r="S57" i="2"/>
  <c r="S69" i="2"/>
  <c r="S53" i="2"/>
  <c r="S37" i="2"/>
  <c r="S72" i="2"/>
  <c r="S56" i="2"/>
  <c r="S40" i="2"/>
  <c r="S63" i="2"/>
  <c r="S47" i="2"/>
  <c r="R75" i="2"/>
  <c r="R59" i="2"/>
  <c r="R43" i="2"/>
  <c r="S70" i="2"/>
  <c r="S54" i="2"/>
  <c r="S38" i="2"/>
  <c r="R16" i="2"/>
  <c r="R32" i="2"/>
  <c r="R66" i="2"/>
  <c r="R50" i="2"/>
  <c r="Q12" i="1"/>
  <c r="S29" i="1"/>
  <c r="S14" i="1"/>
  <c r="S30" i="1"/>
  <c r="S62" i="1"/>
  <c r="S74" i="1"/>
  <c r="S53" i="1"/>
  <c r="S15" i="1"/>
  <c r="S31" i="1"/>
  <c r="S25" i="1"/>
  <c r="S69" i="1"/>
  <c r="S36" i="1"/>
  <c r="S52" i="1"/>
  <c r="S68" i="1"/>
  <c r="S45" i="1"/>
  <c r="S12" i="1"/>
  <c r="S60" i="1"/>
  <c r="S17" i="1"/>
  <c r="S42" i="1"/>
  <c r="S70" i="1"/>
  <c r="S41" i="1"/>
  <c r="S43" i="1"/>
  <c r="S11" i="1"/>
  <c r="S49" i="1"/>
  <c r="S18" i="1"/>
  <c r="S34" i="1"/>
  <c r="S50" i="1"/>
  <c r="S66" i="1"/>
  <c r="S21" i="1"/>
  <c r="S65" i="1"/>
  <c r="S19" i="1"/>
  <c r="S35" i="1"/>
  <c r="S37" i="1"/>
  <c r="S40" i="1"/>
  <c r="S56" i="1"/>
  <c r="S72" i="1"/>
  <c r="S2" i="1"/>
  <c r="S76" i="1"/>
  <c r="S73" i="1"/>
  <c r="S26" i="1"/>
  <c r="S58" i="1"/>
  <c r="S6" i="1"/>
  <c r="S27" i="1"/>
  <c r="S57" i="1"/>
  <c r="S48" i="1"/>
  <c r="S64" i="1"/>
  <c r="S61" i="1"/>
  <c r="S22" i="1"/>
  <c r="S54" i="1"/>
  <c r="S33" i="1"/>
  <c r="S10" i="1"/>
  <c r="S23" i="1"/>
  <c r="S44" i="1"/>
  <c r="S13" i="1"/>
  <c r="R53" i="1"/>
  <c r="S32" i="1"/>
  <c r="S75" i="1"/>
  <c r="R71" i="1"/>
  <c r="R70" i="1"/>
  <c r="S4" i="1"/>
  <c r="S71" i="1"/>
  <c r="S55" i="1"/>
  <c r="S39" i="1"/>
  <c r="R62" i="1"/>
  <c r="R22" i="1"/>
  <c r="S9" i="1"/>
  <c r="S38" i="1"/>
  <c r="R54" i="1"/>
  <c r="R60" i="1"/>
  <c r="S59" i="1"/>
  <c r="S5" i="1"/>
  <c r="R65" i="1"/>
  <c r="S28" i="1"/>
  <c r="R61" i="1"/>
  <c r="S24" i="1"/>
  <c r="R5" i="1"/>
  <c r="R68" i="1"/>
  <c r="S8" i="1"/>
  <c r="S67" i="1"/>
  <c r="S51" i="1"/>
  <c r="R40" i="1"/>
  <c r="R39" i="1"/>
  <c r="S7" i="1"/>
  <c r="S16" i="1"/>
  <c r="R31" i="1"/>
  <c r="R3" i="1"/>
  <c r="R73" i="1"/>
  <c r="S3" i="1"/>
  <c r="S20" i="1"/>
  <c r="R64" i="1"/>
  <c r="S63" i="1"/>
  <c r="S47" i="1"/>
  <c r="R4" i="1"/>
  <c r="R14" i="1"/>
  <c r="S46" i="1"/>
  <c r="N12" i="1"/>
  <c r="P12" i="1" s="1"/>
  <c r="R45" i="1"/>
  <c r="S25" i="6" l="1"/>
  <c r="S73" i="6"/>
  <c r="S54" i="6"/>
  <c r="S35" i="6"/>
  <c r="S44" i="6"/>
  <c r="S51" i="6"/>
  <c r="S66" i="6"/>
  <c r="S9" i="6"/>
  <c r="S38" i="6"/>
  <c r="S28" i="6"/>
  <c r="S64" i="6"/>
  <c r="S41" i="6"/>
  <c r="R11" i="6"/>
  <c r="S70" i="6"/>
  <c r="S67" i="6"/>
  <c r="S60" i="6"/>
  <c r="S63" i="6"/>
  <c r="S49" i="6"/>
  <c r="S6" i="6"/>
  <c r="S57" i="6"/>
  <c r="S22" i="6"/>
  <c r="S19" i="6"/>
  <c r="S12" i="6"/>
  <c r="S76" i="6"/>
  <c r="S26" i="6"/>
  <c r="S75" i="6"/>
  <c r="S42" i="6"/>
  <c r="S52" i="6"/>
  <c r="S34" i="6"/>
  <c r="S45" i="6"/>
  <c r="S7" i="6"/>
  <c r="S30" i="6"/>
  <c r="S37" i="6"/>
  <c r="S61" i="6"/>
  <c r="S71" i="6"/>
  <c r="S11" i="6"/>
  <c r="S40" i="6"/>
  <c r="R31" i="6"/>
  <c r="R17" i="6"/>
  <c r="R38" i="6"/>
  <c r="R67" i="6"/>
  <c r="R73" i="6"/>
  <c r="R32" i="6"/>
  <c r="R46" i="6"/>
  <c r="R68" i="6"/>
  <c r="R62" i="6"/>
  <c r="R28" i="6"/>
  <c r="R60" i="6"/>
  <c r="R42" i="6"/>
  <c r="R27" i="6"/>
  <c r="R21" i="6"/>
  <c r="R63" i="6"/>
  <c r="R64" i="6"/>
  <c r="R45" i="6"/>
  <c r="R50" i="6"/>
  <c r="R13" i="6"/>
  <c r="R35" i="6"/>
  <c r="R76" i="6"/>
  <c r="R53" i="6"/>
  <c r="R24" i="6"/>
  <c r="R40" i="6"/>
  <c r="R18" i="6"/>
  <c r="R65" i="6"/>
  <c r="R54" i="6"/>
  <c r="R33" i="6"/>
  <c r="S23" i="6"/>
  <c r="R41" i="6"/>
  <c r="S16" i="6"/>
  <c r="S4" i="6"/>
  <c r="S47" i="6"/>
  <c r="R2" i="6"/>
  <c r="S65" i="6"/>
  <c r="R58" i="6"/>
  <c r="S46" i="6"/>
  <c r="R43" i="6"/>
  <c r="S27" i="6"/>
  <c r="R14" i="6"/>
  <c r="R7" i="6"/>
  <c r="S68" i="6"/>
  <c r="S53" i="6"/>
  <c r="S18" i="6"/>
  <c r="S31" i="6"/>
  <c r="S72" i="6"/>
  <c r="P12" i="6"/>
  <c r="R4" i="6"/>
  <c r="R3" i="6"/>
  <c r="R8" i="6"/>
  <c r="R5" i="6"/>
  <c r="R29" i="6"/>
  <c r="R22" i="6"/>
  <c r="R69" i="6"/>
  <c r="R47" i="6"/>
  <c r="R72" i="6"/>
  <c r="S13" i="6"/>
  <c r="R9" i="6"/>
  <c r="R70" i="6"/>
  <c r="S58" i="6"/>
  <c r="R55" i="6"/>
  <c r="S39" i="6"/>
  <c r="R26" i="6"/>
  <c r="S32" i="6"/>
  <c r="R19" i="6"/>
  <c r="R34" i="6"/>
  <c r="S17" i="6"/>
  <c r="S3" i="6"/>
  <c r="R74" i="6"/>
  <c r="S62" i="6"/>
  <c r="R59" i="6"/>
  <c r="S43" i="6"/>
  <c r="R30" i="6"/>
  <c r="S20" i="6"/>
  <c r="R37" i="6"/>
  <c r="R10" i="6"/>
  <c r="S69" i="6"/>
  <c r="S50" i="6"/>
  <c r="R49" i="6"/>
  <c r="R12" i="6"/>
  <c r="R66" i="6"/>
  <c r="R51" i="6"/>
  <c r="R44" i="6"/>
  <c r="R15" i="6"/>
  <c r="R36" i="6"/>
  <c r="Q12" i="6"/>
  <c r="S8" i="6"/>
  <c r="S15" i="6"/>
  <c r="S56" i="6"/>
  <c r="S29" i="6"/>
  <c r="R16" i="6"/>
  <c r="S10" i="6"/>
  <c r="S74" i="6"/>
  <c r="R71" i="6"/>
  <c r="S55" i="6"/>
  <c r="R48" i="6"/>
  <c r="S48" i="6"/>
  <c r="R57" i="6"/>
  <c r="S24" i="6"/>
  <c r="S33" i="6"/>
  <c r="R20" i="6"/>
  <c r="S14" i="6"/>
  <c r="S2" i="6"/>
  <c r="R75" i="6"/>
  <c r="S59" i="6"/>
  <c r="R52" i="6"/>
  <c r="S36" i="6"/>
  <c r="R23" i="6"/>
  <c r="S21" i="6"/>
  <c r="R39" i="6"/>
  <c r="R25" i="6"/>
  <c r="R56" i="6"/>
  <c r="R6" i="6"/>
  <c r="R40" i="5"/>
  <c r="R56" i="5"/>
  <c r="R44" i="5"/>
  <c r="Q12" i="5"/>
  <c r="S36" i="5"/>
  <c r="S72" i="5"/>
  <c r="S47" i="5"/>
  <c r="S3" i="5"/>
  <c r="S19" i="5"/>
  <c r="S70" i="5"/>
  <c r="S16" i="5"/>
  <c r="S32" i="5"/>
  <c r="S67" i="5"/>
  <c r="S13" i="5"/>
  <c r="S29" i="5"/>
  <c r="S6" i="5"/>
  <c r="S22" i="5"/>
  <c r="S48" i="5"/>
  <c r="S62" i="5"/>
  <c r="S58" i="5"/>
  <c r="S63" i="5"/>
  <c r="S11" i="5"/>
  <c r="S38" i="5"/>
  <c r="S8" i="5"/>
  <c r="S24" i="5"/>
  <c r="S51" i="5"/>
  <c r="S14" i="5"/>
  <c r="S30" i="5"/>
  <c r="S64" i="5"/>
  <c r="S42" i="5"/>
  <c r="S71" i="5"/>
  <c r="S31" i="5"/>
  <c r="S28" i="5"/>
  <c r="S2" i="5"/>
  <c r="S34" i="5"/>
  <c r="S56" i="5"/>
  <c r="S40" i="5"/>
  <c r="S46" i="5"/>
  <c r="S74" i="5"/>
  <c r="S55" i="5"/>
  <c r="S23" i="5"/>
  <c r="S54" i="5"/>
  <c r="S4" i="5"/>
  <c r="S20" i="5"/>
  <c r="S66" i="5"/>
  <c r="S43" i="5"/>
  <c r="S75" i="5"/>
  <c r="S17" i="5"/>
  <c r="S33" i="5"/>
  <c r="S10" i="5"/>
  <c r="S26" i="5"/>
  <c r="S27" i="5"/>
  <c r="S21" i="5"/>
  <c r="S39" i="5"/>
  <c r="S15" i="5"/>
  <c r="S12" i="5"/>
  <c r="S35" i="5"/>
  <c r="S50" i="5"/>
  <c r="S59" i="5"/>
  <c r="S9" i="5"/>
  <c r="S25" i="5"/>
  <c r="S18" i="5"/>
  <c r="S44" i="5"/>
  <c r="P12" i="5"/>
  <c r="R2" i="5"/>
  <c r="R17" i="5"/>
  <c r="R25" i="5"/>
  <c r="R33" i="5"/>
  <c r="R12" i="5"/>
  <c r="R16" i="5"/>
  <c r="R24" i="5"/>
  <c r="R32" i="5"/>
  <c r="R10" i="5"/>
  <c r="R18" i="5"/>
  <c r="R26" i="5"/>
  <c r="R34" i="5"/>
  <c r="R19" i="5"/>
  <c r="R27" i="5"/>
  <c r="R8" i="5"/>
  <c r="R13" i="5"/>
  <c r="R21" i="5"/>
  <c r="R29" i="5"/>
  <c r="R6" i="5"/>
  <c r="R20" i="5"/>
  <c r="R28" i="5"/>
  <c r="R14" i="5"/>
  <c r="R22" i="5"/>
  <c r="R30" i="5"/>
  <c r="R4" i="5"/>
  <c r="R15" i="5"/>
  <c r="R23" i="5"/>
  <c r="R31" i="5"/>
  <c r="R55" i="5"/>
  <c r="R49" i="5"/>
  <c r="R69" i="5"/>
  <c r="R66" i="5"/>
  <c r="R42" i="5"/>
  <c r="R7" i="5"/>
  <c r="R5" i="5"/>
  <c r="R70" i="5"/>
  <c r="R38" i="5"/>
  <c r="R11" i="5"/>
  <c r="R43" i="5"/>
  <c r="R37" i="5"/>
  <c r="R57" i="5"/>
  <c r="R54" i="5"/>
  <c r="R75" i="5"/>
  <c r="R45" i="5"/>
  <c r="R74" i="5"/>
  <c r="R46" i="5"/>
  <c r="R59" i="5"/>
  <c r="R76" i="5"/>
  <c r="R53" i="5"/>
  <c r="R67" i="5"/>
  <c r="R73" i="5"/>
  <c r="R63" i="5"/>
  <c r="R62" i="5"/>
  <c r="R3" i="5"/>
  <c r="R39" i="5"/>
  <c r="R61" i="5"/>
  <c r="R58" i="5"/>
  <c r="R51" i="5"/>
  <c r="R47" i="5"/>
  <c r="R71" i="5"/>
  <c r="R65" i="5"/>
  <c r="R50" i="5"/>
  <c r="R35" i="5"/>
  <c r="R41" i="5"/>
  <c r="R9" i="5"/>
  <c r="R36" i="5"/>
  <c r="R48" i="5"/>
  <c r="R72" i="5"/>
  <c r="R52" i="5"/>
  <c r="S5" i="5"/>
  <c r="R60" i="5"/>
  <c r="S76" i="5"/>
  <c r="S61" i="5"/>
  <c r="R68" i="5"/>
  <c r="S45" i="5"/>
  <c r="S52" i="2"/>
  <c r="S50" i="2"/>
  <c r="S59" i="2"/>
  <c r="Q12" i="2"/>
  <c r="S34" i="2"/>
  <c r="S18" i="2"/>
  <c r="S2" i="2"/>
  <c r="S25" i="2"/>
  <c r="S9" i="2"/>
  <c r="S32" i="2"/>
  <c r="S16" i="2"/>
  <c r="S23" i="2"/>
  <c r="S7" i="2"/>
  <c r="S19" i="2"/>
  <c r="S30" i="2"/>
  <c r="S14" i="2"/>
  <c r="S21" i="2"/>
  <c r="S5" i="2"/>
  <c r="S28" i="2"/>
  <c r="S12" i="2"/>
  <c r="S3" i="2"/>
  <c r="S26" i="2"/>
  <c r="S10" i="2"/>
  <c r="S33" i="2"/>
  <c r="S17" i="2"/>
  <c r="S24" i="2"/>
  <c r="S8" i="2"/>
  <c r="S31" i="2"/>
  <c r="S15" i="2"/>
  <c r="S22" i="2"/>
  <c r="S6" i="2"/>
  <c r="S29" i="2"/>
  <c r="S13" i="2"/>
  <c r="S20" i="2"/>
  <c r="S4" i="2"/>
  <c r="S27" i="2"/>
  <c r="S11" i="2"/>
  <c r="S75" i="2"/>
  <c r="S49" i="2"/>
  <c r="R17" i="1"/>
  <c r="R30" i="1"/>
  <c r="R21" i="1"/>
  <c r="R13" i="1"/>
  <c r="R42" i="1"/>
  <c r="R56" i="1"/>
  <c r="R55" i="1"/>
  <c r="R76" i="1"/>
  <c r="R69" i="1"/>
  <c r="R18" i="1"/>
  <c r="R33" i="1"/>
  <c r="R37" i="1"/>
  <c r="R36" i="1"/>
  <c r="R11" i="1"/>
  <c r="R7" i="1"/>
  <c r="R51" i="1"/>
  <c r="R6" i="1"/>
  <c r="R49" i="1"/>
  <c r="R74" i="1"/>
  <c r="R59" i="1"/>
  <c r="R46" i="1"/>
  <c r="R19" i="1"/>
  <c r="R50" i="1"/>
  <c r="R28" i="1"/>
  <c r="R20" i="1"/>
  <c r="R2" i="1"/>
  <c r="R25" i="1"/>
  <c r="R29" i="1"/>
  <c r="R34" i="1"/>
  <c r="R10" i="1"/>
  <c r="R23" i="1"/>
  <c r="R47" i="1"/>
  <c r="R16" i="1"/>
  <c r="R27" i="1"/>
  <c r="R35" i="1"/>
  <c r="R24" i="1"/>
  <c r="R67" i="1"/>
  <c r="R72" i="1"/>
  <c r="R66" i="1"/>
  <c r="R75" i="1"/>
  <c r="R48" i="1"/>
  <c r="R9" i="1"/>
  <c r="R57" i="1"/>
  <c r="R44" i="1"/>
  <c r="R15" i="1"/>
  <c r="R38" i="1"/>
  <c r="R63" i="1"/>
  <c r="R52" i="1"/>
  <c r="R58" i="1"/>
  <c r="R32" i="1"/>
  <c r="R12" i="1"/>
  <c r="R43" i="1"/>
  <c r="R8" i="1"/>
  <c r="R26" i="1"/>
  <c r="R41" i="1"/>
</calcChain>
</file>

<file path=xl/sharedStrings.xml><?xml version="1.0" encoding="utf-8"?>
<sst xmlns="http://schemas.openxmlformats.org/spreadsheetml/2006/main" count="90" uniqueCount="17">
  <si>
    <t>Time [s]</t>
  </si>
  <si>
    <t>Adjusted time [s]</t>
  </si>
  <si>
    <t>Intensity Region 1</t>
  </si>
  <si>
    <t>Intensity Region 2</t>
  </si>
  <si>
    <t>Intensity Region 3</t>
  </si>
  <si>
    <t>Average Region 1</t>
  </si>
  <si>
    <t>Average Region 2</t>
  </si>
  <si>
    <t>Average Region 3</t>
  </si>
  <si>
    <t>Normalized Region 1</t>
  </si>
  <si>
    <t>Normalized Region 2</t>
  </si>
  <si>
    <t>Normalized Region 3</t>
  </si>
  <si>
    <t>Normalized 2 Region 1</t>
  </si>
  <si>
    <t>Normalized 2 Region 2</t>
  </si>
  <si>
    <t>R(t) Region 1</t>
  </si>
  <si>
    <t>R(t) Region 2</t>
  </si>
  <si>
    <t xml:space="preserve">Intensity Region 1 </t>
  </si>
  <si>
    <t xml:space="preserve">Intensity Region 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</si>
</sst>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'[1]6'!$R$1</c:f>
              <c:strCache>
                <c:ptCount val="1"/>
                <c:pt idx="0">
                  <c:v>R(t) Region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'[1]6'!$B$2:$B$76</c:f>
              <c:numCache>
                <c:formatCode>General</c:formatCode>
                <c:ptCount val="75"/>
                <c:pt idx="0">
                  <c:v>-12.8108</c:v>
                </c:pt>
                <c:pt idx="1">
                  <c:v>-12.307700000000001</c:v>
                </c:pt>
                <c:pt idx="2">
                  <c:v>-11.8081</c:v>
                </c:pt>
                <c:pt idx="3">
                  <c:v>-11.307600000000001</c:v>
                </c:pt>
                <c:pt idx="4">
                  <c:v>-10.808199999999999</c:v>
                </c:pt>
                <c:pt idx="5">
                  <c:v>-10.308199999999999</c:v>
                </c:pt>
                <c:pt idx="6">
                  <c:v>-9.8081999999999994</c:v>
                </c:pt>
                <c:pt idx="7">
                  <c:v>-9.3080999999999996</c:v>
                </c:pt>
                <c:pt idx="8">
                  <c:v>-8.8080999999999996</c:v>
                </c:pt>
                <c:pt idx="9">
                  <c:v>-8.3080999999999996</c:v>
                </c:pt>
                <c:pt idx="10">
                  <c:v>0</c:v>
                </c:pt>
                <c:pt idx="11">
                  <c:v>0.5027999999999988</c:v>
                </c:pt>
                <c:pt idx="12">
                  <c:v>1.0027999999999988</c:v>
                </c:pt>
                <c:pt idx="13">
                  <c:v>1.5027999999999988</c:v>
                </c:pt>
                <c:pt idx="14">
                  <c:v>2.0029000000000003</c:v>
                </c:pt>
                <c:pt idx="15">
                  <c:v>2.5029000000000003</c:v>
                </c:pt>
                <c:pt idx="16">
                  <c:v>3.0024999999999995</c:v>
                </c:pt>
                <c:pt idx="17">
                  <c:v>3.5027000000000008</c:v>
                </c:pt>
                <c:pt idx="18">
                  <c:v>4.0027000000000008</c:v>
                </c:pt>
                <c:pt idx="19">
                  <c:v>4.5027000000000008</c:v>
                </c:pt>
                <c:pt idx="20">
                  <c:v>5.0028000000000006</c:v>
                </c:pt>
                <c:pt idx="21">
                  <c:v>5.5028000000000006</c:v>
                </c:pt>
                <c:pt idx="22">
                  <c:v>6.002399999999998</c:v>
                </c:pt>
                <c:pt idx="23">
                  <c:v>6.5031999999999996</c:v>
                </c:pt>
                <c:pt idx="24">
                  <c:v>7.002600000000001</c:v>
                </c:pt>
                <c:pt idx="25">
                  <c:v>7.502600000000001</c:v>
                </c:pt>
                <c:pt idx="26">
                  <c:v>8.002600000000001</c:v>
                </c:pt>
                <c:pt idx="27">
                  <c:v>8.5027000000000008</c:v>
                </c:pt>
                <c:pt idx="28">
                  <c:v>9.0029000000000003</c:v>
                </c:pt>
                <c:pt idx="29">
                  <c:v>9.5030999999999999</c:v>
                </c:pt>
                <c:pt idx="30">
                  <c:v>10.002500000000001</c:v>
                </c:pt>
                <c:pt idx="31">
                  <c:v>10.5031</c:v>
                </c:pt>
                <c:pt idx="32">
                  <c:v>11.002399999999998</c:v>
                </c:pt>
                <c:pt idx="33">
                  <c:v>11.503</c:v>
                </c:pt>
                <c:pt idx="34">
                  <c:v>12.002399999999998</c:v>
                </c:pt>
                <c:pt idx="35">
                  <c:v>12.502600000000001</c:v>
                </c:pt>
                <c:pt idx="36">
                  <c:v>13.002800000000001</c:v>
                </c:pt>
                <c:pt idx="37">
                  <c:v>13.502800000000001</c:v>
                </c:pt>
                <c:pt idx="38">
                  <c:v>14.0029</c:v>
                </c:pt>
                <c:pt idx="39">
                  <c:v>14.5029</c:v>
                </c:pt>
                <c:pt idx="40">
                  <c:v>15.002500000000001</c:v>
                </c:pt>
                <c:pt idx="41">
                  <c:v>15.502700000000001</c:v>
                </c:pt>
                <c:pt idx="42">
                  <c:v>16.002700000000001</c:v>
                </c:pt>
                <c:pt idx="43">
                  <c:v>16.502700000000001</c:v>
                </c:pt>
                <c:pt idx="44">
                  <c:v>17.002299999999998</c:v>
                </c:pt>
                <c:pt idx="45">
                  <c:v>17.5031</c:v>
                </c:pt>
                <c:pt idx="46">
                  <c:v>18.002500000000001</c:v>
                </c:pt>
                <c:pt idx="47">
                  <c:v>18.5032</c:v>
                </c:pt>
                <c:pt idx="48">
                  <c:v>19.002800000000001</c:v>
                </c:pt>
                <c:pt idx="49">
                  <c:v>19.503</c:v>
                </c:pt>
                <c:pt idx="50">
                  <c:v>20.002400000000002</c:v>
                </c:pt>
                <c:pt idx="51">
                  <c:v>20.503</c:v>
                </c:pt>
                <c:pt idx="52">
                  <c:v>21.002400000000002</c:v>
                </c:pt>
                <c:pt idx="53">
                  <c:v>21.503099999999996</c:v>
                </c:pt>
                <c:pt idx="54">
                  <c:v>22.002499999999998</c:v>
                </c:pt>
                <c:pt idx="55">
                  <c:v>22.502699999999997</c:v>
                </c:pt>
                <c:pt idx="56">
                  <c:v>23.002899999999997</c:v>
                </c:pt>
                <c:pt idx="57">
                  <c:v>23.503099999999996</c:v>
                </c:pt>
                <c:pt idx="58">
                  <c:v>24.002499999999998</c:v>
                </c:pt>
                <c:pt idx="59">
                  <c:v>24.503099999999996</c:v>
                </c:pt>
                <c:pt idx="60">
                  <c:v>25.002499999999998</c:v>
                </c:pt>
                <c:pt idx="61">
                  <c:v>25.502699999999997</c:v>
                </c:pt>
                <c:pt idx="62">
                  <c:v>26.002299999999998</c:v>
                </c:pt>
                <c:pt idx="63">
                  <c:v>26.503099999999996</c:v>
                </c:pt>
                <c:pt idx="64">
                  <c:v>27.002499999999998</c:v>
                </c:pt>
                <c:pt idx="65">
                  <c:v>27.5032</c:v>
                </c:pt>
                <c:pt idx="66">
                  <c:v>28.002600000000001</c:v>
                </c:pt>
                <c:pt idx="67">
                  <c:v>28.502800000000001</c:v>
                </c:pt>
                <c:pt idx="68">
                  <c:v>29.002400000000002</c:v>
                </c:pt>
                <c:pt idx="69">
                  <c:v>29.5032</c:v>
                </c:pt>
                <c:pt idx="70">
                  <c:v>30.002600000000001</c:v>
                </c:pt>
                <c:pt idx="71">
                  <c:v>30.502600000000001</c:v>
                </c:pt>
                <c:pt idx="72">
                  <c:v>31.002699999999997</c:v>
                </c:pt>
                <c:pt idx="73">
                  <c:v>31.502699999999997</c:v>
                </c:pt>
                <c:pt idx="74">
                  <c:v>32.002699999999997</c:v>
                </c:pt>
              </c:numCache>
            </c:numRef>
          </c:xVal>
          <c:yVal>
            <c:numRef>
              <c:f>'[1]6'!$R$2:$R$76</c:f>
              <c:numCache>
                <c:formatCode>General</c:formatCode>
                <c:ptCount val="75"/>
                <c:pt idx="0">
                  <c:v>1.4372388228714574</c:v>
                </c:pt>
                <c:pt idx="1">
                  <c:v>1.3689532170733596</c:v>
                </c:pt>
                <c:pt idx="2">
                  <c:v>1.3777236000862962</c:v>
                </c:pt>
                <c:pt idx="3">
                  <c:v>1.4200858672968661</c:v>
                </c:pt>
                <c:pt idx="4">
                  <c:v>1.2379598297293113</c:v>
                </c:pt>
                <c:pt idx="5">
                  <c:v>1.3299226691335293</c:v>
                </c:pt>
                <c:pt idx="6">
                  <c:v>1.4182462249964793</c:v>
                </c:pt>
                <c:pt idx="7">
                  <c:v>1.2237500252622222</c:v>
                </c:pt>
                <c:pt idx="8">
                  <c:v>1.2619704838600541</c:v>
                </c:pt>
                <c:pt idx="9">
                  <c:v>1.3462405973282405</c:v>
                </c:pt>
                <c:pt idx="10">
                  <c:v>0</c:v>
                </c:pt>
                <c:pt idx="11">
                  <c:v>0.21441040051545934</c:v>
                </c:pt>
                <c:pt idx="12">
                  <c:v>0.3269110980807845</c:v>
                </c:pt>
                <c:pt idx="13">
                  <c:v>0.33766767261814434</c:v>
                </c:pt>
                <c:pt idx="14">
                  <c:v>0.43530448782031178</c:v>
                </c:pt>
                <c:pt idx="15">
                  <c:v>0.49617557652311128</c:v>
                </c:pt>
                <c:pt idx="16">
                  <c:v>0.6360512321256877</c:v>
                </c:pt>
                <c:pt idx="17">
                  <c:v>0.68044810280441581</c:v>
                </c:pt>
                <c:pt idx="18">
                  <c:v>0.68550949387338544</c:v>
                </c:pt>
                <c:pt idx="19">
                  <c:v>0.69152812412740006</c:v>
                </c:pt>
                <c:pt idx="20">
                  <c:v>0.6782081731845554</c:v>
                </c:pt>
                <c:pt idx="21">
                  <c:v>0.77663952163190886</c:v>
                </c:pt>
                <c:pt idx="22">
                  <c:v>0.86747810515351775</c:v>
                </c:pt>
                <c:pt idx="23">
                  <c:v>0.82085717882435116</c:v>
                </c:pt>
                <c:pt idx="24">
                  <c:v>0.83308439453406014</c:v>
                </c:pt>
                <c:pt idx="25">
                  <c:v>0.84860929247653871</c:v>
                </c:pt>
                <c:pt idx="26">
                  <c:v>0.90399498034990022</c:v>
                </c:pt>
                <c:pt idx="27">
                  <c:v>0.81583451566909282</c:v>
                </c:pt>
                <c:pt idx="28">
                  <c:v>0.82332617094489169</c:v>
                </c:pt>
                <c:pt idx="29">
                  <c:v>0.9546851352032053</c:v>
                </c:pt>
                <c:pt idx="30">
                  <c:v>0.97098031774028948</c:v>
                </c:pt>
                <c:pt idx="31">
                  <c:v>0.90975344777793032</c:v>
                </c:pt>
                <c:pt idx="32">
                  <c:v>0.89423345971166479</c:v>
                </c:pt>
                <c:pt idx="33">
                  <c:v>0.94018833048336603</c:v>
                </c:pt>
                <c:pt idx="34">
                  <c:v>0.94079480800838344</c:v>
                </c:pt>
                <c:pt idx="35">
                  <c:v>0.8855832440087944</c:v>
                </c:pt>
                <c:pt idx="36">
                  <c:v>0.9230571102507753</c:v>
                </c:pt>
                <c:pt idx="37">
                  <c:v>0.89733611661895329</c:v>
                </c:pt>
                <c:pt idx="38">
                  <c:v>0.94702123821888906</c:v>
                </c:pt>
                <c:pt idx="39">
                  <c:v>0.98104637202787437</c:v>
                </c:pt>
                <c:pt idx="40">
                  <c:v>0.89787258956517169</c:v>
                </c:pt>
                <c:pt idx="41">
                  <c:v>0.89314841409485191</c:v>
                </c:pt>
                <c:pt idx="42">
                  <c:v>0.81965351480146342</c:v>
                </c:pt>
                <c:pt idx="43">
                  <c:v>0.8537442509890496</c:v>
                </c:pt>
                <c:pt idx="44">
                  <c:v>0.94643973083587496</c:v>
                </c:pt>
                <c:pt idx="45">
                  <c:v>0.9147173028690031</c:v>
                </c:pt>
                <c:pt idx="46">
                  <c:v>0.90390791680586502</c:v>
                </c:pt>
                <c:pt idx="47">
                  <c:v>0.94685460992043302</c:v>
                </c:pt>
                <c:pt idx="48">
                  <c:v>0.94438510644996265</c:v>
                </c:pt>
                <c:pt idx="49">
                  <c:v>0.97503752357912565</c:v>
                </c:pt>
                <c:pt idx="50">
                  <c:v>0.99431826688885994</c:v>
                </c:pt>
                <c:pt idx="51">
                  <c:v>0.91953740088862757</c:v>
                </c:pt>
                <c:pt idx="52">
                  <c:v>0.93126003195076312</c:v>
                </c:pt>
                <c:pt idx="53">
                  <c:v>1.0223667565973216</c:v>
                </c:pt>
                <c:pt idx="54">
                  <c:v>1.0355504640687372</c:v>
                </c:pt>
                <c:pt idx="55">
                  <c:v>1.0372805105199709</c:v>
                </c:pt>
                <c:pt idx="56">
                  <c:v>1.1045210016046583</c:v>
                </c:pt>
                <c:pt idx="57">
                  <c:v>0.98690029439482185</c:v>
                </c:pt>
                <c:pt idx="58">
                  <c:v>1.042100797995279</c:v>
                </c:pt>
                <c:pt idx="59">
                  <c:v>0.95345910705811066</c:v>
                </c:pt>
                <c:pt idx="60">
                  <c:v>0.99672770791396625</c:v>
                </c:pt>
                <c:pt idx="61">
                  <c:v>1.0258538288758214</c:v>
                </c:pt>
                <c:pt idx="62">
                  <c:v>1.0519470068269094</c:v>
                </c:pt>
                <c:pt idx="63">
                  <c:v>1.0049181878602513</c:v>
                </c:pt>
                <c:pt idx="64">
                  <c:v>0.89396491170126036</c:v>
                </c:pt>
                <c:pt idx="65">
                  <c:v>1.0089853328830642</c:v>
                </c:pt>
                <c:pt idx="66">
                  <c:v>0.9478433328382122</c:v>
                </c:pt>
                <c:pt idx="67">
                  <c:v>1.0499465979702534</c:v>
                </c:pt>
                <c:pt idx="68">
                  <c:v>1.0824786448258137</c:v>
                </c:pt>
                <c:pt idx="69">
                  <c:v>0.98185283597204864</c:v>
                </c:pt>
                <c:pt idx="70">
                  <c:v>0.99017367875160944</c:v>
                </c:pt>
                <c:pt idx="71">
                  <c:v>1.0283561629470783</c:v>
                </c:pt>
                <c:pt idx="72">
                  <c:v>1.0430114906749353</c:v>
                </c:pt>
                <c:pt idx="73">
                  <c:v>1.0039524778914901</c:v>
                </c:pt>
                <c:pt idx="74">
                  <c:v>0.96943453354423259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B1-4A51-A701-C1A7AC93B199}"/>
            </c:ext>
          </c:extLst>
        </c:ser>
        <c:ser>
          <c:idx val="1"/>
          <c:order val="1"/>
          <c:tx>
            <c:strRef>
              <c:f>'[1]6'!$S$1</c:f>
              <c:strCache>
                <c:ptCount val="1"/>
                <c:pt idx="0">
                  <c:v>R(t) Region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'[1]6'!$B$2:$B$76</c:f>
              <c:numCache>
                <c:formatCode>General</c:formatCode>
                <c:ptCount val="75"/>
                <c:pt idx="0">
                  <c:v>-12.8108</c:v>
                </c:pt>
                <c:pt idx="1">
                  <c:v>-12.307700000000001</c:v>
                </c:pt>
                <c:pt idx="2">
                  <c:v>-11.8081</c:v>
                </c:pt>
                <c:pt idx="3">
                  <c:v>-11.307600000000001</c:v>
                </c:pt>
                <c:pt idx="4">
                  <c:v>-10.808199999999999</c:v>
                </c:pt>
                <c:pt idx="5">
                  <c:v>-10.308199999999999</c:v>
                </c:pt>
                <c:pt idx="6">
                  <c:v>-9.8081999999999994</c:v>
                </c:pt>
                <c:pt idx="7">
                  <c:v>-9.3080999999999996</c:v>
                </c:pt>
                <c:pt idx="8">
                  <c:v>-8.8080999999999996</c:v>
                </c:pt>
                <c:pt idx="9">
                  <c:v>-8.3080999999999996</c:v>
                </c:pt>
                <c:pt idx="10">
                  <c:v>0</c:v>
                </c:pt>
                <c:pt idx="11">
                  <c:v>0.5027999999999988</c:v>
                </c:pt>
                <c:pt idx="12">
                  <c:v>1.0027999999999988</c:v>
                </c:pt>
                <c:pt idx="13">
                  <c:v>1.5027999999999988</c:v>
                </c:pt>
                <c:pt idx="14">
                  <c:v>2.0029000000000003</c:v>
                </c:pt>
                <c:pt idx="15">
                  <c:v>2.5029000000000003</c:v>
                </c:pt>
                <c:pt idx="16">
                  <c:v>3.0024999999999995</c:v>
                </c:pt>
                <c:pt idx="17">
                  <c:v>3.5027000000000008</c:v>
                </c:pt>
                <c:pt idx="18">
                  <c:v>4.0027000000000008</c:v>
                </c:pt>
                <c:pt idx="19">
                  <c:v>4.5027000000000008</c:v>
                </c:pt>
                <c:pt idx="20">
                  <c:v>5.0028000000000006</c:v>
                </c:pt>
                <c:pt idx="21">
                  <c:v>5.5028000000000006</c:v>
                </c:pt>
                <c:pt idx="22">
                  <c:v>6.002399999999998</c:v>
                </c:pt>
                <c:pt idx="23">
                  <c:v>6.5031999999999996</c:v>
                </c:pt>
                <c:pt idx="24">
                  <c:v>7.002600000000001</c:v>
                </c:pt>
                <c:pt idx="25">
                  <c:v>7.502600000000001</c:v>
                </c:pt>
                <c:pt idx="26">
                  <c:v>8.002600000000001</c:v>
                </c:pt>
                <c:pt idx="27">
                  <c:v>8.5027000000000008</c:v>
                </c:pt>
                <c:pt idx="28">
                  <c:v>9.0029000000000003</c:v>
                </c:pt>
                <c:pt idx="29">
                  <c:v>9.5030999999999999</c:v>
                </c:pt>
                <c:pt idx="30">
                  <c:v>10.002500000000001</c:v>
                </c:pt>
                <c:pt idx="31">
                  <c:v>10.5031</c:v>
                </c:pt>
                <c:pt idx="32">
                  <c:v>11.002399999999998</c:v>
                </c:pt>
                <c:pt idx="33">
                  <c:v>11.503</c:v>
                </c:pt>
                <c:pt idx="34">
                  <c:v>12.002399999999998</c:v>
                </c:pt>
                <c:pt idx="35">
                  <c:v>12.502600000000001</c:v>
                </c:pt>
                <c:pt idx="36">
                  <c:v>13.002800000000001</c:v>
                </c:pt>
                <c:pt idx="37">
                  <c:v>13.502800000000001</c:v>
                </c:pt>
                <c:pt idx="38">
                  <c:v>14.0029</c:v>
                </c:pt>
                <c:pt idx="39">
                  <c:v>14.5029</c:v>
                </c:pt>
                <c:pt idx="40">
                  <c:v>15.002500000000001</c:v>
                </c:pt>
                <c:pt idx="41">
                  <c:v>15.502700000000001</c:v>
                </c:pt>
                <c:pt idx="42">
                  <c:v>16.002700000000001</c:v>
                </c:pt>
                <c:pt idx="43">
                  <c:v>16.502700000000001</c:v>
                </c:pt>
                <c:pt idx="44">
                  <c:v>17.002299999999998</c:v>
                </c:pt>
                <c:pt idx="45">
                  <c:v>17.5031</c:v>
                </c:pt>
                <c:pt idx="46">
                  <c:v>18.002500000000001</c:v>
                </c:pt>
                <c:pt idx="47">
                  <c:v>18.5032</c:v>
                </c:pt>
                <c:pt idx="48">
                  <c:v>19.002800000000001</c:v>
                </c:pt>
                <c:pt idx="49">
                  <c:v>19.503</c:v>
                </c:pt>
                <c:pt idx="50">
                  <c:v>20.002400000000002</c:v>
                </c:pt>
                <c:pt idx="51">
                  <c:v>20.503</c:v>
                </c:pt>
                <c:pt idx="52">
                  <c:v>21.002400000000002</c:v>
                </c:pt>
                <c:pt idx="53">
                  <c:v>21.503099999999996</c:v>
                </c:pt>
                <c:pt idx="54">
                  <c:v>22.002499999999998</c:v>
                </c:pt>
                <c:pt idx="55">
                  <c:v>22.502699999999997</c:v>
                </c:pt>
                <c:pt idx="56">
                  <c:v>23.002899999999997</c:v>
                </c:pt>
                <c:pt idx="57">
                  <c:v>23.503099999999996</c:v>
                </c:pt>
                <c:pt idx="58">
                  <c:v>24.002499999999998</c:v>
                </c:pt>
                <c:pt idx="59">
                  <c:v>24.503099999999996</c:v>
                </c:pt>
                <c:pt idx="60">
                  <c:v>25.002499999999998</c:v>
                </c:pt>
                <c:pt idx="61">
                  <c:v>25.502699999999997</c:v>
                </c:pt>
                <c:pt idx="62">
                  <c:v>26.002299999999998</c:v>
                </c:pt>
                <c:pt idx="63">
                  <c:v>26.503099999999996</c:v>
                </c:pt>
                <c:pt idx="64">
                  <c:v>27.002499999999998</c:v>
                </c:pt>
                <c:pt idx="65">
                  <c:v>27.5032</c:v>
                </c:pt>
                <c:pt idx="66">
                  <c:v>28.002600000000001</c:v>
                </c:pt>
                <c:pt idx="67">
                  <c:v>28.502800000000001</c:v>
                </c:pt>
                <c:pt idx="68">
                  <c:v>29.002400000000002</c:v>
                </c:pt>
                <c:pt idx="69">
                  <c:v>29.5032</c:v>
                </c:pt>
                <c:pt idx="70">
                  <c:v>30.002600000000001</c:v>
                </c:pt>
                <c:pt idx="71">
                  <c:v>30.502600000000001</c:v>
                </c:pt>
                <c:pt idx="72">
                  <c:v>31.002699999999997</c:v>
                </c:pt>
                <c:pt idx="73">
                  <c:v>31.502699999999997</c:v>
                </c:pt>
                <c:pt idx="74">
                  <c:v>32.002699999999997</c:v>
                </c:pt>
              </c:numCache>
            </c:numRef>
          </c:xVal>
          <c:yVal>
            <c:numRef>
              <c:f>'[1]6'!$S$2:$S$76</c:f>
              <c:numCache>
                <c:formatCode>General</c:formatCode>
                <c:ptCount val="75"/>
                <c:pt idx="0">
                  <c:v>0.99212466981958491</c:v>
                </c:pt>
                <c:pt idx="1">
                  <c:v>0.9416791477399048</c:v>
                </c:pt>
                <c:pt idx="2">
                  <c:v>1.0464161884804823</c:v>
                </c:pt>
                <c:pt idx="3">
                  <c:v>0.98394547268271382</c:v>
                </c:pt>
                <c:pt idx="4">
                  <c:v>0.81625782072193043</c:v>
                </c:pt>
                <c:pt idx="5">
                  <c:v>1.0281656871395086</c:v>
                </c:pt>
                <c:pt idx="6">
                  <c:v>1.4288107683478954</c:v>
                </c:pt>
                <c:pt idx="7">
                  <c:v>0.82046780323063173</c:v>
                </c:pt>
                <c:pt idx="8">
                  <c:v>0.92543839693080787</c:v>
                </c:pt>
                <c:pt idx="9">
                  <c:v>1.1876800741325841</c:v>
                </c:pt>
                <c:pt idx="10">
                  <c:v>0</c:v>
                </c:pt>
                <c:pt idx="11">
                  <c:v>0.20725196291862716</c:v>
                </c:pt>
                <c:pt idx="12">
                  <c:v>0.22003460520851695</c:v>
                </c:pt>
                <c:pt idx="13">
                  <c:v>0.25641903490932016</c:v>
                </c:pt>
                <c:pt idx="14">
                  <c:v>0.38995243160483328</c:v>
                </c:pt>
                <c:pt idx="15">
                  <c:v>0.36681498594218492</c:v>
                </c:pt>
                <c:pt idx="16">
                  <c:v>0.63335646526071931</c:v>
                </c:pt>
                <c:pt idx="17">
                  <c:v>0.68657289178999337</c:v>
                </c:pt>
                <c:pt idx="18">
                  <c:v>0.60042256675078054</c:v>
                </c:pt>
                <c:pt idx="19">
                  <c:v>0.66484724527254113</c:v>
                </c:pt>
                <c:pt idx="20">
                  <c:v>0.63235519432037113</c:v>
                </c:pt>
                <c:pt idx="21">
                  <c:v>0.66047893014965253</c:v>
                </c:pt>
                <c:pt idx="22">
                  <c:v>0.67148079693252494</c:v>
                </c:pt>
                <c:pt idx="23">
                  <c:v>0.76928552712872778</c:v>
                </c:pt>
                <c:pt idx="24">
                  <c:v>0.83737818586088586</c:v>
                </c:pt>
                <c:pt idx="25">
                  <c:v>0.74504021416674948</c:v>
                </c:pt>
                <c:pt idx="26">
                  <c:v>0.73719561865764571</c:v>
                </c:pt>
                <c:pt idx="27">
                  <c:v>0.74836352471119216</c:v>
                </c:pt>
                <c:pt idx="28">
                  <c:v>0.7029263077341068</c:v>
                </c:pt>
                <c:pt idx="29">
                  <c:v>0.87214611576637968</c:v>
                </c:pt>
                <c:pt idx="30">
                  <c:v>0.7404927211811303</c:v>
                </c:pt>
                <c:pt idx="31">
                  <c:v>0.8179220356078446</c:v>
                </c:pt>
                <c:pt idx="32">
                  <c:v>0.89093770068560563</c:v>
                </c:pt>
                <c:pt idx="33">
                  <c:v>0.79753539378319038</c:v>
                </c:pt>
                <c:pt idx="34">
                  <c:v>0.7317360852468725</c:v>
                </c:pt>
                <c:pt idx="35">
                  <c:v>0.74604243807838944</c:v>
                </c:pt>
                <c:pt idx="36">
                  <c:v>0.77340729239574357</c:v>
                </c:pt>
                <c:pt idx="37">
                  <c:v>0.89969593576106766</c:v>
                </c:pt>
                <c:pt idx="38">
                  <c:v>0.794536470157862</c:v>
                </c:pt>
                <c:pt idx="39">
                  <c:v>0.70690807310768167</c:v>
                </c:pt>
                <c:pt idx="40">
                  <c:v>0.78733828255668592</c:v>
                </c:pt>
                <c:pt idx="41">
                  <c:v>0.71874829342599167</c:v>
                </c:pt>
                <c:pt idx="42">
                  <c:v>0.76009113353610247</c:v>
                </c:pt>
                <c:pt idx="43">
                  <c:v>0.69870433009990673</c:v>
                </c:pt>
                <c:pt idx="44">
                  <c:v>0.70510782637606506</c:v>
                </c:pt>
                <c:pt idx="45">
                  <c:v>0.73004792218887804</c:v>
                </c:pt>
                <c:pt idx="46">
                  <c:v>0.83328650698500517</c:v>
                </c:pt>
                <c:pt idx="47">
                  <c:v>0.74508530647594595</c:v>
                </c:pt>
                <c:pt idx="48">
                  <c:v>0.85777406430515846</c:v>
                </c:pt>
                <c:pt idx="49">
                  <c:v>0.81973718617242497</c:v>
                </c:pt>
                <c:pt idx="50">
                  <c:v>0.84939778940533306</c:v>
                </c:pt>
                <c:pt idx="51">
                  <c:v>0.85102310581938834</c:v>
                </c:pt>
                <c:pt idx="52">
                  <c:v>0.83203953987436485</c:v>
                </c:pt>
                <c:pt idx="53">
                  <c:v>1.0768081183616158</c:v>
                </c:pt>
                <c:pt idx="54">
                  <c:v>1.0995247486602218</c:v>
                </c:pt>
                <c:pt idx="55">
                  <c:v>0.95794415874962491</c:v>
                </c:pt>
                <c:pt idx="56">
                  <c:v>0.85140812076906036</c:v>
                </c:pt>
                <c:pt idx="57">
                  <c:v>0.98043761730563583</c:v>
                </c:pt>
                <c:pt idx="58">
                  <c:v>0.9795957868493006</c:v>
                </c:pt>
                <c:pt idx="59">
                  <c:v>0.93281292255273751</c:v>
                </c:pt>
                <c:pt idx="60">
                  <c:v>0.9306294686019273</c:v>
                </c:pt>
                <c:pt idx="61">
                  <c:v>1.0066090336212541</c:v>
                </c:pt>
                <c:pt idx="62">
                  <c:v>1.127867762312784</c:v>
                </c:pt>
                <c:pt idx="63">
                  <c:v>0.86468527383088101</c:v>
                </c:pt>
                <c:pt idx="64">
                  <c:v>0.88680658850674476</c:v>
                </c:pt>
                <c:pt idx="65">
                  <c:v>1.080175131151228</c:v>
                </c:pt>
                <c:pt idx="66">
                  <c:v>0.95706117966513238</c:v>
                </c:pt>
                <c:pt idx="67">
                  <c:v>1.0687470824717855</c:v>
                </c:pt>
                <c:pt idx="68">
                  <c:v>0.8544069403035186</c:v>
                </c:pt>
                <c:pt idx="69">
                  <c:v>1.0370023169603662</c:v>
                </c:pt>
                <c:pt idx="70">
                  <c:v>1.0668093069677906</c:v>
                </c:pt>
                <c:pt idx="71">
                  <c:v>0.98346219841019222</c:v>
                </c:pt>
                <c:pt idx="72">
                  <c:v>1.0796865005421987</c:v>
                </c:pt>
                <c:pt idx="73">
                  <c:v>1.0117462831761572</c:v>
                </c:pt>
                <c:pt idx="74">
                  <c:v>0.97409647184488546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B1-4A51-A701-C1A7AC93B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665664"/>
        <c:axId val="517664024"/>
      </c:scatterChart>
      <c:valAx>
        <c:axId val="51766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664024"/>
        <c:crosses val="autoZero"/>
        <c:crossBetween val="midCat"/>
      </c:valAx>
      <c:valAx>
        <c:axId val="517664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665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'[1]66'!$R$1</c:f>
              <c:strCache>
                <c:ptCount val="1"/>
                <c:pt idx="0">
                  <c:v>R(t) Region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'[1]66'!$B$2:$B$76</c:f>
              <c:numCache>
                <c:formatCode>General</c:formatCode>
                <c:ptCount val="75"/>
                <c:pt idx="0">
                  <c:v>-12.8226</c:v>
                </c:pt>
                <c:pt idx="1">
                  <c:v>-12.319799999999999</c:v>
                </c:pt>
                <c:pt idx="2">
                  <c:v>-11.819599999999999</c:v>
                </c:pt>
                <c:pt idx="3">
                  <c:v>-11.32</c:v>
                </c:pt>
                <c:pt idx="4">
                  <c:v>-10.819799999999999</c:v>
                </c:pt>
                <c:pt idx="5">
                  <c:v>-10.319799999999999</c:v>
                </c:pt>
                <c:pt idx="6">
                  <c:v>-9.8196999999999992</c:v>
                </c:pt>
                <c:pt idx="7">
                  <c:v>-9.3201999999999998</c:v>
                </c:pt>
                <c:pt idx="8">
                  <c:v>-8.82</c:v>
                </c:pt>
                <c:pt idx="9">
                  <c:v>-8.3199000000000005</c:v>
                </c:pt>
                <c:pt idx="10">
                  <c:v>0</c:v>
                </c:pt>
                <c:pt idx="11">
                  <c:v>0.50309999999999988</c:v>
                </c:pt>
                <c:pt idx="12">
                  <c:v>1.0025000000000013</c:v>
                </c:pt>
                <c:pt idx="13">
                  <c:v>1.5027000000000008</c:v>
                </c:pt>
                <c:pt idx="14">
                  <c:v>2.0023</c:v>
                </c:pt>
                <c:pt idx="15">
                  <c:v>2.5030999999999999</c:v>
                </c:pt>
                <c:pt idx="16">
                  <c:v>3.0025000000000013</c:v>
                </c:pt>
                <c:pt idx="17">
                  <c:v>3.5032000000000014</c:v>
                </c:pt>
                <c:pt idx="18">
                  <c:v>4.002699999999999</c:v>
                </c:pt>
                <c:pt idx="19">
                  <c:v>4.5029000000000021</c:v>
                </c:pt>
                <c:pt idx="20">
                  <c:v>5.0024999999999995</c:v>
                </c:pt>
                <c:pt idx="21">
                  <c:v>5.502699999999999</c:v>
                </c:pt>
                <c:pt idx="22">
                  <c:v>6.0023</c:v>
                </c:pt>
                <c:pt idx="23">
                  <c:v>6.5031000000000017</c:v>
                </c:pt>
                <c:pt idx="24">
                  <c:v>7.0024999999999995</c:v>
                </c:pt>
                <c:pt idx="25">
                  <c:v>7.5025999999999993</c:v>
                </c:pt>
                <c:pt idx="26">
                  <c:v>8.0027999999999988</c:v>
                </c:pt>
                <c:pt idx="27">
                  <c:v>8.5030000000000019</c:v>
                </c:pt>
                <c:pt idx="28">
                  <c:v>9.0024999999999995</c:v>
                </c:pt>
                <c:pt idx="29">
                  <c:v>9.502699999999999</c:v>
                </c:pt>
                <c:pt idx="30">
                  <c:v>10.0023</c:v>
                </c:pt>
                <c:pt idx="31">
                  <c:v>10.503100000000002</c:v>
                </c:pt>
                <c:pt idx="32">
                  <c:v>11.0025</c:v>
                </c:pt>
                <c:pt idx="33">
                  <c:v>11.502599999999999</c:v>
                </c:pt>
                <c:pt idx="34">
                  <c:v>12.002799999999999</c:v>
                </c:pt>
                <c:pt idx="35">
                  <c:v>12.503000000000002</c:v>
                </c:pt>
                <c:pt idx="36">
                  <c:v>13.0024</c:v>
                </c:pt>
                <c:pt idx="37">
                  <c:v>13.503000000000002</c:v>
                </c:pt>
                <c:pt idx="38">
                  <c:v>14.0024</c:v>
                </c:pt>
                <c:pt idx="39">
                  <c:v>14.502599999999999</c:v>
                </c:pt>
                <c:pt idx="40">
                  <c:v>15.002799999999999</c:v>
                </c:pt>
                <c:pt idx="41">
                  <c:v>15.502900000000002</c:v>
                </c:pt>
                <c:pt idx="42">
                  <c:v>16.002299999999998</c:v>
                </c:pt>
                <c:pt idx="43">
                  <c:v>16.503100000000003</c:v>
                </c:pt>
                <c:pt idx="44">
                  <c:v>17.002699999999997</c:v>
                </c:pt>
                <c:pt idx="45">
                  <c:v>17.502900000000004</c:v>
                </c:pt>
                <c:pt idx="46">
                  <c:v>18.002400000000002</c:v>
                </c:pt>
                <c:pt idx="47">
                  <c:v>18.502600000000001</c:v>
                </c:pt>
                <c:pt idx="48">
                  <c:v>19.002699999999997</c:v>
                </c:pt>
                <c:pt idx="49">
                  <c:v>19.502699999999997</c:v>
                </c:pt>
                <c:pt idx="50">
                  <c:v>20.002299999999998</c:v>
                </c:pt>
                <c:pt idx="51">
                  <c:v>20.503099999999996</c:v>
                </c:pt>
                <c:pt idx="52">
                  <c:v>21.002499999999998</c:v>
                </c:pt>
                <c:pt idx="53">
                  <c:v>21.5032</c:v>
                </c:pt>
                <c:pt idx="54">
                  <c:v>22.002600000000001</c:v>
                </c:pt>
                <c:pt idx="55">
                  <c:v>22.502800000000001</c:v>
                </c:pt>
                <c:pt idx="56">
                  <c:v>23.002299999999998</c:v>
                </c:pt>
                <c:pt idx="57">
                  <c:v>23.5032</c:v>
                </c:pt>
                <c:pt idx="58">
                  <c:v>24.002600000000001</c:v>
                </c:pt>
                <c:pt idx="59">
                  <c:v>24.502600000000001</c:v>
                </c:pt>
                <c:pt idx="60">
                  <c:v>25.002600000000001</c:v>
                </c:pt>
                <c:pt idx="61">
                  <c:v>25.502699999999997</c:v>
                </c:pt>
                <c:pt idx="62">
                  <c:v>26.002699999999997</c:v>
                </c:pt>
                <c:pt idx="63">
                  <c:v>26.502899999999997</c:v>
                </c:pt>
                <c:pt idx="64">
                  <c:v>27.002499999999998</c:v>
                </c:pt>
                <c:pt idx="65">
                  <c:v>27.502699999999997</c:v>
                </c:pt>
                <c:pt idx="66">
                  <c:v>28.002699999999997</c:v>
                </c:pt>
                <c:pt idx="67">
                  <c:v>28.502699999999997</c:v>
                </c:pt>
                <c:pt idx="68">
                  <c:v>29.002699999999997</c:v>
                </c:pt>
                <c:pt idx="69">
                  <c:v>29.502800000000001</c:v>
                </c:pt>
                <c:pt idx="70">
                  <c:v>30.002800000000001</c:v>
                </c:pt>
                <c:pt idx="71">
                  <c:v>30.503</c:v>
                </c:pt>
                <c:pt idx="72">
                  <c:v>31.002400000000002</c:v>
                </c:pt>
                <c:pt idx="73">
                  <c:v>31.503099999999996</c:v>
                </c:pt>
                <c:pt idx="74">
                  <c:v>32.002499999999998</c:v>
                </c:pt>
              </c:numCache>
            </c:numRef>
          </c:xVal>
          <c:yVal>
            <c:numRef>
              <c:f>'[1]66'!$R$2:$R$76</c:f>
              <c:numCache>
                <c:formatCode>General</c:formatCode>
                <c:ptCount val="75"/>
                <c:pt idx="0">
                  <c:v>1.4261204543590285</c:v>
                </c:pt>
                <c:pt idx="1">
                  <c:v>1.5443929362374984</c:v>
                </c:pt>
                <c:pt idx="2">
                  <c:v>1.5826649338470105</c:v>
                </c:pt>
                <c:pt idx="3">
                  <c:v>1.4084788210775496</c:v>
                </c:pt>
                <c:pt idx="4">
                  <c:v>1.3084470565468937</c:v>
                </c:pt>
                <c:pt idx="5">
                  <c:v>1.3088369625316931</c:v>
                </c:pt>
                <c:pt idx="6">
                  <c:v>1.3155812447790118</c:v>
                </c:pt>
                <c:pt idx="7">
                  <c:v>1.4279797617068488</c:v>
                </c:pt>
                <c:pt idx="8">
                  <c:v>1.4875970044366571</c:v>
                </c:pt>
                <c:pt idx="9">
                  <c:v>1.3303110016484645</c:v>
                </c:pt>
                <c:pt idx="10">
                  <c:v>0</c:v>
                </c:pt>
                <c:pt idx="11">
                  <c:v>0.10203662218311255</c:v>
                </c:pt>
                <c:pt idx="12">
                  <c:v>0.32368650762209655</c:v>
                </c:pt>
                <c:pt idx="13">
                  <c:v>0.30629456535658545</c:v>
                </c:pt>
                <c:pt idx="14">
                  <c:v>0.42032999670171384</c:v>
                </c:pt>
                <c:pt idx="15">
                  <c:v>0.4483430145315459</c:v>
                </c:pt>
                <c:pt idx="16">
                  <c:v>0.65289467217128838</c:v>
                </c:pt>
                <c:pt idx="17">
                  <c:v>0.68233001097946555</c:v>
                </c:pt>
                <c:pt idx="18">
                  <c:v>0.57608242361940765</c:v>
                </c:pt>
                <c:pt idx="19">
                  <c:v>0.68005001289775246</c:v>
                </c:pt>
                <c:pt idx="20">
                  <c:v>0.69642013175995332</c:v>
                </c:pt>
                <c:pt idx="21">
                  <c:v>0.73010695098981337</c:v>
                </c:pt>
                <c:pt idx="22">
                  <c:v>0.81840803279733976</c:v>
                </c:pt>
                <c:pt idx="23">
                  <c:v>0.90312052748751626</c:v>
                </c:pt>
                <c:pt idx="24">
                  <c:v>0.84831964460883813</c:v>
                </c:pt>
                <c:pt idx="25">
                  <c:v>0.78767501686833796</c:v>
                </c:pt>
                <c:pt idx="26">
                  <c:v>0.86115620763700584</c:v>
                </c:pt>
                <c:pt idx="27">
                  <c:v>0.80635036855287323</c:v>
                </c:pt>
                <c:pt idx="28">
                  <c:v>0.81035637536225924</c:v>
                </c:pt>
                <c:pt idx="29">
                  <c:v>0.78938274740238423</c:v>
                </c:pt>
                <c:pt idx="30">
                  <c:v>0.83478979827554545</c:v>
                </c:pt>
                <c:pt idx="31">
                  <c:v>0.84875292676819325</c:v>
                </c:pt>
                <c:pt idx="32">
                  <c:v>0.96888523162088769</c:v>
                </c:pt>
                <c:pt idx="33">
                  <c:v>0.785560717271923</c:v>
                </c:pt>
                <c:pt idx="34">
                  <c:v>0.86544835445275992</c:v>
                </c:pt>
                <c:pt idx="35">
                  <c:v>0.86010343962925861</c:v>
                </c:pt>
                <c:pt idx="36">
                  <c:v>0.84224861053546685</c:v>
                </c:pt>
                <c:pt idx="37">
                  <c:v>0.93119804717122701</c:v>
                </c:pt>
                <c:pt idx="38">
                  <c:v>0.88856980592617252</c:v>
                </c:pt>
                <c:pt idx="39">
                  <c:v>0.94756535702735278</c:v>
                </c:pt>
                <c:pt idx="40">
                  <c:v>0.90909786195904851</c:v>
                </c:pt>
                <c:pt idx="41">
                  <c:v>0.97577590714079199</c:v>
                </c:pt>
                <c:pt idx="42">
                  <c:v>0.85537375934191695</c:v>
                </c:pt>
                <c:pt idx="43">
                  <c:v>0.90028495328194369</c:v>
                </c:pt>
                <c:pt idx="44">
                  <c:v>0.79832476085472737</c:v>
                </c:pt>
                <c:pt idx="45">
                  <c:v>0.98674124795397822</c:v>
                </c:pt>
                <c:pt idx="46">
                  <c:v>0.90047743051986184</c:v>
                </c:pt>
                <c:pt idx="47">
                  <c:v>0.93361078416500176</c:v>
                </c:pt>
                <c:pt idx="48">
                  <c:v>0.96377397036124379</c:v>
                </c:pt>
                <c:pt idx="49">
                  <c:v>0.96083638861830134</c:v>
                </c:pt>
                <c:pt idx="50">
                  <c:v>0.95185749615926318</c:v>
                </c:pt>
                <c:pt idx="51">
                  <c:v>0.91278751821517445</c:v>
                </c:pt>
                <c:pt idx="52">
                  <c:v>1.1031914418392232</c:v>
                </c:pt>
                <c:pt idx="53">
                  <c:v>1.0309826781301268</c:v>
                </c:pt>
                <c:pt idx="54">
                  <c:v>1.0653224378562578</c:v>
                </c:pt>
                <c:pt idx="55">
                  <c:v>0.94042378917079616</c:v>
                </c:pt>
                <c:pt idx="56">
                  <c:v>0.89108148002249798</c:v>
                </c:pt>
                <c:pt idx="57">
                  <c:v>0.95696754831779041</c:v>
                </c:pt>
                <c:pt idx="58">
                  <c:v>0.9773908230819458</c:v>
                </c:pt>
                <c:pt idx="59">
                  <c:v>0.9541524704378338</c:v>
                </c:pt>
                <c:pt idx="60">
                  <c:v>0.90242291589836721</c:v>
                </c:pt>
                <c:pt idx="61">
                  <c:v>0.95843735482140491</c:v>
                </c:pt>
                <c:pt idx="62">
                  <c:v>0.90558018733903345</c:v>
                </c:pt>
                <c:pt idx="63">
                  <c:v>0.93396903335449399</c:v>
                </c:pt>
                <c:pt idx="64">
                  <c:v>1.1117245716636079</c:v>
                </c:pt>
                <c:pt idx="65">
                  <c:v>1.003428645085138</c:v>
                </c:pt>
                <c:pt idx="66">
                  <c:v>0.88873928632810872</c:v>
                </c:pt>
                <c:pt idx="67">
                  <c:v>0.9850884794570951</c:v>
                </c:pt>
                <c:pt idx="68">
                  <c:v>0.91357314338461948</c:v>
                </c:pt>
                <c:pt idx="69">
                  <c:v>0.99194354572201338</c:v>
                </c:pt>
                <c:pt idx="70">
                  <c:v>1.0385615748184176</c:v>
                </c:pt>
                <c:pt idx="71">
                  <c:v>1.1424312137996551</c:v>
                </c:pt>
                <c:pt idx="72">
                  <c:v>1.0772417021433147</c:v>
                </c:pt>
                <c:pt idx="73">
                  <c:v>0.866147423232008</c:v>
                </c:pt>
                <c:pt idx="74">
                  <c:v>0.98112041436603081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D1-4D9A-8027-4734A83B6040}"/>
            </c:ext>
          </c:extLst>
        </c:ser>
        <c:ser>
          <c:idx val="1"/>
          <c:order val="1"/>
          <c:tx>
            <c:strRef>
              <c:f>'[1]66'!$S$1</c:f>
              <c:strCache>
                <c:ptCount val="1"/>
                <c:pt idx="0">
                  <c:v>R(t) Region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'[1]66'!$B$2:$B$76</c:f>
              <c:numCache>
                <c:formatCode>General</c:formatCode>
                <c:ptCount val="75"/>
                <c:pt idx="0">
                  <c:v>-12.8226</c:v>
                </c:pt>
                <c:pt idx="1">
                  <c:v>-12.319799999999999</c:v>
                </c:pt>
                <c:pt idx="2">
                  <c:v>-11.819599999999999</c:v>
                </c:pt>
                <c:pt idx="3">
                  <c:v>-11.32</c:v>
                </c:pt>
                <c:pt idx="4">
                  <c:v>-10.819799999999999</c:v>
                </c:pt>
                <c:pt idx="5">
                  <c:v>-10.319799999999999</c:v>
                </c:pt>
                <c:pt idx="6">
                  <c:v>-9.8196999999999992</c:v>
                </c:pt>
                <c:pt idx="7">
                  <c:v>-9.3201999999999998</c:v>
                </c:pt>
                <c:pt idx="8">
                  <c:v>-8.82</c:v>
                </c:pt>
                <c:pt idx="9">
                  <c:v>-8.3199000000000005</c:v>
                </c:pt>
                <c:pt idx="10">
                  <c:v>0</c:v>
                </c:pt>
                <c:pt idx="11">
                  <c:v>0.50309999999999988</c:v>
                </c:pt>
                <c:pt idx="12">
                  <c:v>1.0025000000000013</c:v>
                </c:pt>
                <c:pt idx="13">
                  <c:v>1.5027000000000008</c:v>
                </c:pt>
                <c:pt idx="14">
                  <c:v>2.0023</c:v>
                </c:pt>
                <c:pt idx="15">
                  <c:v>2.5030999999999999</c:v>
                </c:pt>
                <c:pt idx="16">
                  <c:v>3.0025000000000013</c:v>
                </c:pt>
                <c:pt idx="17">
                  <c:v>3.5032000000000014</c:v>
                </c:pt>
                <c:pt idx="18">
                  <c:v>4.002699999999999</c:v>
                </c:pt>
                <c:pt idx="19">
                  <c:v>4.5029000000000021</c:v>
                </c:pt>
                <c:pt idx="20">
                  <c:v>5.0024999999999995</c:v>
                </c:pt>
                <c:pt idx="21">
                  <c:v>5.502699999999999</c:v>
                </c:pt>
                <c:pt idx="22">
                  <c:v>6.0023</c:v>
                </c:pt>
                <c:pt idx="23">
                  <c:v>6.5031000000000017</c:v>
                </c:pt>
                <c:pt idx="24">
                  <c:v>7.0024999999999995</c:v>
                </c:pt>
                <c:pt idx="25">
                  <c:v>7.5025999999999993</c:v>
                </c:pt>
                <c:pt idx="26">
                  <c:v>8.0027999999999988</c:v>
                </c:pt>
                <c:pt idx="27">
                  <c:v>8.5030000000000019</c:v>
                </c:pt>
                <c:pt idx="28">
                  <c:v>9.0024999999999995</c:v>
                </c:pt>
                <c:pt idx="29">
                  <c:v>9.502699999999999</c:v>
                </c:pt>
                <c:pt idx="30">
                  <c:v>10.0023</c:v>
                </c:pt>
                <c:pt idx="31">
                  <c:v>10.503100000000002</c:v>
                </c:pt>
                <c:pt idx="32">
                  <c:v>11.0025</c:v>
                </c:pt>
                <c:pt idx="33">
                  <c:v>11.502599999999999</c:v>
                </c:pt>
                <c:pt idx="34">
                  <c:v>12.002799999999999</c:v>
                </c:pt>
                <c:pt idx="35">
                  <c:v>12.503000000000002</c:v>
                </c:pt>
                <c:pt idx="36">
                  <c:v>13.0024</c:v>
                </c:pt>
                <c:pt idx="37">
                  <c:v>13.503000000000002</c:v>
                </c:pt>
                <c:pt idx="38">
                  <c:v>14.0024</c:v>
                </c:pt>
                <c:pt idx="39">
                  <c:v>14.502599999999999</c:v>
                </c:pt>
                <c:pt idx="40">
                  <c:v>15.002799999999999</c:v>
                </c:pt>
                <c:pt idx="41">
                  <c:v>15.502900000000002</c:v>
                </c:pt>
                <c:pt idx="42">
                  <c:v>16.002299999999998</c:v>
                </c:pt>
                <c:pt idx="43">
                  <c:v>16.503100000000003</c:v>
                </c:pt>
                <c:pt idx="44">
                  <c:v>17.002699999999997</c:v>
                </c:pt>
                <c:pt idx="45">
                  <c:v>17.502900000000004</c:v>
                </c:pt>
                <c:pt idx="46">
                  <c:v>18.002400000000002</c:v>
                </c:pt>
                <c:pt idx="47">
                  <c:v>18.502600000000001</c:v>
                </c:pt>
                <c:pt idx="48">
                  <c:v>19.002699999999997</c:v>
                </c:pt>
                <c:pt idx="49">
                  <c:v>19.502699999999997</c:v>
                </c:pt>
                <c:pt idx="50">
                  <c:v>20.002299999999998</c:v>
                </c:pt>
                <c:pt idx="51">
                  <c:v>20.503099999999996</c:v>
                </c:pt>
                <c:pt idx="52">
                  <c:v>21.002499999999998</c:v>
                </c:pt>
                <c:pt idx="53">
                  <c:v>21.5032</c:v>
                </c:pt>
                <c:pt idx="54">
                  <c:v>22.002600000000001</c:v>
                </c:pt>
                <c:pt idx="55">
                  <c:v>22.502800000000001</c:v>
                </c:pt>
                <c:pt idx="56">
                  <c:v>23.002299999999998</c:v>
                </c:pt>
                <c:pt idx="57">
                  <c:v>23.5032</c:v>
                </c:pt>
                <c:pt idx="58">
                  <c:v>24.002600000000001</c:v>
                </c:pt>
                <c:pt idx="59">
                  <c:v>24.502600000000001</c:v>
                </c:pt>
                <c:pt idx="60">
                  <c:v>25.002600000000001</c:v>
                </c:pt>
                <c:pt idx="61">
                  <c:v>25.502699999999997</c:v>
                </c:pt>
                <c:pt idx="62">
                  <c:v>26.002699999999997</c:v>
                </c:pt>
                <c:pt idx="63">
                  <c:v>26.502899999999997</c:v>
                </c:pt>
                <c:pt idx="64">
                  <c:v>27.002499999999998</c:v>
                </c:pt>
                <c:pt idx="65">
                  <c:v>27.502699999999997</c:v>
                </c:pt>
                <c:pt idx="66">
                  <c:v>28.002699999999997</c:v>
                </c:pt>
                <c:pt idx="67">
                  <c:v>28.502699999999997</c:v>
                </c:pt>
                <c:pt idx="68">
                  <c:v>29.002699999999997</c:v>
                </c:pt>
                <c:pt idx="69">
                  <c:v>29.502800000000001</c:v>
                </c:pt>
                <c:pt idx="70">
                  <c:v>30.002800000000001</c:v>
                </c:pt>
                <c:pt idx="71">
                  <c:v>30.503</c:v>
                </c:pt>
                <c:pt idx="72">
                  <c:v>31.002400000000002</c:v>
                </c:pt>
                <c:pt idx="73">
                  <c:v>31.503099999999996</c:v>
                </c:pt>
                <c:pt idx="74">
                  <c:v>32.002499999999998</c:v>
                </c:pt>
              </c:numCache>
            </c:numRef>
          </c:xVal>
          <c:yVal>
            <c:numRef>
              <c:f>'[1]66'!$S$2:$S$76</c:f>
              <c:numCache>
                <c:formatCode>General</c:formatCode>
                <c:ptCount val="75"/>
                <c:pt idx="0">
                  <c:v>1.1907053532136616</c:v>
                </c:pt>
                <c:pt idx="1">
                  <c:v>1.1032203501800708</c:v>
                </c:pt>
                <c:pt idx="2">
                  <c:v>1.3603537115633513</c:v>
                </c:pt>
                <c:pt idx="3">
                  <c:v>1.1767707803099019</c:v>
                </c:pt>
                <c:pt idx="4">
                  <c:v>0.81880383902046017</c:v>
                </c:pt>
                <c:pt idx="5">
                  <c:v>0.90885125552006463</c:v>
                </c:pt>
                <c:pt idx="6">
                  <c:v>0.91247825451941855</c:v>
                </c:pt>
                <c:pt idx="7">
                  <c:v>1.1689896726630538</c:v>
                </c:pt>
                <c:pt idx="8">
                  <c:v>1.3008317240128127</c:v>
                </c:pt>
                <c:pt idx="9">
                  <c:v>1.2527698886343948</c:v>
                </c:pt>
                <c:pt idx="10">
                  <c:v>0</c:v>
                </c:pt>
                <c:pt idx="11">
                  <c:v>0.22429329834856213</c:v>
                </c:pt>
                <c:pt idx="12">
                  <c:v>0.17714130452994137</c:v>
                </c:pt>
                <c:pt idx="13">
                  <c:v>0.36668159143532997</c:v>
                </c:pt>
                <c:pt idx="14">
                  <c:v>0.23349660090612057</c:v>
                </c:pt>
                <c:pt idx="15">
                  <c:v>0.51237190821659317</c:v>
                </c:pt>
                <c:pt idx="16">
                  <c:v>0.67473244580626668</c:v>
                </c:pt>
                <c:pt idx="17">
                  <c:v>0.74226393355312048</c:v>
                </c:pt>
                <c:pt idx="18">
                  <c:v>0.84965872451804136</c:v>
                </c:pt>
                <c:pt idx="19">
                  <c:v>0.76697073908587654</c:v>
                </c:pt>
                <c:pt idx="20">
                  <c:v>0.72032514735343067</c:v>
                </c:pt>
                <c:pt idx="21">
                  <c:v>0.81581268518159633</c:v>
                </c:pt>
                <c:pt idx="22">
                  <c:v>0.7444310210215408</c:v>
                </c:pt>
                <c:pt idx="23">
                  <c:v>0.71472885827679067</c:v>
                </c:pt>
                <c:pt idx="24">
                  <c:v>0.78505497709639904</c:v>
                </c:pt>
                <c:pt idx="25">
                  <c:v>0.89283527093866255</c:v>
                </c:pt>
                <c:pt idx="26">
                  <c:v>0.8404533710459855</c:v>
                </c:pt>
                <c:pt idx="27">
                  <c:v>0.94284569833890397</c:v>
                </c:pt>
                <c:pt idx="28">
                  <c:v>0.77014735830077907</c:v>
                </c:pt>
                <c:pt idx="29">
                  <c:v>0.84678859879282908</c:v>
                </c:pt>
                <c:pt idx="30">
                  <c:v>0.86604155086403489</c:v>
                </c:pt>
                <c:pt idx="31">
                  <c:v>0.92659249496796314</c:v>
                </c:pt>
                <c:pt idx="32">
                  <c:v>0.88794502460321423</c:v>
                </c:pt>
                <c:pt idx="33">
                  <c:v>0.95543267996944281</c:v>
                </c:pt>
                <c:pt idx="34">
                  <c:v>0.76557334466177374</c:v>
                </c:pt>
                <c:pt idx="35">
                  <c:v>0.83470993289573359</c:v>
                </c:pt>
                <c:pt idx="36">
                  <c:v>0.92754857889290232</c:v>
                </c:pt>
                <c:pt idx="37">
                  <c:v>0.78416301015207845</c:v>
                </c:pt>
                <c:pt idx="38">
                  <c:v>0.91323230825388835</c:v>
                </c:pt>
                <c:pt idx="39">
                  <c:v>0.90269693445336374</c:v>
                </c:pt>
                <c:pt idx="40">
                  <c:v>0.77268935944785777</c:v>
                </c:pt>
                <c:pt idx="41">
                  <c:v>0.9438635942855651</c:v>
                </c:pt>
                <c:pt idx="42">
                  <c:v>0.94531665574048929</c:v>
                </c:pt>
                <c:pt idx="43">
                  <c:v>0.89418513906286645</c:v>
                </c:pt>
                <c:pt idx="44">
                  <c:v>0.96474889634799388</c:v>
                </c:pt>
                <c:pt idx="45">
                  <c:v>0.78185035761756572</c:v>
                </c:pt>
                <c:pt idx="46">
                  <c:v>0.87693162411466874</c:v>
                </c:pt>
                <c:pt idx="47">
                  <c:v>0.82966187647350254</c:v>
                </c:pt>
                <c:pt idx="48">
                  <c:v>0.85632524849532843</c:v>
                </c:pt>
                <c:pt idx="49">
                  <c:v>0.84707429528024003</c:v>
                </c:pt>
                <c:pt idx="50">
                  <c:v>0.81612881078739574</c:v>
                </c:pt>
                <c:pt idx="51">
                  <c:v>0.93940153768951629</c:v>
                </c:pt>
                <c:pt idx="52">
                  <c:v>0.792137913924711</c:v>
                </c:pt>
                <c:pt idx="53">
                  <c:v>0.86940051837681298</c:v>
                </c:pt>
                <c:pt idx="54">
                  <c:v>0.86285941609058958</c:v>
                </c:pt>
                <c:pt idx="55">
                  <c:v>0.82334310626678653</c:v>
                </c:pt>
                <c:pt idx="56">
                  <c:v>0.89896110002833063</c:v>
                </c:pt>
                <c:pt idx="57">
                  <c:v>0.90734426209314467</c:v>
                </c:pt>
                <c:pt idx="58">
                  <c:v>0.82603484800422255</c:v>
                </c:pt>
                <c:pt idx="59">
                  <c:v>0.86303358654878159</c:v>
                </c:pt>
                <c:pt idx="60">
                  <c:v>0.87286562696769943</c:v>
                </c:pt>
                <c:pt idx="61">
                  <c:v>0.79846330640710717</c:v>
                </c:pt>
                <c:pt idx="62">
                  <c:v>0.91524991600125194</c:v>
                </c:pt>
                <c:pt idx="63">
                  <c:v>0.89383216105287389</c:v>
                </c:pt>
                <c:pt idx="64">
                  <c:v>0.83999221382312117</c:v>
                </c:pt>
                <c:pt idx="65">
                  <c:v>1.0519359274853961</c:v>
                </c:pt>
                <c:pt idx="66">
                  <c:v>0.99632214694789045</c:v>
                </c:pt>
                <c:pt idx="67">
                  <c:v>0.91020981529145495</c:v>
                </c:pt>
                <c:pt idx="68">
                  <c:v>0.95888424300469377</c:v>
                </c:pt>
                <c:pt idx="69">
                  <c:v>1.1161995895618773</c:v>
                </c:pt>
                <c:pt idx="70">
                  <c:v>1.0847622852204619</c:v>
                </c:pt>
                <c:pt idx="71">
                  <c:v>0.92976603949011594</c:v>
                </c:pt>
                <c:pt idx="72">
                  <c:v>0.9031934037587046</c:v>
                </c:pt>
                <c:pt idx="73">
                  <c:v>1.1759440693285681</c:v>
                </c:pt>
                <c:pt idx="74">
                  <c:v>1.0327902660877106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D1-4D9A-8027-4734A83B6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454016"/>
        <c:axId val="531456312"/>
      </c:scatterChart>
      <c:valAx>
        <c:axId val="531454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56312"/>
        <c:crosses val="autoZero"/>
        <c:crossBetween val="midCat"/>
      </c:valAx>
      <c:valAx>
        <c:axId val="531456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54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'[1]66'!$R$1</c:f>
              <c:strCache>
                <c:ptCount val="1"/>
                <c:pt idx="0">
                  <c:v>R(t) Region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'[1]66'!$B$2:$B$76</c:f>
              <c:numCache>
                <c:formatCode>General</c:formatCode>
                <c:ptCount val="75"/>
                <c:pt idx="0">
                  <c:v>-12.8226</c:v>
                </c:pt>
                <c:pt idx="1">
                  <c:v>-12.319799999999999</c:v>
                </c:pt>
                <c:pt idx="2">
                  <c:v>-11.819599999999999</c:v>
                </c:pt>
                <c:pt idx="3">
                  <c:v>-11.32</c:v>
                </c:pt>
                <c:pt idx="4">
                  <c:v>-10.819799999999999</c:v>
                </c:pt>
                <c:pt idx="5">
                  <c:v>-10.319799999999999</c:v>
                </c:pt>
                <c:pt idx="6">
                  <c:v>-9.8196999999999992</c:v>
                </c:pt>
                <c:pt idx="7">
                  <c:v>-9.3201999999999998</c:v>
                </c:pt>
                <c:pt idx="8">
                  <c:v>-8.82</c:v>
                </c:pt>
                <c:pt idx="9">
                  <c:v>-8.3199000000000005</c:v>
                </c:pt>
                <c:pt idx="10">
                  <c:v>0</c:v>
                </c:pt>
                <c:pt idx="11">
                  <c:v>0.50309999999999988</c:v>
                </c:pt>
                <c:pt idx="12">
                  <c:v>1.0025000000000013</c:v>
                </c:pt>
                <c:pt idx="13">
                  <c:v>1.5027000000000008</c:v>
                </c:pt>
                <c:pt idx="14">
                  <c:v>2.0023</c:v>
                </c:pt>
                <c:pt idx="15">
                  <c:v>2.5030999999999999</c:v>
                </c:pt>
                <c:pt idx="16">
                  <c:v>3.0025000000000013</c:v>
                </c:pt>
                <c:pt idx="17">
                  <c:v>3.5032000000000014</c:v>
                </c:pt>
                <c:pt idx="18">
                  <c:v>4.002699999999999</c:v>
                </c:pt>
                <c:pt idx="19">
                  <c:v>4.5029000000000021</c:v>
                </c:pt>
                <c:pt idx="20">
                  <c:v>5.0024999999999995</c:v>
                </c:pt>
                <c:pt idx="21">
                  <c:v>5.502699999999999</c:v>
                </c:pt>
                <c:pt idx="22">
                  <c:v>6.0023</c:v>
                </c:pt>
                <c:pt idx="23">
                  <c:v>6.5031000000000017</c:v>
                </c:pt>
                <c:pt idx="24">
                  <c:v>7.0024999999999995</c:v>
                </c:pt>
                <c:pt idx="25">
                  <c:v>7.5025999999999993</c:v>
                </c:pt>
                <c:pt idx="26">
                  <c:v>8.0027999999999988</c:v>
                </c:pt>
                <c:pt idx="27">
                  <c:v>8.5030000000000019</c:v>
                </c:pt>
                <c:pt idx="28">
                  <c:v>9.0024999999999995</c:v>
                </c:pt>
                <c:pt idx="29">
                  <c:v>9.502699999999999</c:v>
                </c:pt>
                <c:pt idx="30">
                  <c:v>10.0023</c:v>
                </c:pt>
                <c:pt idx="31">
                  <c:v>10.503100000000002</c:v>
                </c:pt>
                <c:pt idx="32">
                  <c:v>11.0025</c:v>
                </c:pt>
                <c:pt idx="33">
                  <c:v>11.502599999999999</c:v>
                </c:pt>
                <c:pt idx="34">
                  <c:v>12.002799999999999</c:v>
                </c:pt>
                <c:pt idx="35">
                  <c:v>12.503000000000002</c:v>
                </c:pt>
                <c:pt idx="36">
                  <c:v>13.0024</c:v>
                </c:pt>
                <c:pt idx="37">
                  <c:v>13.503000000000002</c:v>
                </c:pt>
                <c:pt idx="38">
                  <c:v>14.0024</c:v>
                </c:pt>
                <c:pt idx="39">
                  <c:v>14.502599999999999</c:v>
                </c:pt>
                <c:pt idx="40">
                  <c:v>15.002799999999999</c:v>
                </c:pt>
                <c:pt idx="41">
                  <c:v>15.502900000000002</c:v>
                </c:pt>
                <c:pt idx="42">
                  <c:v>16.002299999999998</c:v>
                </c:pt>
                <c:pt idx="43">
                  <c:v>16.503100000000003</c:v>
                </c:pt>
                <c:pt idx="44">
                  <c:v>17.002699999999997</c:v>
                </c:pt>
                <c:pt idx="45">
                  <c:v>17.502900000000004</c:v>
                </c:pt>
                <c:pt idx="46">
                  <c:v>18.002400000000002</c:v>
                </c:pt>
                <c:pt idx="47">
                  <c:v>18.502600000000001</c:v>
                </c:pt>
                <c:pt idx="48">
                  <c:v>19.002699999999997</c:v>
                </c:pt>
                <c:pt idx="49">
                  <c:v>19.502699999999997</c:v>
                </c:pt>
                <c:pt idx="50">
                  <c:v>20.002299999999998</c:v>
                </c:pt>
                <c:pt idx="51">
                  <c:v>20.503099999999996</c:v>
                </c:pt>
                <c:pt idx="52">
                  <c:v>21.002499999999998</c:v>
                </c:pt>
                <c:pt idx="53">
                  <c:v>21.5032</c:v>
                </c:pt>
                <c:pt idx="54">
                  <c:v>22.002600000000001</c:v>
                </c:pt>
                <c:pt idx="55">
                  <c:v>22.502800000000001</c:v>
                </c:pt>
                <c:pt idx="56">
                  <c:v>23.002299999999998</c:v>
                </c:pt>
                <c:pt idx="57">
                  <c:v>23.5032</c:v>
                </c:pt>
                <c:pt idx="58">
                  <c:v>24.002600000000001</c:v>
                </c:pt>
                <c:pt idx="59">
                  <c:v>24.502600000000001</c:v>
                </c:pt>
                <c:pt idx="60">
                  <c:v>25.002600000000001</c:v>
                </c:pt>
                <c:pt idx="61">
                  <c:v>25.502699999999997</c:v>
                </c:pt>
                <c:pt idx="62">
                  <c:v>26.002699999999997</c:v>
                </c:pt>
                <c:pt idx="63">
                  <c:v>26.502899999999997</c:v>
                </c:pt>
                <c:pt idx="64">
                  <c:v>27.002499999999998</c:v>
                </c:pt>
                <c:pt idx="65">
                  <c:v>27.502699999999997</c:v>
                </c:pt>
                <c:pt idx="66">
                  <c:v>28.002699999999997</c:v>
                </c:pt>
                <c:pt idx="67">
                  <c:v>28.502699999999997</c:v>
                </c:pt>
                <c:pt idx="68">
                  <c:v>29.002699999999997</c:v>
                </c:pt>
                <c:pt idx="69">
                  <c:v>29.502800000000001</c:v>
                </c:pt>
                <c:pt idx="70">
                  <c:v>30.002800000000001</c:v>
                </c:pt>
                <c:pt idx="71">
                  <c:v>30.503</c:v>
                </c:pt>
                <c:pt idx="72">
                  <c:v>31.002400000000002</c:v>
                </c:pt>
                <c:pt idx="73">
                  <c:v>31.503099999999996</c:v>
                </c:pt>
                <c:pt idx="74">
                  <c:v>32.002499999999998</c:v>
                </c:pt>
              </c:numCache>
            </c:numRef>
          </c:xVal>
          <c:yVal>
            <c:numRef>
              <c:f>'[1]66'!$R$2:$R$76</c:f>
              <c:numCache>
                <c:formatCode>General</c:formatCode>
                <c:ptCount val="75"/>
                <c:pt idx="0">
                  <c:v>1.4261204543590285</c:v>
                </c:pt>
                <c:pt idx="1">
                  <c:v>1.5443929362374984</c:v>
                </c:pt>
                <c:pt idx="2">
                  <c:v>1.5826649338470105</c:v>
                </c:pt>
                <c:pt idx="3">
                  <c:v>1.4084788210775496</c:v>
                </c:pt>
                <c:pt idx="4">
                  <c:v>1.3084470565468937</c:v>
                </c:pt>
                <c:pt idx="5">
                  <c:v>1.3088369625316931</c:v>
                </c:pt>
                <c:pt idx="6">
                  <c:v>1.3155812447790118</c:v>
                </c:pt>
                <c:pt idx="7">
                  <c:v>1.4279797617068488</c:v>
                </c:pt>
                <c:pt idx="8">
                  <c:v>1.4875970044366571</c:v>
                </c:pt>
                <c:pt idx="9">
                  <c:v>1.3303110016484645</c:v>
                </c:pt>
                <c:pt idx="10">
                  <c:v>0</c:v>
                </c:pt>
                <c:pt idx="11">
                  <c:v>0.10203662218311255</c:v>
                </c:pt>
                <c:pt idx="12">
                  <c:v>0.32368650762209655</c:v>
                </c:pt>
                <c:pt idx="13">
                  <c:v>0.30629456535658545</c:v>
                </c:pt>
                <c:pt idx="14">
                  <c:v>0.42032999670171384</c:v>
                </c:pt>
                <c:pt idx="15">
                  <c:v>0.4483430145315459</c:v>
                </c:pt>
                <c:pt idx="16">
                  <c:v>0.65289467217128838</c:v>
                </c:pt>
                <c:pt idx="17">
                  <c:v>0.68233001097946555</c:v>
                </c:pt>
                <c:pt idx="18">
                  <c:v>0.57608242361940765</c:v>
                </c:pt>
                <c:pt idx="19">
                  <c:v>0.68005001289775246</c:v>
                </c:pt>
                <c:pt idx="20">
                  <c:v>0.69642013175995332</c:v>
                </c:pt>
                <c:pt idx="21">
                  <c:v>0.73010695098981337</c:v>
                </c:pt>
                <c:pt idx="22">
                  <c:v>0.81840803279733976</c:v>
                </c:pt>
                <c:pt idx="23">
                  <c:v>0.90312052748751626</c:v>
                </c:pt>
                <c:pt idx="24">
                  <c:v>0.84831964460883813</c:v>
                </c:pt>
                <c:pt idx="25">
                  <c:v>0.78767501686833796</c:v>
                </c:pt>
                <c:pt idx="26">
                  <c:v>0.86115620763700584</c:v>
                </c:pt>
                <c:pt idx="27">
                  <c:v>0.80635036855287323</c:v>
                </c:pt>
                <c:pt idx="28">
                  <c:v>0.81035637536225924</c:v>
                </c:pt>
                <c:pt idx="29">
                  <c:v>0.78938274740238423</c:v>
                </c:pt>
                <c:pt idx="30">
                  <c:v>0.83478979827554545</c:v>
                </c:pt>
                <c:pt idx="31">
                  <c:v>0.84875292676819325</c:v>
                </c:pt>
                <c:pt idx="32">
                  <c:v>0.96888523162088769</c:v>
                </c:pt>
                <c:pt idx="33">
                  <c:v>0.785560717271923</c:v>
                </c:pt>
                <c:pt idx="34">
                  <c:v>0.86544835445275992</c:v>
                </c:pt>
                <c:pt idx="35">
                  <c:v>0.86010343962925861</c:v>
                </c:pt>
                <c:pt idx="36">
                  <c:v>0.84224861053546685</c:v>
                </c:pt>
                <c:pt idx="37">
                  <c:v>0.93119804717122701</c:v>
                </c:pt>
                <c:pt idx="38">
                  <c:v>0.88856980592617252</c:v>
                </c:pt>
                <c:pt idx="39">
                  <c:v>0.94756535702735278</c:v>
                </c:pt>
                <c:pt idx="40">
                  <c:v>0.90909786195904851</c:v>
                </c:pt>
                <c:pt idx="41">
                  <c:v>0.97577590714079199</c:v>
                </c:pt>
                <c:pt idx="42">
                  <c:v>0.85537375934191695</c:v>
                </c:pt>
                <c:pt idx="43">
                  <c:v>0.90028495328194369</c:v>
                </c:pt>
                <c:pt idx="44">
                  <c:v>0.79832476085472737</c:v>
                </c:pt>
                <c:pt idx="45">
                  <c:v>0.98674124795397822</c:v>
                </c:pt>
                <c:pt idx="46">
                  <c:v>0.90047743051986184</c:v>
                </c:pt>
                <c:pt idx="47">
                  <c:v>0.93361078416500176</c:v>
                </c:pt>
                <c:pt idx="48">
                  <c:v>0.96377397036124379</c:v>
                </c:pt>
                <c:pt idx="49">
                  <c:v>0.96083638861830134</c:v>
                </c:pt>
                <c:pt idx="50">
                  <c:v>0.95185749615926318</c:v>
                </c:pt>
                <c:pt idx="51">
                  <c:v>0.91278751821517445</c:v>
                </c:pt>
                <c:pt idx="52">
                  <c:v>1.1031914418392232</c:v>
                </c:pt>
                <c:pt idx="53">
                  <c:v>1.0309826781301268</c:v>
                </c:pt>
                <c:pt idx="54">
                  <c:v>1.0653224378562578</c:v>
                </c:pt>
                <c:pt idx="55">
                  <c:v>0.94042378917079616</c:v>
                </c:pt>
                <c:pt idx="56">
                  <c:v>0.89108148002249798</c:v>
                </c:pt>
                <c:pt idx="57">
                  <c:v>0.95696754831779041</c:v>
                </c:pt>
                <c:pt idx="58">
                  <c:v>0.9773908230819458</c:v>
                </c:pt>
                <c:pt idx="59">
                  <c:v>0.9541524704378338</c:v>
                </c:pt>
                <c:pt idx="60">
                  <c:v>0.90242291589836721</c:v>
                </c:pt>
                <c:pt idx="61">
                  <c:v>0.95843735482140491</c:v>
                </c:pt>
                <c:pt idx="62">
                  <c:v>0.90558018733903345</c:v>
                </c:pt>
                <c:pt idx="63">
                  <c:v>0.93396903335449399</c:v>
                </c:pt>
                <c:pt idx="64">
                  <c:v>1.1117245716636079</c:v>
                </c:pt>
                <c:pt idx="65">
                  <c:v>1.003428645085138</c:v>
                </c:pt>
                <c:pt idx="66">
                  <c:v>0.88873928632810872</c:v>
                </c:pt>
                <c:pt idx="67">
                  <c:v>0.9850884794570951</c:v>
                </c:pt>
                <c:pt idx="68">
                  <c:v>0.91357314338461948</c:v>
                </c:pt>
                <c:pt idx="69">
                  <c:v>0.99194354572201338</c:v>
                </c:pt>
                <c:pt idx="70">
                  <c:v>1.0385615748184176</c:v>
                </c:pt>
                <c:pt idx="71">
                  <c:v>1.1424312137996551</c:v>
                </c:pt>
                <c:pt idx="72">
                  <c:v>1.0772417021433147</c:v>
                </c:pt>
                <c:pt idx="73">
                  <c:v>0.866147423232008</c:v>
                </c:pt>
                <c:pt idx="74">
                  <c:v>0.98112041436603081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30-4286-90C8-9CDA2A74B67B}"/>
            </c:ext>
          </c:extLst>
        </c:ser>
        <c:ser>
          <c:idx val="1"/>
          <c:order val="1"/>
          <c:tx>
            <c:strRef>
              <c:f>'[1]66'!$S$1</c:f>
              <c:strCache>
                <c:ptCount val="1"/>
                <c:pt idx="0">
                  <c:v>R(t) Region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'[1]66'!$B$2:$B$76</c:f>
              <c:numCache>
                <c:formatCode>General</c:formatCode>
                <c:ptCount val="75"/>
                <c:pt idx="0">
                  <c:v>-12.8226</c:v>
                </c:pt>
                <c:pt idx="1">
                  <c:v>-12.319799999999999</c:v>
                </c:pt>
                <c:pt idx="2">
                  <c:v>-11.819599999999999</c:v>
                </c:pt>
                <c:pt idx="3">
                  <c:v>-11.32</c:v>
                </c:pt>
                <c:pt idx="4">
                  <c:v>-10.819799999999999</c:v>
                </c:pt>
                <c:pt idx="5">
                  <c:v>-10.319799999999999</c:v>
                </c:pt>
                <c:pt idx="6">
                  <c:v>-9.8196999999999992</c:v>
                </c:pt>
                <c:pt idx="7">
                  <c:v>-9.3201999999999998</c:v>
                </c:pt>
                <c:pt idx="8">
                  <c:v>-8.82</c:v>
                </c:pt>
                <c:pt idx="9">
                  <c:v>-8.3199000000000005</c:v>
                </c:pt>
                <c:pt idx="10">
                  <c:v>0</c:v>
                </c:pt>
                <c:pt idx="11">
                  <c:v>0.50309999999999988</c:v>
                </c:pt>
                <c:pt idx="12">
                  <c:v>1.0025000000000013</c:v>
                </c:pt>
                <c:pt idx="13">
                  <c:v>1.5027000000000008</c:v>
                </c:pt>
                <c:pt idx="14">
                  <c:v>2.0023</c:v>
                </c:pt>
                <c:pt idx="15">
                  <c:v>2.5030999999999999</c:v>
                </c:pt>
                <c:pt idx="16">
                  <c:v>3.0025000000000013</c:v>
                </c:pt>
                <c:pt idx="17">
                  <c:v>3.5032000000000014</c:v>
                </c:pt>
                <c:pt idx="18">
                  <c:v>4.002699999999999</c:v>
                </c:pt>
                <c:pt idx="19">
                  <c:v>4.5029000000000021</c:v>
                </c:pt>
                <c:pt idx="20">
                  <c:v>5.0024999999999995</c:v>
                </c:pt>
                <c:pt idx="21">
                  <c:v>5.502699999999999</c:v>
                </c:pt>
                <c:pt idx="22">
                  <c:v>6.0023</c:v>
                </c:pt>
                <c:pt idx="23">
                  <c:v>6.5031000000000017</c:v>
                </c:pt>
                <c:pt idx="24">
                  <c:v>7.0024999999999995</c:v>
                </c:pt>
                <c:pt idx="25">
                  <c:v>7.5025999999999993</c:v>
                </c:pt>
                <c:pt idx="26">
                  <c:v>8.0027999999999988</c:v>
                </c:pt>
                <c:pt idx="27">
                  <c:v>8.5030000000000019</c:v>
                </c:pt>
                <c:pt idx="28">
                  <c:v>9.0024999999999995</c:v>
                </c:pt>
                <c:pt idx="29">
                  <c:v>9.502699999999999</c:v>
                </c:pt>
                <c:pt idx="30">
                  <c:v>10.0023</c:v>
                </c:pt>
                <c:pt idx="31">
                  <c:v>10.503100000000002</c:v>
                </c:pt>
                <c:pt idx="32">
                  <c:v>11.0025</c:v>
                </c:pt>
                <c:pt idx="33">
                  <c:v>11.502599999999999</c:v>
                </c:pt>
                <c:pt idx="34">
                  <c:v>12.002799999999999</c:v>
                </c:pt>
                <c:pt idx="35">
                  <c:v>12.503000000000002</c:v>
                </c:pt>
                <c:pt idx="36">
                  <c:v>13.0024</c:v>
                </c:pt>
                <c:pt idx="37">
                  <c:v>13.503000000000002</c:v>
                </c:pt>
                <c:pt idx="38">
                  <c:v>14.0024</c:v>
                </c:pt>
                <c:pt idx="39">
                  <c:v>14.502599999999999</c:v>
                </c:pt>
                <c:pt idx="40">
                  <c:v>15.002799999999999</c:v>
                </c:pt>
                <c:pt idx="41">
                  <c:v>15.502900000000002</c:v>
                </c:pt>
                <c:pt idx="42">
                  <c:v>16.002299999999998</c:v>
                </c:pt>
                <c:pt idx="43">
                  <c:v>16.503100000000003</c:v>
                </c:pt>
                <c:pt idx="44">
                  <c:v>17.002699999999997</c:v>
                </c:pt>
                <c:pt idx="45">
                  <c:v>17.502900000000004</c:v>
                </c:pt>
                <c:pt idx="46">
                  <c:v>18.002400000000002</c:v>
                </c:pt>
                <c:pt idx="47">
                  <c:v>18.502600000000001</c:v>
                </c:pt>
                <c:pt idx="48">
                  <c:v>19.002699999999997</c:v>
                </c:pt>
                <c:pt idx="49">
                  <c:v>19.502699999999997</c:v>
                </c:pt>
                <c:pt idx="50">
                  <c:v>20.002299999999998</c:v>
                </c:pt>
                <c:pt idx="51">
                  <c:v>20.503099999999996</c:v>
                </c:pt>
                <c:pt idx="52">
                  <c:v>21.002499999999998</c:v>
                </c:pt>
                <c:pt idx="53">
                  <c:v>21.5032</c:v>
                </c:pt>
                <c:pt idx="54">
                  <c:v>22.002600000000001</c:v>
                </c:pt>
                <c:pt idx="55">
                  <c:v>22.502800000000001</c:v>
                </c:pt>
                <c:pt idx="56">
                  <c:v>23.002299999999998</c:v>
                </c:pt>
                <c:pt idx="57">
                  <c:v>23.5032</c:v>
                </c:pt>
                <c:pt idx="58">
                  <c:v>24.002600000000001</c:v>
                </c:pt>
                <c:pt idx="59">
                  <c:v>24.502600000000001</c:v>
                </c:pt>
                <c:pt idx="60">
                  <c:v>25.002600000000001</c:v>
                </c:pt>
                <c:pt idx="61">
                  <c:v>25.502699999999997</c:v>
                </c:pt>
                <c:pt idx="62">
                  <c:v>26.002699999999997</c:v>
                </c:pt>
                <c:pt idx="63">
                  <c:v>26.502899999999997</c:v>
                </c:pt>
                <c:pt idx="64">
                  <c:v>27.002499999999998</c:v>
                </c:pt>
                <c:pt idx="65">
                  <c:v>27.502699999999997</c:v>
                </c:pt>
                <c:pt idx="66">
                  <c:v>28.002699999999997</c:v>
                </c:pt>
                <c:pt idx="67">
                  <c:v>28.502699999999997</c:v>
                </c:pt>
                <c:pt idx="68">
                  <c:v>29.002699999999997</c:v>
                </c:pt>
                <c:pt idx="69">
                  <c:v>29.502800000000001</c:v>
                </c:pt>
                <c:pt idx="70">
                  <c:v>30.002800000000001</c:v>
                </c:pt>
                <c:pt idx="71">
                  <c:v>30.503</c:v>
                </c:pt>
                <c:pt idx="72">
                  <c:v>31.002400000000002</c:v>
                </c:pt>
                <c:pt idx="73">
                  <c:v>31.503099999999996</c:v>
                </c:pt>
                <c:pt idx="74">
                  <c:v>32.002499999999998</c:v>
                </c:pt>
              </c:numCache>
            </c:numRef>
          </c:xVal>
          <c:yVal>
            <c:numRef>
              <c:f>'[1]66'!$S$2:$S$76</c:f>
              <c:numCache>
                <c:formatCode>General</c:formatCode>
                <c:ptCount val="75"/>
                <c:pt idx="0">
                  <c:v>1.1907053532136616</c:v>
                </c:pt>
                <c:pt idx="1">
                  <c:v>1.1032203501800708</c:v>
                </c:pt>
                <c:pt idx="2">
                  <c:v>1.3603537115633513</c:v>
                </c:pt>
                <c:pt idx="3">
                  <c:v>1.1767707803099019</c:v>
                </c:pt>
                <c:pt idx="4">
                  <c:v>0.81880383902046017</c:v>
                </c:pt>
                <c:pt idx="5">
                  <c:v>0.90885125552006463</c:v>
                </c:pt>
                <c:pt idx="6">
                  <c:v>0.91247825451941855</c:v>
                </c:pt>
                <c:pt idx="7">
                  <c:v>1.1689896726630538</c:v>
                </c:pt>
                <c:pt idx="8">
                  <c:v>1.3008317240128127</c:v>
                </c:pt>
                <c:pt idx="9">
                  <c:v>1.2527698886343948</c:v>
                </c:pt>
                <c:pt idx="10">
                  <c:v>0</c:v>
                </c:pt>
                <c:pt idx="11">
                  <c:v>0.22429329834856213</c:v>
                </c:pt>
                <c:pt idx="12">
                  <c:v>0.17714130452994137</c:v>
                </c:pt>
                <c:pt idx="13">
                  <c:v>0.36668159143532997</c:v>
                </c:pt>
                <c:pt idx="14">
                  <c:v>0.23349660090612057</c:v>
                </c:pt>
                <c:pt idx="15">
                  <c:v>0.51237190821659317</c:v>
                </c:pt>
                <c:pt idx="16">
                  <c:v>0.67473244580626668</c:v>
                </c:pt>
                <c:pt idx="17">
                  <c:v>0.74226393355312048</c:v>
                </c:pt>
                <c:pt idx="18">
                  <c:v>0.84965872451804136</c:v>
                </c:pt>
                <c:pt idx="19">
                  <c:v>0.76697073908587654</c:v>
                </c:pt>
                <c:pt idx="20">
                  <c:v>0.72032514735343067</c:v>
                </c:pt>
                <c:pt idx="21">
                  <c:v>0.81581268518159633</c:v>
                </c:pt>
                <c:pt idx="22">
                  <c:v>0.7444310210215408</c:v>
                </c:pt>
                <c:pt idx="23">
                  <c:v>0.71472885827679067</c:v>
                </c:pt>
                <c:pt idx="24">
                  <c:v>0.78505497709639904</c:v>
                </c:pt>
                <c:pt idx="25">
                  <c:v>0.89283527093866255</c:v>
                </c:pt>
                <c:pt idx="26">
                  <c:v>0.8404533710459855</c:v>
                </c:pt>
                <c:pt idx="27">
                  <c:v>0.94284569833890397</c:v>
                </c:pt>
                <c:pt idx="28">
                  <c:v>0.77014735830077907</c:v>
                </c:pt>
                <c:pt idx="29">
                  <c:v>0.84678859879282908</c:v>
                </c:pt>
                <c:pt idx="30">
                  <c:v>0.86604155086403489</c:v>
                </c:pt>
                <c:pt idx="31">
                  <c:v>0.92659249496796314</c:v>
                </c:pt>
                <c:pt idx="32">
                  <c:v>0.88794502460321423</c:v>
                </c:pt>
                <c:pt idx="33">
                  <c:v>0.95543267996944281</c:v>
                </c:pt>
                <c:pt idx="34">
                  <c:v>0.76557334466177374</c:v>
                </c:pt>
                <c:pt idx="35">
                  <c:v>0.83470993289573359</c:v>
                </c:pt>
                <c:pt idx="36">
                  <c:v>0.92754857889290232</c:v>
                </c:pt>
                <c:pt idx="37">
                  <c:v>0.78416301015207845</c:v>
                </c:pt>
                <c:pt idx="38">
                  <c:v>0.91323230825388835</c:v>
                </c:pt>
                <c:pt idx="39">
                  <c:v>0.90269693445336374</c:v>
                </c:pt>
                <c:pt idx="40">
                  <c:v>0.77268935944785777</c:v>
                </c:pt>
                <c:pt idx="41">
                  <c:v>0.9438635942855651</c:v>
                </c:pt>
                <c:pt idx="42">
                  <c:v>0.94531665574048929</c:v>
                </c:pt>
                <c:pt idx="43">
                  <c:v>0.89418513906286645</c:v>
                </c:pt>
                <c:pt idx="44">
                  <c:v>0.96474889634799388</c:v>
                </c:pt>
                <c:pt idx="45">
                  <c:v>0.78185035761756572</c:v>
                </c:pt>
                <c:pt idx="46">
                  <c:v>0.87693162411466874</c:v>
                </c:pt>
                <c:pt idx="47">
                  <c:v>0.82966187647350254</c:v>
                </c:pt>
                <c:pt idx="48">
                  <c:v>0.85632524849532843</c:v>
                </c:pt>
                <c:pt idx="49">
                  <c:v>0.84707429528024003</c:v>
                </c:pt>
                <c:pt idx="50">
                  <c:v>0.81612881078739574</c:v>
                </c:pt>
                <c:pt idx="51">
                  <c:v>0.93940153768951629</c:v>
                </c:pt>
                <c:pt idx="52">
                  <c:v>0.792137913924711</c:v>
                </c:pt>
                <c:pt idx="53">
                  <c:v>0.86940051837681298</c:v>
                </c:pt>
                <c:pt idx="54">
                  <c:v>0.86285941609058958</c:v>
                </c:pt>
                <c:pt idx="55">
                  <c:v>0.82334310626678653</c:v>
                </c:pt>
                <c:pt idx="56">
                  <c:v>0.89896110002833063</c:v>
                </c:pt>
                <c:pt idx="57">
                  <c:v>0.90734426209314467</c:v>
                </c:pt>
                <c:pt idx="58">
                  <c:v>0.82603484800422255</c:v>
                </c:pt>
                <c:pt idx="59">
                  <c:v>0.86303358654878159</c:v>
                </c:pt>
                <c:pt idx="60">
                  <c:v>0.87286562696769943</c:v>
                </c:pt>
                <c:pt idx="61">
                  <c:v>0.79846330640710717</c:v>
                </c:pt>
                <c:pt idx="62">
                  <c:v>0.91524991600125194</c:v>
                </c:pt>
                <c:pt idx="63">
                  <c:v>0.89383216105287389</c:v>
                </c:pt>
                <c:pt idx="64">
                  <c:v>0.83999221382312117</c:v>
                </c:pt>
                <c:pt idx="65">
                  <c:v>1.0519359274853961</c:v>
                </c:pt>
                <c:pt idx="66">
                  <c:v>0.99632214694789045</c:v>
                </c:pt>
                <c:pt idx="67">
                  <c:v>0.91020981529145495</c:v>
                </c:pt>
                <c:pt idx="68">
                  <c:v>0.95888424300469377</c:v>
                </c:pt>
                <c:pt idx="69">
                  <c:v>1.1161995895618773</c:v>
                </c:pt>
                <c:pt idx="70">
                  <c:v>1.0847622852204619</c:v>
                </c:pt>
                <c:pt idx="71">
                  <c:v>0.92976603949011594</c:v>
                </c:pt>
                <c:pt idx="72">
                  <c:v>0.9031934037587046</c:v>
                </c:pt>
                <c:pt idx="73">
                  <c:v>1.1759440693285681</c:v>
                </c:pt>
                <c:pt idx="74">
                  <c:v>1.0327902660877106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30-4286-90C8-9CDA2A74B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449424"/>
        <c:axId val="531446800"/>
      </c:scatterChart>
      <c:valAx>
        <c:axId val="53144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46800"/>
        <c:crosses val="autoZero"/>
        <c:crossBetween val="midCat"/>
      </c:valAx>
      <c:valAx>
        <c:axId val="53144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49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2922322122808362"/>
          <c:y val="5.57045278346272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'[1]666'!$R$1</c:f>
              <c:strCache>
                <c:ptCount val="1"/>
                <c:pt idx="0">
                  <c:v>R(t) Region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'[1]666'!$B$2:$B$76</c:f>
              <c:numCache>
                <c:formatCode>General</c:formatCode>
                <c:ptCount val="75"/>
                <c:pt idx="0">
                  <c:v>-12.8233</c:v>
                </c:pt>
                <c:pt idx="1">
                  <c:v>-12.3202</c:v>
                </c:pt>
                <c:pt idx="2">
                  <c:v>-11.820599999999999</c:v>
                </c:pt>
                <c:pt idx="3">
                  <c:v>-11.320399999999999</c:v>
                </c:pt>
                <c:pt idx="4">
                  <c:v>-10.8208</c:v>
                </c:pt>
                <c:pt idx="5">
                  <c:v>-10.320599999999999</c:v>
                </c:pt>
                <c:pt idx="6">
                  <c:v>-9.8205999999999989</c:v>
                </c:pt>
                <c:pt idx="7">
                  <c:v>-9.3204999999999991</c:v>
                </c:pt>
                <c:pt idx="8">
                  <c:v>-8.8204999999999991</c:v>
                </c:pt>
                <c:pt idx="9">
                  <c:v>-8.3204999999999991</c:v>
                </c:pt>
                <c:pt idx="10">
                  <c:v>0</c:v>
                </c:pt>
                <c:pt idx="11">
                  <c:v>0.50280000000000058</c:v>
                </c:pt>
                <c:pt idx="12">
                  <c:v>1.0030000000000001</c:v>
                </c:pt>
                <c:pt idx="13">
                  <c:v>1.502600000000001</c:v>
                </c:pt>
                <c:pt idx="14">
                  <c:v>2.0028000000000006</c:v>
                </c:pt>
                <c:pt idx="15">
                  <c:v>2.5023999999999997</c:v>
                </c:pt>
                <c:pt idx="16">
                  <c:v>3.0031999999999996</c:v>
                </c:pt>
                <c:pt idx="17">
                  <c:v>3.502600000000001</c:v>
                </c:pt>
                <c:pt idx="18">
                  <c:v>4.0027000000000008</c:v>
                </c:pt>
                <c:pt idx="19">
                  <c:v>4.5027000000000008</c:v>
                </c:pt>
                <c:pt idx="20">
                  <c:v>5.0027000000000008</c:v>
                </c:pt>
                <c:pt idx="21">
                  <c:v>5.5027000000000008</c:v>
                </c:pt>
                <c:pt idx="22">
                  <c:v>6.0028000000000006</c:v>
                </c:pt>
                <c:pt idx="23">
                  <c:v>6.5028000000000006</c:v>
                </c:pt>
                <c:pt idx="24">
                  <c:v>7.0028000000000006</c:v>
                </c:pt>
                <c:pt idx="25">
                  <c:v>7.5028000000000006</c:v>
                </c:pt>
                <c:pt idx="26">
                  <c:v>8.0029000000000003</c:v>
                </c:pt>
                <c:pt idx="27">
                  <c:v>8.5025000000000013</c:v>
                </c:pt>
                <c:pt idx="28">
                  <c:v>9.0027000000000008</c:v>
                </c:pt>
                <c:pt idx="29">
                  <c:v>9.5027000000000008</c:v>
                </c:pt>
                <c:pt idx="30">
                  <c:v>10.002700000000001</c:v>
                </c:pt>
                <c:pt idx="31">
                  <c:v>10.502700000000001</c:v>
                </c:pt>
                <c:pt idx="32">
                  <c:v>11.002800000000001</c:v>
                </c:pt>
                <c:pt idx="33">
                  <c:v>11.502800000000001</c:v>
                </c:pt>
                <c:pt idx="34">
                  <c:v>12.002800000000001</c:v>
                </c:pt>
                <c:pt idx="35">
                  <c:v>12.502800000000001</c:v>
                </c:pt>
                <c:pt idx="36">
                  <c:v>13.0029</c:v>
                </c:pt>
                <c:pt idx="37">
                  <c:v>13.5029</c:v>
                </c:pt>
                <c:pt idx="38">
                  <c:v>14.0029</c:v>
                </c:pt>
                <c:pt idx="39">
                  <c:v>14.502300000000002</c:v>
                </c:pt>
                <c:pt idx="40">
                  <c:v>15.0032</c:v>
                </c:pt>
                <c:pt idx="41">
                  <c:v>15.502700000000001</c:v>
                </c:pt>
                <c:pt idx="42">
                  <c:v>16.0029</c:v>
                </c:pt>
                <c:pt idx="43">
                  <c:v>16.502300000000002</c:v>
                </c:pt>
                <c:pt idx="44">
                  <c:v>17.003</c:v>
                </c:pt>
                <c:pt idx="45">
                  <c:v>17.502400000000002</c:v>
                </c:pt>
                <c:pt idx="46">
                  <c:v>18.0032</c:v>
                </c:pt>
                <c:pt idx="47">
                  <c:v>18.502800000000001</c:v>
                </c:pt>
                <c:pt idx="48">
                  <c:v>19.003</c:v>
                </c:pt>
                <c:pt idx="49">
                  <c:v>19.502399999999998</c:v>
                </c:pt>
                <c:pt idx="50">
                  <c:v>20.0031</c:v>
                </c:pt>
                <c:pt idx="51">
                  <c:v>20.502500000000001</c:v>
                </c:pt>
                <c:pt idx="52">
                  <c:v>21.002700000000001</c:v>
                </c:pt>
                <c:pt idx="53">
                  <c:v>21.5029</c:v>
                </c:pt>
                <c:pt idx="54">
                  <c:v>22.0029</c:v>
                </c:pt>
                <c:pt idx="55">
                  <c:v>22.502300000000002</c:v>
                </c:pt>
                <c:pt idx="56">
                  <c:v>23.0031</c:v>
                </c:pt>
                <c:pt idx="57">
                  <c:v>23.502700000000001</c:v>
                </c:pt>
                <c:pt idx="58">
                  <c:v>24.0029</c:v>
                </c:pt>
                <c:pt idx="59">
                  <c:v>24.502300000000002</c:v>
                </c:pt>
                <c:pt idx="60">
                  <c:v>25.003000000000004</c:v>
                </c:pt>
                <c:pt idx="61">
                  <c:v>25.502399999999998</c:v>
                </c:pt>
                <c:pt idx="62">
                  <c:v>26.003200000000003</c:v>
                </c:pt>
                <c:pt idx="63">
                  <c:v>26.502799999999997</c:v>
                </c:pt>
                <c:pt idx="64">
                  <c:v>27.003000000000004</c:v>
                </c:pt>
                <c:pt idx="65">
                  <c:v>27.502399999999998</c:v>
                </c:pt>
                <c:pt idx="66">
                  <c:v>28.003000000000004</c:v>
                </c:pt>
                <c:pt idx="67">
                  <c:v>28.502599999999997</c:v>
                </c:pt>
                <c:pt idx="68">
                  <c:v>29.002799999999997</c:v>
                </c:pt>
                <c:pt idx="69">
                  <c:v>29.502799999999997</c:v>
                </c:pt>
                <c:pt idx="70">
                  <c:v>30.0029</c:v>
                </c:pt>
                <c:pt idx="71">
                  <c:v>30.502399999999998</c:v>
                </c:pt>
                <c:pt idx="72">
                  <c:v>31.002599999999997</c:v>
                </c:pt>
                <c:pt idx="73">
                  <c:v>31.502799999999997</c:v>
                </c:pt>
                <c:pt idx="74">
                  <c:v>32.002899999999997</c:v>
                </c:pt>
              </c:numCache>
            </c:numRef>
          </c:xVal>
          <c:yVal>
            <c:numRef>
              <c:f>'[1]666'!$R$2:$R$76</c:f>
              <c:numCache>
                <c:formatCode>General</c:formatCode>
                <c:ptCount val="75"/>
                <c:pt idx="0">
                  <c:v>1.3801261256249349</c:v>
                </c:pt>
                <c:pt idx="1">
                  <c:v>1.0031706409483143</c:v>
                </c:pt>
                <c:pt idx="2">
                  <c:v>1.5257787437518926</c:v>
                </c:pt>
                <c:pt idx="3">
                  <c:v>1.0973186958781997</c:v>
                </c:pt>
                <c:pt idx="4">
                  <c:v>1.1229408235342273</c:v>
                </c:pt>
                <c:pt idx="5">
                  <c:v>1.1273205218403051</c:v>
                </c:pt>
                <c:pt idx="6">
                  <c:v>1.1304197277873154</c:v>
                </c:pt>
                <c:pt idx="7">
                  <c:v>0.95300477114916871</c:v>
                </c:pt>
                <c:pt idx="8">
                  <c:v>0.93559408476904238</c:v>
                </c:pt>
                <c:pt idx="9">
                  <c:v>0.74019512968687984</c:v>
                </c:pt>
                <c:pt idx="10">
                  <c:v>0</c:v>
                </c:pt>
                <c:pt idx="11">
                  <c:v>9.4341018293822548E-2</c:v>
                </c:pt>
                <c:pt idx="12">
                  <c:v>0.12639509214637223</c:v>
                </c:pt>
                <c:pt idx="13">
                  <c:v>0.16531296226897485</c:v>
                </c:pt>
                <c:pt idx="14">
                  <c:v>0.21760457680660486</c:v>
                </c:pt>
                <c:pt idx="15">
                  <c:v>0.52792236247996371</c:v>
                </c:pt>
                <c:pt idx="16">
                  <c:v>0.47308830946355257</c:v>
                </c:pt>
                <c:pt idx="17">
                  <c:v>0.52284637265180789</c:v>
                </c:pt>
                <c:pt idx="18">
                  <c:v>0.60764642795919166</c:v>
                </c:pt>
                <c:pt idx="19">
                  <c:v>0.5845117267354395</c:v>
                </c:pt>
                <c:pt idx="20">
                  <c:v>0.48959591730795649</c:v>
                </c:pt>
                <c:pt idx="21">
                  <c:v>0.49467734662356749</c:v>
                </c:pt>
                <c:pt idx="22">
                  <c:v>0.64570642111021304</c:v>
                </c:pt>
                <c:pt idx="23">
                  <c:v>0.84856825109595324</c:v>
                </c:pt>
                <c:pt idx="24">
                  <c:v>0.70691688016205145</c:v>
                </c:pt>
                <c:pt idx="25">
                  <c:v>0.76987631530227452</c:v>
                </c:pt>
                <c:pt idx="26">
                  <c:v>0.79794744422392827</c:v>
                </c:pt>
                <c:pt idx="27">
                  <c:v>0.86315740713125988</c:v>
                </c:pt>
                <c:pt idx="28">
                  <c:v>0.7281002568980639</c:v>
                </c:pt>
                <c:pt idx="29">
                  <c:v>0.75302510687647439</c:v>
                </c:pt>
                <c:pt idx="30">
                  <c:v>0.67756567293018433</c:v>
                </c:pt>
                <c:pt idx="31">
                  <c:v>0.64115744521330398</c:v>
                </c:pt>
                <c:pt idx="32">
                  <c:v>0.71788449405735788</c:v>
                </c:pt>
                <c:pt idx="33">
                  <c:v>0.74997718085044429</c:v>
                </c:pt>
                <c:pt idx="34">
                  <c:v>0.82698415616562992</c:v>
                </c:pt>
                <c:pt idx="35">
                  <c:v>0.75571755781498307</c:v>
                </c:pt>
                <c:pt idx="36">
                  <c:v>0.7954594596030985</c:v>
                </c:pt>
                <c:pt idx="37">
                  <c:v>0.72429422107789831</c:v>
                </c:pt>
                <c:pt idx="38">
                  <c:v>0.85004195754310274</c:v>
                </c:pt>
                <c:pt idx="39">
                  <c:v>0.93248507708115835</c:v>
                </c:pt>
                <c:pt idx="40">
                  <c:v>0.73325879423965301</c:v>
                </c:pt>
                <c:pt idx="41">
                  <c:v>0.69734379116521894</c:v>
                </c:pt>
                <c:pt idx="42">
                  <c:v>0.90014284086757068</c:v>
                </c:pt>
                <c:pt idx="43">
                  <c:v>0.88163589196368941</c:v>
                </c:pt>
                <c:pt idx="44">
                  <c:v>0.89926610667042794</c:v>
                </c:pt>
                <c:pt idx="45">
                  <c:v>0.87790577702678829</c:v>
                </c:pt>
                <c:pt idx="46">
                  <c:v>0.87946278360960395</c:v>
                </c:pt>
                <c:pt idx="47">
                  <c:v>0.77679092007559347</c:v>
                </c:pt>
                <c:pt idx="48">
                  <c:v>0.83184299130743888</c:v>
                </c:pt>
                <c:pt idx="49">
                  <c:v>0.70429962221189979</c:v>
                </c:pt>
                <c:pt idx="50">
                  <c:v>0.86029645025569623</c:v>
                </c:pt>
                <c:pt idx="51">
                  <c:v>0.70450171717785215</c:v>
                </c:pt>
                <c:pt idx="52">
                  <c:v>0.96064850946333313</c:v>
                </c:pt>
                <c:pt idx="53">
                  <c:v>0.98019247472171533</c:v>
                </c:pt>
                <c:pt idx="54">
                  <c:v>0.86206505791655974</c:v>
                </c:pt>
                <c:pt idx="55">
                  <c:v>1.1137442413743097</c:v>
                </c:pt>
                <c:pt idx="56">
                  <c:v>0.92779885652341931</c:v>
                </c:pt>
                <c:pt idx="57">
                  <c:v>1.0361186401797751</c:v>
                </c:pt>
                <c:pt idx="58">
                  <c:v>1.144243579829598</c:v>
                </c:pt>
                <c:pt idx="59">
                  <c:v>1.2143577314853113</c:v>
                </c:pt>
                <c:pt idx="60">
                  <c:v>1.132558694619612</c:v>
                </c:pt>
                <c:pt idx="61">
                  <c:v>0.844959389018892</c:v>
                </c:pt>
                <c:pt idx="62">
                  <c:v>0.91203606097507528</c:v>
                </c:pt>
                <c:pt idx="63">
                  <c:v>0.85732412286229553</c:v>
                </c:pt>
                <c:pt idx="64">
                  <c:v>1.025521389516558</c:v>
                </c:pt>
                <c:pt idx="65">
                  <c:v>0.83115145713846494</c:v>
                </c:pt>
                <c:pt idx="66">
                  <c:v>0.79053475591425248</c:v>
                </c:pt>
                <c:pt idx="67">
                  <c:v>0.81312070202598252</c:v>
                </c:pt>
                <c:pt idx="68">
                  <c:v>0.97707881214883707</c:v>
                </c:pt>
                <c:pt idx="69">
                  <c:v>1.09937267996149</c:v>
                </c:pt>
                <c:pt idx="70">
                  <c:v>0.93371873715108911</c:v>
                </c:pt>
                <c:pt idx="71">
                  <c:v>1.3054062250829017</c:v>
                </c:pt>
                <c:pt idx="72">
                  <c:v>1.1366276982742367</c:v>
                </c:pt>
                <c:pt idx="73">
                  <c:v>1.2019978069073203</c:v>
                </c:pt>
                <c:pt idx="74">
                  <c:v>0.88546973587886046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73-4DC2-B51A-C9551B5B28AA}"/>
            </c:ext>
          </c:extLst>
        </c:ser>
        <c:ser>
          <c:idx val="1"/>
          <c:order val="1"/>
          <c:tx>
            <c:strRef>
              <c:f>'[1]666'!$S$1</c:f>
              <c:strCache>
                <c:ptCount val="1"/>
                <c:pt idx="0">
                  <c:v>R(t) Region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'[1]666'!$B$2:$B$76</c:f>
              <c:numCache>
                <c:formatCode>General</c:formatCode>
                <c:ptCount val="75"/>
                <c:pt idx="0">
                  <c:v>-12.8233</c:v>
                </c:pt>
                <c:pt idx="1">
                  <c:v>-12.3202</c:v>
                </c:pt>
                <c:pt idx="2">
                  <c:v>-11.820599999999999</c:v>
                </c:pt>
                <c:pt idx="3">
                  <c:v>-11.320399999999999</c:v>
                </c:pt>
                <c:pt idx="4">
                  <c:v>-10.8208</c:v>
                </c:pt>
                <c:pt idx="5">
                  <c:v>-10.320599999999999</c:v>
                </c:pt>
                <c:pt idx="6">
                  <c:v>-9.8205999999999989</c:v>
                </c:pt>
                <c:pt idx="7">
                  <c:v>-9.3204999999999991</c:v>
                </c:pt>
                <c:pt idx="8">
                  <c:v>-8.8204999999999991</c:v>
                </c:pt>
                <c:pt idx="9">
                  <c:v>-8.3204999999999991</c:v>
                </c:pt>
                <c:pt idx="10">
                  <c:v>0</c:v>
                </c:pt>
                <c:pt idx="11">
                  <c:v>0.50280000000000058</c:v>
                </c:pt>
                <c:pt idx="12">
                  <c:v>1.0030000000000001</c:v>
                </c:pt>
                <c:pt idx="13">
                  <c:v>1.502600000000001</c:v>
                </c:pt>
                <c:pt idx="14">
                  <c:v>2.0028000000000006</c:v>
                </c:pt>
                <c:pt idx="15">
                  <c:v>2.5023999999999997</c:v>
                </c:pt>
                <c:pt idx="16">
                  <c:v>3.0031999999999996</c:v>
                </c:pt>
                <c:pt idx="17">
                  <c:v>3.502600000000001</c:v>
                </c:pt>
                <c:pt idx="18">
                  <c:v>4.0027000000000008</c:v>
                </c:pt>
                <c:pt idx="19">
                  <c:v>4.5027000000000008</c:v>
                </c:pt>
                <c:pt idx="20">
                  <c:v>5.0027000000000008</c:v>
                </c:pt>
                <c:pt idx="21">
                  <c:v>5.5027000000000008</c:v>
                </c:pt>
                <c:pt idx="22">
                  <c:v>6.0028000000000006</c:v>
                </c:pt>
                <c:pt idx="23">
                  <c:v>6.5028000000000006</c:v>
                </c:pt>
                <c:pt idx="24">
                  <c:v>7.0028000000000006</c:v>
                </c:pt>
                <c:pt idx="25">
                  <c:v>7.5028000000000006</c:v>
                </c:pt>
                <c:pt idx="26">
                  <c:v>8.0029000000000003</c:v>
                </c:pt>
                <c:pt idx="27">
                  <c:v>8.5025000000000013</c:v>
                </c:pt>
                <c:pt idx="28">
                  <c:v>9.0027000000000008</c:v>
                </c:pt>
                <c:pt idx="29">
                  <c:v>9.5027000000000008</c:v>
                </c:pt>
                <c:pt idx="30">
                  <c:v>10.002700000000001</c:v>
                </c:pt>
                <c:pt idx="31">
                  <c:v>10.502700000000001</c:v>
                </c:pt>
                <c:pt idx="32">
                  <c:v>11.002800000000001</c:v>
                </c:pt>
                <c:pt idx="33">
                  <c:v>11.502800000000001</c:v>
                </c:pt>
                <c:pt idx="34">
                  <c:v>12.002800000000001</c:v>
                </c:pt>
                <c:pt idx="35">
                  <c:v>12.502800000000001</c:v>
                </c:pt>
                <c:pt idx="36">
                  <c:v>13.0029</c:v>
                </c:pt>
                <c:pt idx="37">
                  <c:v>13.5029</c:v>
                </c:pt>
                <c:pt idx="38">
                  <c:v>14.0029</c:v>
                </c:pt>
                <c:pt idx="39">
                  <c:v>14.502300000000002</c:v>
                </c:pt>
                <c:pt idx="40">
                  <c:v>15.0032</c:v>
                </c:pt>
                <c:pt idx="41">
                  <c:v>15.502700000000001</c:v>
                </c:pt>
                <c:pt idx="42">
                  <c:v>16.0029</c:v>
                </c:pt>
                <c:pt idx="43">
                  <c:v>16.502300000000002</c:v>
                </c:pt>
                <c:pt idx="44">
                  <c:v>17.003</c:v>
                </c:pt>
                <c:pt idx="45">
                  <c:v>17.502400000000002</c:v>
                </c:pt>
                <c:pt idx="46">
                  <c:v>18.0032</c:v>
                </c:pt>
                <c:pt idx="47">
                  <c:v>18.502800000000001</c:v>
                </c:pt>
                <c:pt idx="48">
                  <c:v>19.003</c:v>
                </c:pt>
                <c:pt idx="49">
                  <c:v>19.502399999999998</c:v>
                </c:pt>
                <c:pt idx="50">
                  <c:v>20.0031</c:v>
                </c:pt>
                <c:pt idx="51">
                  <c:v>20.502500000000001</c:v>
                </c:pt>
                <c:pt idx="52">
                  <c:v>21.002700000000001</c:v>
                </c:pt>
                <c:pt idx="53">
                  <c:v>21.5029</c:v>
                </c:pt>
                <c:pt idx="54">
                  <c:v>22.0029</c:v>
                </c:pt>
                <c:pt idx="55">
                  <c:v>22.502300000000002</c:v>
                </c:pt>
                <c:pt idx="56">
                  <c:v>23.0031</c:v>
                </c:pt>
                <c:pt idx="57">
                  <c:v>23.502700000000001</c:v>
                </c:pt>
                <c:pt idx="58">
                  <c:v>24.0029</c:v>
                </c:pt>
                <c:pt idx="59">
                  <c:v>24.502300000000002</c:v>
                </c:pt>
                <c:pt idx="60">
                  <c:v>25.003000000000004</c:v>
                </c:pt>
                <c:pt idx="61">
                  <c:v>25.502399999999998</c:v>
                </c:pt>
                <c:pt idx="62">
                  <c:v>26.003200000000003</c:v>
                </c:pt>
                <c:pt idx="63">
                  <c:v>26.502799999999997</c:v>
                </c:pt>
                <c:pt idx="64">
                  <c:v>27.003000000000004</c:v>
                </c:pt>
                <c:pt idx="65">
                  <c:v>27.502399999999998</c:v>
                </c:pt>
                <c:pt idx="66">
                  <c:v>28.003000000000004</c:v>
                </c:pt>
                <c:pt idx="67">
                  <c:v>28.502599999999997</c:v>
                </c:pt>
                <c:pt idx="68">
                  <c:v>29.002799999999997</c:v>
                </c:pt>
                <c:pt idx="69">
                  <c:v>29.502799999999997</c:v>
                </c:pt>
                <c:pt idx="70">
                  <c:v>30.0029</c:v>
                </c:pt>
                <c:pt idx="71">
                  <c:v>30.502399999999998</c:v>
                </c:pt>
                <c:pt idx="72">
                  <c:v>31.002599999999997</c:v>
                </c:pt>
                <c:pt idx="73">
                  <c:v>31.502799999999997</c:v>
                </c:pt>
                <c:pt idx="74">
                  <c:v>32.002899999999997</c:v>
                </c:pt>
              </c:numCache>
            </c:numRef>
          </c:xVal>
          <c:yVal>
            <c:numRef>
              <c:f>'[1]666'!$S$2:$S$76</c:f>
              <c:numCache>
                <c:formatCode>General</c:formatCode>
                <c:ptCount val="75"/>
                <c:pt idx="0">
                  <c:v>1.9669348265376145</c:v>
                </c:pt>
                <c:pt idx="1">
                  <c:v>1.743129393235419</c:v>
                </c:pt>
                <c:pt idx="2">
                  <c:v>1.9036052430058443</c:v>
                </c:pt>
                <c:pt idx="3">
                  <c:v>1.7017047119952697</c:v>
                </c:pt>
                <c:pt idx="4">
                  <c:v>1.9092993916822274</c:v>
                </c:pt>
                <c:pt idx="5">
                  <c:v>1.6782157130051412</c:v>
                </c:pt>
                <c:pt idx="6">
                  <c:v>1.7305831493657975</c:v>
                </c:pt>
                <c:pt idx="7">
                  <c:v>1.5862795640939578</c:v>
                </c:pt>
                <c:pt idx="8">
                  <c:v>1.5857430386940072</c:v>
                </c:pt>
                <c:pt idx="9">
                  <c:v>1.3701406844176365</c:v>
                </c:pt>
                <c:pt idx="10">
                  <c:v>0</c:v>
                </c:pt>
                <c:pt idx="11">
                  <c:v>0.20144324497259608</c:v>
                </c:pt>
                <c:pt idx="12">
                  <c:v>0.14914879697334169</c:v>
                </c:pt>
                <c:pt idx="13">
                  <c:v>0.16860942991294872</c:v>
                </c:pt>
                <c:pt idx="14">
                  <c:v>0.21195135047835154</c:v>
                </c:pt>
                <c:pt idx="15">
                  <c:v>0.39645927434268191</c:v>
                </c:pt>
                <c:pt idx="16">
                  <c:v>0.4228607477355556</c:v>
                </c:pt>
                <c:pt idx="17">
                  <c:v>0.54256220691072976</c:v>
                </c:pt>
                <c:pt idx="18">
                  <c:v>0.51142166342950146</c:v>
                </c:pt>
                <c:pt idx="19">
                  <c:v>0.39491565517853705</c:v>
                </c:pt>
                <c:pt idx="20">
                  <c:v>0.48124834707140146</c:v>
                </c:pt>
                <c:pt idx="21">
                  <c:v>0.60400110205906676</c:v>
                </c:pt>
                <c:pt idx="22">
                  <c:v>0.68355871395165935</c:v>
                </c:pt>
                <c:pt idx="23">
                  <c:v>0.76972515079420867</c:v>
                </c:pt>
                <c:pt idx="24">
                  <c:v>0.74465677210546555</c:v>
                </c:pt>
                <c:pt idx="25">
                  <c:v>0.78607760502149593</c:v>
                </c:pt>
                <c:pt idx="26">
                  <c:v>0.80672790529544502</c:v>
                </c:pt>
                <c:pt idx="27">
                  <c:v>0.77558406122939028</c:v>
                </c:pt>
                <c:pt idx="28">
                  <c:v>0.84222694390410457</c:v>
                </c:pt>
                <c:pt idx="29">
                  <c:v>0.84127126661746043</c:v>
                </c:pt>
                <c:pt idx="30">
                  <c:v>0.8558208900113079</c:v>
                </c:pt>
                <c:pt idx="31">
                  <c:v>0.84842545430338079</c:v>
                </c:pt>
                <c:pt idx="32">
                  <c:v>0.71240230670199489</c:v>
                </c:pt>
                <c:pt idx="33">
                  <c:v>0.83830017171265314</c:v>
                </c:pt>
                <c:pt idx="34">
                  <c:v>0.83667950693869464</c:v>
                </c:pt>
                <c:pt idx="35">
                  <c:v>0.7555475159220344</c:v>
                </c:pt>
                <c:pt idx="36">
                  <c:v>0.72313360256649528</c:v>
                </c:pt>
                <c:pt idx="37">
                  <c:v>0.78807050709933635</c:v>
                </c:pt>
                <c:pt idx="38">
                  <c:v>0.8206762402659793</c:v>
                </c:pt>
                <c:pt idx="39">
                  <c:v>0.86682478271684582</c:v>
                </c:pt>
                <c:pt idx="40">
                  <c:v>0.75681253280377525</c:v>
                </c:pt>
                <c:pt idx="41">
                  <c:v>0.75450266107166974</c:v>
                </c:pt>
                <c:pt idx="42">
                  <c:v>0.84575996820759403</c:v>
                </c:pt>
                <c:pt idx="43">
                  <c:v>0.81712532522285641</c:v>
                </c:pt>
                <c:pt idx="44">
                  <c:v>0.83524184700447246</c:v>
                </c:pt>
                <c:pt idx="45">
                  <c:v>0.83831287887487016</c:v>
                </c:pt>
                <c:pt idx="46">
                  <c:v>0.8866610910484517</c:v>
                </c:pt>
                <c:pt idx="47">
                  <c:v>0.86274577881526548</c:v>
                </c:pt>
                <c:pt idx="48">
                  <c:v>0.74463219285355442</c:v>
                </c:pt>
                <c:pt idx="49">
                  <c:v>0.86669184063993521</c:v>
                </c:pt>
                <c:pt idx="50">
                  <c:v>0.83900571565348236</c:v>
                </c:pt>
                <c:pt idx="51">
                  <c:v>1.0791827200106998</c:v>
                </c:pt>
                <c:pt idx="52">
                  <c:v>0.85203158459837247</c:v>
                </c:pt>
                <c:pt idx="53">
                  <c:v>0.86516180667097742</c:v>
                </c:pt>
                <c:pt idx="54">
                  <c:v>0.9237714041253835</c:v>
                </c:pt>
                <c:pt idx="55">
                  <c:v>0.89871528241519438</c:v>
                </c:pt>
                <c:pt idx="56">
                  <c:v>0.84282038066094978</c:v>
                </c:pt>
                <c:pt idx="57">
                  <c:v>0.87398033000609676</c:v>
                </c:pt>
                <c:pt idx="58">
                  <c:v>0.91294988256508991</c:v>
                </c:pt>
                <c:pt idx="59">
                  <c:v>0.83931787746122111</c:v>
                </c:pt>
                <c:pt idx="60">
                  <c:v>0.88143078497034388</c:v>
                </c:pt>
                <c:pt idx="61">
                  <c:v>0.99969923970383245</c:v>
                </c:pt>
                <c:pt idx="62">
                  <c:v>1.0186927865113795</c:v>
                </c:pt>
                <c:pt idx="63">
                  <c:v>1.0363044684009677</c:v>
                </c:pt>
                <c:pt idx="64">
                  <c:v>0.89980569115388587</c:v>
                </c:pt>
                <c:pt idx="65">
                  <c:v>0.89196942351236508</c:v>
                </c:pt>
                <c:pt idx="66">
                  <c:v>0.91589930597527669</c:v>
                </c:pt>
                <c:pt idx="67">
                  <c:v>0.97535040607228329</c:v>
                </c:pt>
                <c:pt idx="68">
                  <c:v>1.0226734690298369</c:v>
                </c:pt>
                <c:pt idx="69">
                  <c:v>1.0450158450490903</c:v>
                </c:pt>
                <c:pt idx="70">
                  <c:v>1.0771432763096369</c:v>
                </c:pt>
                <c:pt idx="71">
                  <c:v>1.0219239336760519</c:v>
                </c:pt>
                <c:pt idx="72">
                  <c:v>0.97805929797334812</c:v>
                </c:pt>
                <c:pt idx="73">
                  <c:v>1.0262154484393058</c:v>
                </c:pt>
                <c:pt idx="74">
                  <c:v>1.1459439028089169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73-4DC2-B51A-C9551B5B2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660088"/>
        <c:axId val="517659432"/>
      </c:scatterChart>
      <c:valAx>
        <c:axId val="517660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659432"/>
        <c:crosses val="autoZero"/>
        <c:crossBetween val="midCat"/>
      </c:valAx>
      <c:valAx>
        <c:axId val="517659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660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'[1]7'!$R$1</c:f>
              <c:strCache>
                <c:ptCount val="1"/>
                <c:pt idx="0">
                  <c:v>R(t) Region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'[1]7'!$B$2:$B$101</c:f>
              <c:numCache>
                <c:formatCode>General</c:formatCode>
                <c:ptCount val="100"/>
                <c:pt idx="0">
                  <c:v>-7.5106000000000002</c:v>
                </c:pt>
                <c:pt idx="1">
                  <c:v>-7.0078000000000005</c:v>
                </c:pt>
                <c:pt idx="2">
                  <c:v>-6.5076000000000001</c:v>
                </c:pt>
                <c:pt idx="3">
                  <c:v>-6.008</c:v>
                </c:pt>
                <c:pt idx="4">
                  <c:v>-5.508</c:v>
                </c:pt>
                <c:pt idx="5">
                  <c:v>-5.0079000000000002</c:v>
                </c:pt>
                <c:pt idx="6">
                  <c:v>-4.5079000000000002</c:v>
                </c:pt>
                <c:pt idx="7">
                  <c:v>-4.0076999999999998</c:v>
                </c:pt>
                <c:pt idx="8">
                  <c:v>-3.5075000000000003</c:v>
                </c:pt>
                <c:pt idx="9">
                  <c:v>-3.0080999999999998</c:v>
                </c:pt>
                <c:pt idx="10">
                  <c:v>0</c:v>
                </c:pt>
                <c:pt idx="11">
                  <c:v>0.50309999999999988</c:v>
                </c:pt>
                <c:pt idx="12">
                  <c:v>1.0024999999999995</c:v>
                </c:pt>
                <c:pt idx="13">
                  <c:v>1.502699999999999</c:v>
                </c:pt>
                <c:pt idx="14">
                  <c:v>2.0023</c:v>
                </c:pt>
                <c:pt idx="15">
                  <c:v>2.502699999999999</c:v>
                </c:pt>
                <c:pt idx="16">
                  <c:v>3.0028000000000006</c:v>
                </c:pt>
                <c:pt idx="17">
                  <c:v>3.5028000000000006</c:v>
                </c:pt>
                <c:pt idx="18">
                  <c:v>4.0028000000000006</c:v>
                </c:pt>
                <c:pt idx="19">
                  <c:v>4.5029000000000003</c:v>
                </c:pt>
                <c:pt idx="20">
                  <c:v>5.0023</c:v>
                </c:pt>
                <c:pt idx="21">
                  <c:v>5.5029000000000003</c:v>
                </c:pt>
                <c:pt idx="22">
                  <c:v>6.0024999999999995</c:v>
                </c:pt>
                <c:pt idx="23">
                  <c:v>6.5029000000000003</c:v>
                </c:pt>
                <c:pt idx="24">
                  <c:v>7.0023999999999997</c:v>
                </c:pt>
                <c:pt idx="25">
                  <c:v>7.5030000000000001</c:v>
                </c:pt>
                <c:pt idx="26">
                  <c:v>8.0028000000000006</c:v>
                </c:pt>
                <c:pt idx="27">
                  <c:v>8.5029000000000003</c:v>
                </c:pt>
                <c:pt idx="28">
                  <c:v>9.0022999999999982</c:v>
                </c:pt>
                <c:pt idx="29">
                  <c:v>9.5030999999999999</c:v>
                </c:pt>
                <c:pt idx="30">
                  <c:v>10.002700000000001</c:v>
                </c:pt>
                <c:pt idx="31">
                  <c:v>10.5029</c:v>
                </c:pt>
                <c:pt idx="32">
                  <c:v>11.002299999999998</c:v>
                </c:pt>
                <c:pt idx="33">
                  <c:v>11.5029</c:v>
                </c:pt>
                <c:pt idx="34">
                  <c:v>12.002800000000001</c:v>
                </c:pt>
                <c:pt idx="35">
                  <c:v>12.502800000000001</c:v>
                </c:pt>
                <c:pt idx="36">
                  <c:v>13.002800000000001</c:v>
                </c:pt>
                <c:pt idx="37">
                  <c:v>13.5029</c:v>
                </c:pt>
                <c:pt idx="38">
                  <c:v>14.002400000000002</c:v>
                </c:pt>
                <c:pt idx="39">
                  <c:v>14.502600000000001</c:v>
                </c:pt>
                <c:pt idx="40">
                  <c:v>15.002700000000001</c:v>
                </c:pt>
                <c:pt idx="41">
                  <c:v>15.502700000000001</c:v>
                </c:pt>
                <c:pt idx="42">
                  <c:v>16.002299999999998</c:v>
                </c:pt>
                <c:pt idx="43">
                  <c:v>16.5031</c:v>
                </c:pt>
                <c:pt idx="44">
                  <c:v>17.002500000000001</c:v>
                </c:pt>
                <c:pt idx="45">
                  <c:v>17.5032</c:v>
                </c:pt>
                <c:pt idx="46">
                  <c:v>18.002600000000001</c:v>
                </c:pt>
                <c:pt idx="47">
                  <c:v>18.502600000000001</c:v>
                </c:pt>
                <c:pt idx="48">
                  <c:v>19.002600000000001</c:v>
                </c:pt>
                <c:pt idx="49">
                  <c:v>19.502800000000001</c:v>
                </c:pt>
                <c:pt idx="50">
                  <c:v>20.002400000000002</c:v>
                </c:pt>
                <c:pt idx="51">
                  <c:v>20.502600000000001</c:v>
                </c:pt>
                <c:pt idx="52">
                  <c:v>21.002600000000001</c:v>
                </c:pt>
                <c:pt idx="53">
                  <c:v>21.502600000000001</c:v>
                </c:pt>
                <c:pt idx="54">
                  <c:v>22.0029</c:v>
                </c:pt>
                <c:pt idx="55">
                  <c:v>22.5031</c:v>
                </c:pt>
                <c:pt idx="56">
                  <c:v>23.002500000000001</c:v>
                </c:pt>
                <c:pt idx="57">
                  <c:v>23.5031</c:v>
                </c:pt>
                <c:pt idx="58">
                  <c:v>24.002500000000001</c:v>
                </c:pt>
                <c:pt idx="59">
                  <c:v>24.502700000000001</c:v>
                </c:pt>
                <c:pt idx="60">
                  <c:v>25.002300000000002</c:v>
                </c:pt>
                <c:pt idx="61">
                  <c:v>25.502799999999997</c:v>
                </c:pt>
                <c:pt idx="62">
                  <c:v>26.002300000000002</c:v>
                </c:pt>
                <c:pt idx="63">
                  <c:v>26.502799999999997</c:v>
                </c:pt>
                <c:pt idx="64">
                  <c:v>27.002799999999997</c:v>
                </c:pt>
                <c:pt idx="65">
                  <c:v>27.5029</c:v>
                </c:pt>
                <c:pt idx="66">
                  <c:v>28.002300000000002</c:v>
                </c:pt>
                <c:pt idx="67">
                  <c:v>28.5031</c:v>
                </c:pt>
                <c:pt idx="68">
                  <c:v>29.002700000000001</c:v>
                </c:pt>
                <c:pt idx="69">
                  <c:v>29.5029</c:v>
                </c:pt>
                <c:pt idx="70">
                  <c:v>30.002399999999998</c:v>
                </c:pt>
                <c:pt idx="71">
                  <c:v>30.502599999999997</c:v>
                </c:pt>
                <c:pt idx="72">
                  <c:v>31.002700000000001</c:v>
                </c:pt>
                <c:pt idx="73">
                  <c:v>31.502700000000001</c:v>
                </c:pt>
                <c:pt idx="74">
                  <c:v>32.002700000000004</c:v>
                </c:pt>
              </c:numCache>
            </c:numRef>
          </c:xVal>
          <c:yVal>
            <c:numRef>
              <c:f>'[1]7'!$R$2:$R$101</c:f>
              <c:numCache>
                <c:formatCode>General</c:formatCode>
                <c:ptCount val="100"/>
                <c:pt idx="0">
                  <c:v>1.7788705930562729</c:v>
                </c:pt>
                <c:pt idx="1">
                  <c:v>1.8842312003897173</c:v>
                </c:pt>
                <c:pt idx="2">
                  <c:v>1.8529136905116284</c:v>
                </c:pt>
                <c:pt idx="3">
                  <c:v>1.810977842038876</c:v>
                </c:pt>
                <c:pt idx="4">
                  <c:v>1.8173534457171536</c:v>
                </c:pt>
                <c:pt idx="5">
                  <c:v>1.7524316395047361</c:v>
                </c:pt>
                <c:pt idx="6">
                  <c:v>1.767357498346753</c:v>
                </c:pt>
                <c:pt idx="7">
                  <c:v>1.6717933445729338</c:v>
                </c:pt>
                <c:pt idx="8">
                  <c:v>1.7639683688676944</c:v>
                </c:pt>
                <c:pt idx="9">
                  <c:v>1.7608456402895865</c:v>
                </c:pt>
                <c:pt idx="10">
                  <c:v>0</c:v>
                </c:pt>
                <c:pt idx="11">
                  <c:v>0.1167762289882695</c:v>
                </c:pt>
                <c:pt idx="12">
                  <c:v>0.16247801634605388</c:v>
                </c:pt>
                <c:pt idx="13">
                  <c:v>0.23047116092791076</c:v>
                </c:pt>
                <c:pt idx="14">
                  <c:v>0.26406920557289565</c:v>
                </c:pt>
                <c:pt idx="15">
                  <c:v>0.31304265576298845</c:v>
                </c:pt>
                <c:pt idx="16">
                  <c:v>0.34208725585990046</c:v>
                </c:pt>
                <c:pt idx="17">
                  <c:v>0.38016248845558864</c:v>
                </c:pt>
                <c:pt idx="18">
                  <c:v>0.41374038534698321</c:v>
                </c:pt>
                <c:pt idx="19">
                  <c:v>0.42811718744667226</c:v>
                </c:pt>
                <c:pt idx="20">
                  <c:v>0.44156630381865863</c:v>
                </c:pt>
                <c:pt idx="21">
                  <c:v>0.45034762991028743</c:v>
                </c:pt>
                <c:pt idx="22">
                  <c:v>0.50160153207791702</c:v>
                </c:pt>
                <c:pt idx="23">
                  <c:v>0.49569370734211388</c:v>
                </c:pt>
                <c:pt idx="24">
                  <c:v>0.53794653714707807</c:v>
                </c:pt>
                <c:pt idx="25">
                  <c:v>0.54269031730283646</c:v>
                </c:pt>
                <c:pt idx="26">
                  <c:v>0.56623525612560599</c:v>
                </c:pt>
                <c:pt idx="27">
                  <c:v>0.59226359989218458</c:v>
                </c:pt>
                <c:pt idx="28">
                  <c:v>0.60041129413123295</c:v>
                </c:pt>
                <c:pt idx="29">
                  <c:v>0.636475786626722</c:v>
                </c:pt>
                <c:pt idx="30">
                  <c:v>0.62532578560868357</c:v>
                </c:pt>
                <c:pt idx="31">
                  <c:v>0.63138533934943153</c:v>
                </c:pt>
                <c:pt idx="32">
                  <c:v>0.65592554195414809</c:v>
                </c:pt>
                <c:pt idx="33">
                  <c:v>0.64476422773732678</c:v>
                </c:pt>
                <c:pt idx="34">
                  <c:v>0.65826716362926496</c:v>
                </c:pt>
                <c:pt idx="35">
                  <c:v>0.69748717814212013</c:v>
                </c:pt>
                <c:pt idx="36">
                  <c:v>0.70172018050724594</c:v>
                </c:pt>
                <c:pt idx="37">
                  <c:v>0.76288337975941201</c:v>
                </c:pt>
                <c:pt idx="38">
                  <c:v>0.72380393788906994</c:v>
                </c:pt>
                <c:pt idx="39">
                  <c:v>0.74437736934366494</c:v>
                </c:pt>
                <c:pt idx="40">
                  <c:v>0.7852230914607965</c:v>
                </c:pt>
                <c:pt idx="41">
                  <c:v>0.78259320964401058</c:v>
                </c:pt>
                <c:pt idx="42">
                  <c:v>0.76265552358237854</c:v>
                </c:pt>
                <c:pt idx="43">
                  <c:v>0.77815970558137726</c:v>
                </c:pt>
                <c:pt idx="44">
                  <c:v>0.77187032251791521</c:v>
                </c:pt>
                <c:pt idx="45">
                  <c:v>0.79737884721022245</c:v>
                </c:pt>
                <c:pt idx="46">
                  <c:v>0.85260988219980127</c:v>
                </c:pt>
                <c:pt idx="47">
                  <c:v>0.8580648088507925</c:v>
                </c:pt>
                <c:pt idx="48">
                  <c:v>0.82802708180304752</c:v>
                </c:pt>
                <c:pt idx="49">
                  <c:v>0.872889369916931</c:v>
                </c:pt>
                <c:pt idx="50">
                  <c:v>0.86704757184060266</c:v>
                </c:pt>
                <c:pt idx="51">
                  <c:v>0.8738922633116406</c:v>
                </c:pt>
                <c:pt idx="52">
                  <c:v>0.87460330225132554</c:v>
                </c:pt>
                <c:pt idx="53">
                  <c:v>0.87837611748249145</c:v>
                </c:pt>
                <c:pt idx="54">
                  <c:v>0.91055893790153053</c:v>
                </c:pt>
                <c:pt idx="55">
                  <c:v>0.95347720912166356</c:v>
                </c:pt>
                <c:pt idx="56">
                  <c:v>0.90202542866918978</c:v>
                </c:pt>
                <c:pt idx="57">
                  <c:v>0.923623435236259</c:v>
                </c:pt>
                <c:pt idx="58">
                  <c:v>0.89916923808397076</c:v>
                </c:pt>
                <c:pt idx="59">
                  <c:v>0.98388180966226269</c:v>
                </c:pt>
                <c:pt idx="60">
                  <c:v>0.98818314350527681</c:v>
                </c:pt>
                <c:pt idx="61">
                  <c:v>0.94684532531373489</c:v>
                </c:pt>
                <c:pt idx="62">
                  <c:v>0.91961879243334421</c:v>
                </c:pt>
                <c:pt idx="63">
                  <c:v>0.99487722622109287</c:v>
                </c:pt>
                <c:pt idx="64">
                  <c:v>0.9626549885875535</c:v>
                </c:pt>
                <c:pt idx="65">
                  <c:v>1.0117647064462758</c:v>
                </c:pt>
                <c:pt idx="66">
                  <c:v>0.98615653361540945</c:v>
                </c:pt>
                <c:pt idx="67">
                  <c:v>0.93402048262463888</c:v>
                </c:pt>
                <c:pt idx="68">
                  <c:v>1.0231541980049699</c:v>
                </c:pt>
                <c:pt idx="69">
                  <c:v>1.0344151438006322</c:v>
                </c:pt>
                <c:pt idx="70">
                  <c:v>1.0280593449353659</c:v>
                </c:pt>
                <c:pt idx="71">
                  <c:v>0.97541029900851106</c:v>
                </c:pt>
                <c:pt idx="72">
                  <c:v>1.0082057918947109</c:v>
                </c:pt>
                <c:pt idx="73">
                  <c:v>0.97262734453630673</c:v>
                </c:pt>
                <c:pt idx="74">
                  <c:v>1.0635311665456237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4C-440D-94A2-FD172383FB98}"/>
            </c:ext>
          </c:extLst>
        </c:ser>
        <c:ser>
          <c:idx val="1"/>
          <c:order val="1"/>
          <c:tx>
            <c:strRef>
              <c:f>'[1]7'!$S$1</c:f>
              <c:strCache>
                <c:ptCount val="1"/>
                <c:pt idx="0">
                  <c:v>R(t) Region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'[1]7'!$B$2:$B$101</c:f>
              <c:numCache>
                <c:formatCode>General</c:formatCode>
                <c:ptCount val="100"/>
                <c:pt idx="0">
                  <c:v>-7.5106000000000002</c:v>
                </c:pt>
                <c:pt idx="1">
                  <c:v>-7.0078000000000005</c:v>
                </c:pt>
                <c:pt idx="2">
                  <c:v>-6.5076000000000001</c:v>
                </c:pt>
                <c:pt idx="3">
                  <c:v>-6.008</c:v>
                </c:pt>
                <c:pt idx="4">
                  <c:v>-5.508</c:v>
                </c:pt>
                <c:pt idx="5">
                  <c:v>-5.0079000000000002</c:v>
                </c:pt>
                <c:pt idx="6">
                  <c:v>-4.5079000000000002</c:v>
                </c:pt>
                <c:pt idx="7">
                  <c:v>-4.0076999999999998</c:v>
                </c:pt>
                <c:pt idx="8">
                  <c:v>-3.5075000000000003</c:v>
                </c:pt>
                <c:pt idx="9">
                  <c:v>-3.0080999999999998</c:v>
                </c:pt>
                <c:pt idx="10">
                  <c:v>0</c:v>
                </c:pt>
                <c:pt idx="11">
                  <c:v>0.50309999999999988</c:v>
                </c:pt>
                <c:pt idx="12">
                  <c:v>1.0024999999999995</c:v>
                </c:pt>
                <c:pt idx="13">
                  <c:v>1.502699999999999</c:v>
                </c:pt>
                <c:pt idx="14">
                  <c:v>2.0023</c:v>
                </c:pt>
                <c:pt idx="15">
                  <c:v>2.502699999999999</c:v>
                </c:pt>
                <c:pt idx="16">
                  <c:v>3.0028000000000006</c:v>
                </c:pt>
                <c:pt idx="17">
                  <c:v>3.5028000000000006</c:v>
                </c:pt>
                <c:pt idx="18">
                  <c:v>4.0028000000000006</c:v>
                </c:pt>
                <c:pt idx="19">
                  <c:v>4.5029000000000003</c:v>
                </c:pt>
                <c:pt idx="20">
                  <c:v>5.0023</c:v>
                </c:pt>
                <c:pt idx="21">
                  <c:v>5.5029000000000003</c:v>
                </c:pt>
                <c:pt idx="22">
                  <c:v>6.0024999999999995</c:v>
                </c:pt>
                <c:pt idx="23">
                  <c:v>6.5029000000000003</c:v>
                </c:pt>
                <c:pt idx="24">
                  <c:v>7.0023999999999997</c:v>
                </c:pt>
                <c:pt idx="25">
                  <c:v>7.5030000000000001</c:v>
                </c:pt>
                <c:pt idx="26">
                  <c:v>8.0028000000000006</c:v>
                </c:pt>
                <c:pt idx="27">
                  <c:v>8.5029000000000003</c:v>
                </c:pt>
                <c:pt idx="28">
                  <c:v>9.0022999999999982</c:v>
                </c:pt>
                <c:pt idx="29">
                  <c:v>9.5030999999999999</c:v>
                </c:pt>
                <c:pt idx="30">
                  <c:v>10.002700000000001</c:v>
                </c:pt>
                <c:pt idx="31">
                  <c:v>10.5029</c:v>
                </c:pt>
                <c:pt idx="32">
                  <c:v>11.002299999999998</c:v>
                </c:pt>
                <c:pt idx="33">
                  <c:v>11.5029</c:v>
                </c:pt>
                <c:pt idx="34">
                  <c:v>12.002800000000001</c:v>
                </c:pt>
                <c:pt idx="35">
                  <c:v>12.502800000000001</c:v>
                </c:pt>
                <c:pt idx="36">
                  <c:v>13.002800000000001</c:v>
                </c:pt>
                <c:pt idx="37">
                  <c:v>13.5029</c:v>
                </c:pt>
                <c:pt idx="38">
                  <c:v>14.002400000000002</c:v>
                </c:pt>
                <c:pt idx="39">
                  <c:v>14.502600000000001</c:v>
                </c:pt>
                <c:pt idx="40">
                  <c:v>15.002700000000001</c:v>
                </c:pt>
                <c:pt idx="41">
                  <c:v>15.502700000000001</c:v>
                </c:pt>
                <c:pt idx="42">
                  <c:v>16.002299999999998</c:v>
                </c:pt>
                <c:pt idx="43">
                  <c:v>16.5031</c:v>
                </c:pt>
                <c:pt idx="44">
                  <c:v>17.002500000000001</c:v>
                </c:pt>
                <c:pt idx="45">
                  <c:v>17.5032</c:v>
                </c:pt>
                <c:pt idx="46">
                  <c:v>18.002600000000001</c:v>
                </c:pt>
                <c:pt idx="47">
                  <c:v>18.502600000000001</c:v>
                </c:pt>
                <c:pt idx="48">
                  <c:v>19.002600000000001</c:v>
                </c:pt>
                <c:pt idx="49">
                  <c:v>19.502800000000001</c:v>
                </c:pt>
                <c:pt idx="50">
                  <c:v>20.002400000000002</c:v>
                </c:pt>
                <c:pt idx="51">
                  <c:v>20.502600000000001</c:v>
                </c:pt>
                <c:pt idx="52">
                  <c:v>21.002600000000001</c:v>
                </c:pt>
                <c:pt idx="53">
                  <c:v>21.502600000000001</c:v>
                </c:pt>
                <c:pt idx="54">
                  <c:v>22.0029</c:v>
                </c:pt>
                <c:pt idx="55">
                  <c:v>22.5031</c:v>
                </c:pt>
                <c:pt idx="56">
                  <c:v>23.002500000000001</c:v>
                </c:pt>
                <c:pt idx="57">
                  <c:v>23.5031</c:v>
                </c:pt>
                <c:pt idx="58">
                  <c:v>24.002500000000001</c:v>
                </c:pt>
                <c:pt idx="59">
                  <c:v>24.502700000000001</c:v>
                </c:pt>
                <c:pt idx="60">
                  <c:v>25.002300000000002</c:v>
                </c:pt>
                <c:pt idx="61">
                  <c:v>25.502799999999997</c:v>
                </c:pt>
                <c:pt idx="62">
                  <c:v>26.002300000000002</c:v>
                </c:pt>
                <c:pt idx="63">
                  <c:v>26.502799999999997</c:v>
                </c:pt>
                <c:pt idx="64">
                  <c:v>27.002799999999997</c:v>
                </c:pt>
                <c:pt idx="65">
                  <c:v>27.5029</c:v>
                </c:pt>
                <c:pt idx="66">
                  <c:v>28.002300000000002</c:v>
                </c:pt>
                <c:pt idx="67">
                  <c:v>28.5031</c:v>
                </c:pt>
                <c:pt idx="68">
                  <c:v>29.002700000000001</c:v>
                </c:pt>
                <c:pt idx="69">
                  <c:v>29.5029</c:v>
                </c:pt>
                <c:pt idx="70">
                  <c:v>30.002399999999998</c:v>
                </c:pt>
                <c:pt idx="71">
                  <c:v>30.502599999999997</c:v>
                </c:pt>
                <c:pt idx="72">
                  <c:v>31.002700000000001</c:v>
                </c:pt>
                <c:pt idx="73">
                  <c:v>31.502700000000001</c:v>
                </c:pt>
                <c:pt idx="74">
                  <c:v>32.002700000000004</c:v>
                </c:pt>
              </c:numCache>
            </c:numRef>
          </c:xVal>
          <c:yVal>
            <c:numRef>
              <c:f>'[1]7'!$S$2:$S$101</c:f>
              <c:numCache>
                <c:formatCode>General</c:formatCode>
                <c:ptCount val="100"/>
                <c:pt idx="0">
                  <c:v>1.7544173282257007</c:v>
                </c:pt>
                <c:pt idx="1">
                  <c:v>1.8830270139951328</c:v>
                </c:pt>
                <c:pt idx="2">
                  <c:v>1.9617370413095132</c:v>
                </c:pt>
                <c:pt idx="3">
                  <c:v>1.8592713210375014</c:v>
                </c:pt>
                <c:pt idx="4">
                  <c:v>1.7827411518970391</c:v>
                </c:pt>
                <c:pt idx="5">
                  <c:v>1.7267299511520293</c:v>
                </c:pt>
                <c:pt idx="6">
                  <c:v>1.8483399979953854</c:v>
                </c:pt>
                <c:pt idx="7">
                  <c:v>1.7440399255321766</c:v>
                </c:pt>
                <c:pt idx="8">
                  <c:v>1.7645856463637888</c:v>
                </c:pt>
                <c:pt idx="9">
                  <c:v>1.9260192075430005</c:v>
                </c:pt>
                <c:pt idx="10">
                  <c:v>0</c:v>
                </c:pt>
                <c:pt idx="11">
                  <c:v>0.16529295271914451</c:v>
                </c:pt>
                <c:pt idx="12">
                  <c:v>0.12511239377396552</c:v>
                </c:pt>
                <c:pt idx="13">
                  <c:v>0.23731020173627235</c:v>
                </c:pt>
                <c:pt idx="14">
                  <c:v>0.3380685057407693</c:v>
                </c:pt>
                <c:pt idx="15">
                  <c:v>0.40556854018591687</c:v>
                </c:pt>
                <c:pt idx="16">
                  <c:v>0.38176100838211185</c:v>
                </c:pt>
                <c:pt idx="17">
                  <c:v>0.38944100034765478</c:v>
                </c:pt>
                <c:pt idx="18">
                  <c:v>0.46363508827233096</c:v>
                </c:pt>
                <c:pt idx="19">
                  <c:v>0.50357540776050458</c:v>
                </c:pt>
                <c:pt idx="20">
                  <c:v>0.49417207971287919</c:v>
                </c:pt>
                <c:pt idx="21">
                  <c:v>0.56386362138007051</c:v>
                </c:pt>
                <c:pt idx="22">
                  <c:v>0.59306488139884117</c:v>
                </c:pt>
                <c:pt idx="23">
                  <c:v>0.57059456338782522</c:v>
                </c:pt>
                <c:pt idx="24">
                  <c:v>0.60416912906695164</c:v>
                </c:pt>
                <c:pt idx="25">
                  <c:v>0.68310386173145221</c:v>
                </c:pt>
                <c:pt idx="26">
                  <c:v>0.69547141984604899</c:v>
                </c:pt>
                <c:pt idx="27">
                  <c:v>0.66617718555920724</c:v>
                </c:pt>
                <c:pt idx="28">
                  <c:v>0.66799263855361335</c:v>
                </c:pt>
                <c:pt idx="29">
                  <c:v>0.73242390161422299</c:v>
                </c:pt>
                <c:pt idx="30">
                  <c:v>0.6857447806770236</c:v>
                </c:pt>
                <c:pt idx="31">
                  <c:v>0.72257949252819353</c:v>
                </c:pt>
                <c:pt idx="32">
                  <c:v>0.7418901150775018</c:v>
                </c:pt>
                <c:pt idx="33">
                  <c:v>0.79957081592199053</c:v>
                </c:pt>
                <c:pt idx="34">
                  <c:v>0.68718427783307467</c:v>
                </c:pt>
                <c:pt idx="35">
                  <c:v>0.71616820948392623</c:v>
                </c:pt>
                <c:pt idx="36">
                  <c:v>0.68480477378790294</c:v>
                </c:pt>
                <c:pt idx="37">
                  <c:v>0.84265791911137755</c:v>
                </c:pt>
                <c:pt idx="38">
                  <c:v>0.80986916849629376</c:v>
                </c:pt>
                <c:pt idx="39">
                  <c:v>0.85049888723172173</c:v>
                </c:pt>
                <c:pt idx="40">
                  <c:v>0.91643961589896517</c:v>
                </c:pt>
                <c:pt idx="41">
                  <c:v>0.84510129446236326</c:v>
                </c:pt>
                <c:pt idx="42">
                  <c:v>0.76296242348424126</c:v>
                </c:pt>
                <c:pt idx="43">
                  <c:v>0.85110016058854687</c:v>
                </c:pt>
                <c:pt idx="44">
                  <c:v>0.81343109975784333</c:v>
                </c:pt>
                <c:pt idx="45">
                  <c:v>0.94424090485672962</c:v>
                </c:pt>
                <c:pt idx="46">
                  <c:v>0.93849472883437779</c:v>
                </c:pt>
                <c:pt idx="47">
                  <c:v>0.85923611865898741</c:v>
                </c:pt>
                <c:pt idx="48">
                  <c:v>0.86213637072604432</c:v>
                </c:pt>
                <c:pt idx="49">
                  <c:v>0.89096308686675507</c:v>
                </c:pt>
                <c:pt idx="50">
                  <c:v>0.91062958726358878</c:v>
                </c:pt>
                <c:pt idx="51">
                  <c:v>0.92663921695811002</c:v>
                </c:pt>
                <c:pt idx="52">
                  <c:v>0.89056593131908957</c:v>
                </c:pt>
                <c:pt idx="53">
                  <c:v>0.86654940422090698</c:v>
                </c:pt>
                <c:pt idx="54">
                  <c:v>0.94251864912435535</c:v>
                </c:pt>
                <c:pt idx="55">
                  <c:v>1.0341476365114741</c:v>
                </c:pt>
                <c:pt idx="56">
                  <c:v>0.94474033298289906</c:v>
                </c:pt>
                <c:pt idx="57">
                  <c:v>0.94188988599953571</c:v>
                </c:pt>
                <c:pt idx="58">
                  <c:v>0.90701886049793456</c:v>
                </c:pt>
                <c:pt idx="59">
                  <c:v>0.99427095832102808</c:v>
                </c:pt>
                <c:pt idx="60">
                  <c:v>0.97278033324095592</c:v>
                </c:pt>
                <c:pt idx="61">
                  <c:v>1.020243133808407</c:v>
                </c:pt>
                <c:pt idx="62">
                  <c:v>0.92722003235666384</c:v>
                </c:pt>
                <c:pt idx="63">
                  <c:v>1.0521193547129306</c:v>
                </c:pt>
                <c:pt idx="64">
                  <c:v>0.96844356843055712</c:v>
                </c:pt>
                <c:pt idx="65">
                  <c:v>1.047687101570459</c:v>
                </c:pt>
                <c:pt idx="66">
                  <c:v>0.97444622217384957</c:v>
                </c:pt>
                <c:pt idx="67">
                  <c:v>0.88604956428311277</c:v>
                </c:pt>
                <c:pt idx="68">
                  <c:v>1.1126028695234309</c:v>
                </c:pt>
                <c:pt idx="69">
                  <c:v>1.0078339171233375</c:v>
                </c:pt>
                <c:pt idx="70">
                  <c:v>1.1032055718889628</c:v>
                </c:pt>
                <c:pt idx="71">
                  <c:v>0.89813482894853502</c:v>
                </c:pt>
                <c:pt idx="72">
                  <c:v>0.99055823253069186</c:v>
                </c:pt>
                <c:pt idx="73">
                  <c:v>0.94091807788541193</c:v>
                </c:pt>
                <c:pt idx="74">
                  <c:v>1.0701200456416535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4C-440D-94A2-FD172383F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518016"/>
        <c:axId val="444519328"/>
      </c:scatterChart>
      <c:valAx>
        <c:axId val="44451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519328"/>
        <c:crosses val="autoZero"/>
        <c:crossBetween val="midCat"/>
      </c:valAx>
      <c:valAx>
        <c:axId val="4445193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518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[1]WS_500kDa_1!$R$1</c:f>
              <c:strCache>
                <c:ptCount val="1"/>
                <c:pt idx="0">
                  <c:v>R(t) Region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[1]WS_500kDa_1!$B$2:$B$101</c:f>
              <c:numCache>
                <c:formatCode>General</c:formatCode>
                <c:ptCount val="100"/>
                <c:pt idx="0">
                  <c:v>-7.5107999999999997</c:v>
                </c:pt>
                <c:pt idx="1">
                  <c:v>-7.0076999999999998</c:v>
                </c:pt>
                <c:pt idx="2">
                  <c:v>-6.5080999999999998</c:v>
                </c:pt>
                <c:pt idx="3">
                  <c:v>-6.0076000000000001</c:v>
                </c:pt>
                <c:pt idx="4">
                  <c:v>-5.5084</c:v>
                </c:pt>
                <c:pt idx="5">
                  <c:v>-5.0081999999999995</c:v>
                </c:pt>
                <c:pt idx="6">
                  <c:v>-4.5081999999999995</c:v>
                </c:pt>
                <c:pt idx="7">
                  <c:v>-4.0080999999999998</c:v>
                </c:pt>
                <c:pt idx="8">
                  <c:v>-3.5080999999999998</c:v>
                </c:pt>
                <c:pt idx="9">
                  <c:v>-3.0080999999999998</c:v>
                </c:pt>
                <c:pt idx="10">
                  <c:v>0</c:v>
                </c:pt>
                <c:pt idx="11">
                  <c:v>0.5024999999999995</c:v>
                </c:pt>
                <c:pt idx="12">
                  <c:v>1.0030999999999999</c:v>
                </c:pt>
                <c:pt idx="13">
                  <c:v>1.5024999999999995</c:v>
                </c:pt>
                <c:pt idx="14">
                  <c:v>2.0027000000000008</c:v>
                </c:pt>
                <c:pt idx="15">
                  <c:v>2.502600000000001</c:v>
                </c:pt>
                <c:pt idx="16">
                  <c:v>3.0028000000000006</c:v>
                </c:pt>
                <c:pt idx="17">
                  <c:v>3.5023999999999997</c:v>
                </c:pt>
                <c:pt idx="18">
                  <c:v>4.0031999999999996</c:v>
                </c:pt>
                <c:pt idx="19">
                  <c:v>4.502600000000001</c:v>
                </c:pt>
                <c:pt idx="20">
                  <c:v>5.002600000000001</c:v>
                </c:pt>
                <c:pt idx="21">
                  <c:v>5.502600000000001</c:v>
                </c:pt>
                <c:pt idx="22">
                  <c:v>6.0028000000000006</c:v>
                </c:pt>
                <c:pt idx="23">
                  <c:v>6.5023999999999997</c:v>
                </c:pt>
                <c:pt idx="24">
                  <c:v>7.0029000000000003</c:v>
                </c:pt>
                <c:pt idx="25">
                  <c:v>7.5023</c:v>
                </c:pt>
                <c:pt idx="26">
                  <c:v>8.0029000000000003</c:v>
                </c:pt>
                <c:pt idx="27">
                  <c:v>8.5024000000000015</c:v>
                </c:pt>
                <c:pt idx="28">
                  <c:v>9.0031999999999996</c:v>
                </c:pt>
                <c:pt idx="29">
                  <c:v>9.5024000000000015</c:v>
                </c:pt>
                <c:pt idx="30">
                  <c:v>10.0029</c:v>
                </c:pt>
                <c:pt idx="31">
                  <c:v>10.502300000000002</c:v>
                </c:pt>
                <c:pt idx="32">
                  <c:v>11.0029</c:v>
                </c:pt>
                <c:pt idx="33">
                  <c:v>11.502300000000002</c:v>
                </c:pt>
                <c:pt idx="34">
                  <c:v>12.0031</c:v>
                </c:pt>
                <c:pt idx="35">
                  <c:v>12.502700000000001</c:v>
                </c:pt>
                <c:pt idx="36">
                  <c:v>13.0032</c:v>
                </c:pt>
                <c:pt idx="37">
                  <c:v>13.502600000000001</c:v>
                </c:pt>
                <c:pt idx="38">
                  <c:v>14.002800000000001</c:v>
                </c:pt>
                <c:pt idx="39">
                  <c:v>14.502600000000001</c:v>
                </c:pt>
                <c:pt idx="40">
                  <c:v>15.002800000000001</c:v>
                </c:pt>
                <c:pt idx="41">
                  <c:v>15.5029</c:v>
                </c:pt>
                <c:pt idx="42">
                  <c:v>16.002700000000001</c:v>
                </c:pt>
                <c:pt idx="43">
                  <c:v>16.502700000000001</c:v>
                </c:pt>
                <c:pt idx="44">
                  <c:v>17.002800000000001</c:v>
                </c:pt>
                <c:pt idx="45">
                  <c:v>17.502800000000001</c:v>
                </c:pt>
                <c:pt idx="46">
                  <c:v>18.003</c:v>
                </c:pt>
                <c:pt idx="47">
                  <c:v>18.502800000000001</c:v>
                </c:pt>
                <c:pt idx="48">
                  <c:v>19.003</c:v>
                </c:pt>
                <c:pt idx="49">
                  <c:v>19.502400000000002</c:v>
                </c:pt>
                <c:pt idx="50">
                  <c:v>20.0029</c:v>
                </c:pt>
                <c:pt idx="51">
                  <c:v>20.502300000000002</c:v>
                </c:pt>
                <c:pt idx="52">
                  <c:v>21.0031</c:v>
                </c:pt>
                <c:pt idx="53">
                  <c:v>21.502300000000002</c:v>
                </c:pt>
                <c:pt idx="54">
                  <c:v>22.0032</c:v>
                </c:pt>
                <c:pt idx="55">
                  <c:v>22.502800000000001</c:v>
                </c:pt>
                <c:pt idx="56">
                  <c:v>23.003</c:v>
                </c:pt>
                <c:pt idx="57">
                  <c:v>23.502500000000001</c:v>
                </c:pt>
                <c:pt idx="58">
                  <c:v>24.002700000000001</c:v>
                </c:pt>
                <c:pt idx="59">
                  <c:v>24.502599999999997</c:v>
                </c:pt>
                <c:pt idx="60">
                  <c:v>25.002799999999997</c:v>
                </c:pt>
                <c:pt idx="61">
                  <c:v>25.502799999999997</c:v>
                </c:pt>
                <c:pt idx="62">
                  <c:v>26.002799999999997</c:v>
                </c:pt>
                <c:pt idx="63">
                  <c:v>26.5029</c:v>
                </c:pt>
                <c:pt idx="64">
                  <c:v>27.0029</c:v>
                </c:pt>
                <c:pt idx="65">
                  <c:v>27.502300000000002</c:v>
                </c:pt>
                <c:pt idx="66">
                  <c:v>28.0031</c:v>
                </c:pt>
                <c:pt idx="67">
                  <c:v>28.502300000000002</c:v>
                </c:pt>
                <c:pt idx="68">
                  <c:v>29.003200000000003</c:v>
                </c:pt>
                <c:pt idx="69">
                  <c:v>29.502599999999997</c:v>
                </c:pt>
                <c:pt idx="70">
                  <c:v>30.002599999999997</c:v>
                </c:pt>
                <c:pt idx="71">
                  <c:v>30.502599999999997</c:v>
                </c:pt>
                <c:pt idx="72">
                  <c:v>31.002599999999997</c:v>
                </c:pt>
                <c:pt idx="73">
                  <c:v>31.502700000000001</c:v>
                </c:pt>
                <c:pt idx="74">
                  <c:v>32.002700000000004</c:v>
                </c:pt>
              </c:numCache>
            </c:numRef>
          </c:xVal>
          <c:yVal>
            <c:numRef>
              <c:f>[1]WS_500kDa_1!$R$2:$R$101</c:f>
              <c:numCache>
                <c:formatCode>General</c:formatCode>
                <c:ptCount val="100"/>
                <c:pt idx="0">
                  <c:v>1.5241329876652667</c:v>
                </c:pt>
                <c:pt idx="1">
                  <c:v>1.471061065003135</c:v>
                </c:pt>
                <c:pt idx="2">
                  <c:v>1.3937315966731565</c:v>
                </c:pt>
                <c:pt idx="3">
                  <c:v>1.5213601817152025</c:v>
                </c:pt>
                <c:pt idx="4">
                  <c:v>1.4181678128941673</c:v>
                </c:pt>
                <c:pt idx="5">
                  <c:v>1.4416238905746614</c:v>
                </c:pt>
                <c:pt idx="6">
                  <c:v>1.4372547995212031</c:v>
                </c:pt>
                <c:pt idx="7">
                  <c:v>1.4020206743725101</c:v>
                </c:pt>
                <c:pt idx="8">
                  <c:v>1.4366513990026866</c:v>
                </c:pt>
                <c:pt idx="9">
                  <c:v>1.413778376136209</c:v>
                </c:pt>
                <c:pt idx="10">
                  <c:v>0</c:v>
                </c:pt>
                <c:pt idx="11">
                  <c:v>0.21174877401094588</c:v>
                </c:pt>
                <c:pt idx="12">
                  <c:v>0.34334803866892305</c:v>
                </c:pt>
                <c:pt idx="13">
                  <c:v>0.43757051855831586</c:v>
                </c:pt>
                <c:pt idx="14">
                  <c:v>0.57985626317263972</c:v>
                </c:pt>
                <c:pt idx="15">
                  <c:v>0.55093224447624811</c:v>
                </c:pt>
                <c:pt idx="16">
                  <c:v>0.59884169407251431</c:v>
                </c:pt>
                <c:pt idx="17">
                  <c:v>0.59142957586676992</c:v>
                </c:pt>
                <c:pt idx="18">
                  <c:v>0.63318000322699275</c:v>
                </c:pt>
                <c:pt idx="19">
                  <c:v>0.65729945911286181</c:v>
                </c:pt>
                <c:pt idx="20">
                  <c:v>0.6858384623513345</c:v>
                </c:pt>
                <c:pt idx="21">
                  <c:v>0.70562264314646861</c:v>
                </c:pt>
                <c:pt idx="22">
                  <c:v>0.72325003484133055</c:v>
                </c:pt>
                <c:pt idx="23">
                  <c:v>0.81125276536964719</c:v>
                </c:pt>
                <c:pt idx="24">
                  <c:v>0.7877322015804088</c:v>
                </c:pt>
                <c:pt idx="25">
                  <c:v>0.77962638484434099</c:v>
                </c:pt>
                <c:pt idx="26">
                  <c:v>0.83002908063401049</c:v>
                </c:pt>
                <c:pt idx="27">
                  <c:v>0.77321123803451575</c:v>
                </c:pt>
                <c:pt idx="28">
                  <c:v>0.79538374945129764</c:v>
                </c:pt>
                <c:pt idx="29">
                  <c:v>0.82534555339132432</c:v>
                </c:pt>
                <c:pt idx="30">
                  <c:v>0.77693954921536634</c:v>
                </c:pt>
                <c:pt idx="31">
                  <c:v>0.78554611823540454</c:v>
                </c:pt>
                <c:pt idx="32">
                  <c:v>0.78562747463934013</c:v>
                </c:pt>
                <c:pt idx="33">
                  <c:v>0.87879632333334035</c:v>
                </c:pt>
                <c:pt idx="34">
                  <c:v>0.85351997912442101</c:v>
                </c:pt>
                <c:pt idx="35">
                  <c:v>0.83333075163361947</c:v>
                </c:pt>
                <c:pt idx="36">
                  <c:v>0.8600477924173342</c:v>
                </c:pt>
                <c:pt idx="37">
                  <c:v>0.89473052694641142</c:v>
                </c:pt>
                <c:pt idx="38">
                  <c:v>0.88795021356480874</c:v>
                </c:pt>
                <c:pt idx="39">
                  <c:v>0.82969665443402107</c:v>
                </c:pt>
                <c:pt idx="40">
                  <c:v>0.92069298984122128</c:v>
                </c:pt>
                <c:pt idx="41">
                  <c:v>0.85773259575460836</c:v>
                </c:pt>
                <c:pt idx="42">
                  <c:v>0.91861719702566014</c:v>
                </c:pt>
                <c:pt idx="43">
                  <c:v>0.9262587136358239</c:v>
                </c:pt>
                <c:pt idx="44">
                  <c:v>0.86269815160044261</c:v>
                </c:pt>
                <c:pt idx="45">
                  <c:v>0.94123345371526612</c:v>
                </c:pt>
                <c:pt idx="46">
                  <c:v>0.92003709991907245</c:v>
                </c:pt>
                <c:pt idx="47">
                  <c:v>0.9636805823260004</c:v>
                </c:pt>
                <c:pt idx="48">
                  <c:v>0.93801920868708399</c:v>
                </c:pt>
                <c:pt idx="49">
                  <c:v>0.93455742862137825</c:v>
                </c:pt>
                <c:pt idx="50">
                  <c:v>0.91766993582626299</c:v>
                </c:pt>
                <c:pt idx="51">
                  <c:v>0.96641679871479036</c:v>
                </c:pt>
                <c:pt idx="52">
                  <c:v>0.94865434085742961</c:v>
                </c:pt>
                <c:pt idx="53">
                  <c:v>0.95757524290512919</c:v>
                </c:pt>
                <c:pt idx="54">
                  <c:v>0.98575261215900389</c:v>
                </c:pt>
                <c:pt idx="55">
                  <c:v>0.97802431766032927</c:v>
                </c:pt>
                <c:pt idx="56">
                  <c:v>0.99583116260958304</c:v>
                </c:pt>
                <c:pt idx="57">
                  <c:v>0.97715797339009158</c:v>
                </c:pt>
                <c:pt idx="58">
                  <c:v>0.96965375294200895</c:v>
                </c:pt>
                <c:pt idx="59">
                  <c:v>0.98539866520384145</c:v>
                </c:pt>
                <c:pt idx="60">
                  <c:v>0.99349335368516312</c:v>
                </c:pt>
                <c:pt idx="61">
                  <c:v>0.99748711493197706</c:v>
                </c:pt>
                <c:pt idx="62">
                  <c:v>0.96262622239558859</c:v>
                </c:pt>
                <c:pt idx="63">
                  <c:v>0.98504388356729555</c:v>
                </c:pt>
                <c:pt idx="64">
                  <c:v>1.026304222410068</c:v>
                </c:pt>
                <c:pt idx="65">
                  <c:v>1.0489162569037069</c:v>
                </c:pt>
                <c:pt idx="66">
                  <c:v>1.0028567971090683</c:v>
                </c:pt>
                <c:pt idx="67">
                  <c:v>0.97077744950677713</c:v>
                </c:pt>
                <c:pt idx="68">
                  <c:v>0.987559062380164</c:v>
                </c:pt>
                <c:pt idx="69">
                  <c:v>0.98837119396563911</c:v>
                </c:pt>
                <c:pt idx="70">
                  <c:v>0.99500234694341205</c:v>
                </c:pt>
                <c:pt idx="71">
                  <c:v>1.0082553247567141</c:v>
                </c:pt>
                <c:pt idx="72">
                  <c:v>0.99581824881605907</c:v>
                </c:pt>
                <c:pt idx="73">
                  <c:v>0.96256948208245485</c:v>
                </c:pt>
                <c:pt idx="74">
                  <c:v>1.0135696151259361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A9-4E50-BCE5-6D341A7E5CFA}"/>
            </c:ext>
          </c:extLst>
        </c:ser>
        <c:ser>
          <c:idx val="1"/>
          <c:order val="1"/>
          <c:tx>
            <c:strRef>
              <c:f>[1]WS_500kDa_1!$S$1</c:f>
              <c:strCache>
                <c:ptCount val="1"/>
                <c:pt idx="0">
                  <c:v>R(t) Region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[1]WS_500kDa_1!$B$2:$B$101</c:f>
              <c:numCache>
                <c:formatCode>General</c:formatCode>
                <c:ptCount val="100"/>
                <c:pt idx="0">
                  <c:v>-7.5107999999999997</c:v>
                </c:pt>
                <c:pt idx="1">
                  <c:v>-7.0076999999999998</c:v>
                </c:pt>
                <c:pt idx="2">
                  <c:v>-6.5080999999999998</c:v>
                </c:pt>
                <c:pt idx="3">
                  <c:v>-6.0076000000000001</c:v>
                </c:pt>
                <c:pt idx="4">
                  <c:v>-5.5084</c:v>
                </c:pt>
                <c:pt idx="5">
                  <c:v>-5.0081999999999995</c:v>
                </c:pt>
                <c:pt idx="6">
                  <c:v>-4.5081999999999995</c:v>
                </c:pt>
                <c:pt idx="7">
                  <c:v>-4.0080999999999998</c:v>
                </c:pt>
                <c:pt idx="8">
                  <c:v>-3.5080999999999998</c:v>
                </c:pt>
                <c:pt idx="9">
                  <c:v>-3.0080999999999998</c:v>
                </c:pt>
                <c:pt idx="10">
                  <c:v>0</c:v>
                </c:pt>
                <c:pt idx="11">
                  <c:v>0.5024999999999995</c:v>
                </c:pt>
                <c:pt idx="12">
                  <c:v>1.0030999999999999</c:v>
                </c:pt>
                <c:pt idx="13">
                  <c:v>1.5024999999999995</c:v>
                </c:pt>
                <c:pt idx="14">
                  <c:v>2.0027000000000008</c:v>
                </c:pt>
                <c:pt idx="15">
                  <c:v>2.502600000000001</c:v>
                </c:pt>
                <c:pt idx="16">
                  <c:v>3.0028000000000006</c:v>
                </c:pt>
                <c:pt idx="17">
                  <c:v>3.5023999999999997</c:v>
                </c:pt>
                <c:pt idx="18">
                  <c:v>4.0031999999999996</c:v>
                </c:pt>
                <c:pt idx="19">
                  <c:v>4.502600000000001</c:v>
                </c:pt>
                <c:pt idx="20">
                  <c:v>5.002600000000001</c:v>
                </c:pt>
                <c:pt idx="21">
                  <c:v>5.502600000000001</c:v>
                </c:pt>
                <c:pt idx="22">
                  <c:v>6.0028000000000006</c:v>
                </c:pt>
                <c:pt idx="23">
                  <c:v>6.5023999999999997</c:v>
                </c:pt>
                <c:pt idx="24">
                  <c:v>7.0029000000000003</c:v>
                </c:pt>
                <c:pt idx="25">
                  <c:v>7.5023</c:v>
                </c:pt>
                <c:pt idx="26">
                  <c:v>8.0029000000000003</c:v>
                </c:pt>
                <c:pt idx="27">
                  <c:v>8.5024000000000015</c:v>
                </c:pt>
                <c:pt idx="28">
                  <c:v>9.0031999999999996</c:v>
                </c:pt>
                <c:pt idx="29">
                  <c:v>9.5024000000000015</c:v>
                </c:pt>
                <c:pt idx="30">
                  <c:v>10.0029</c:v>
                </c:pt>
                <c:pt idx="31">
                  <c:v>10.502300000000002</c:v>
                </c:pt>
                <c:pt idx="32">
                  <c:v>11.0029</c:v>
                </c:pt>
                <c:pt idx="33">
                  <c:v>11.502300000000002</c:v>
                </c:pt>
                <c:pt idx="34">
                  <c:v>12.0031</c:v>
                </c:pt>
                <c:pt idx="35">
                  <c:v>12.502700000000001</c:v>
                </c:pt>
                <c:pt idx="36">
                  <c:v>13.0032</c:v>
                </c:pt>
                <c:pt idx="37">
                  <c:v>13.502600000000001</c:v>
                </c:pt>
                <c:pt idx="38">
                  <c:v>14.002800000000001</c:v>
                </c:pt>
                <c:pt idx="39">
                  <c:v>14.502600000000001</c:v>
                </c:pt>
                <c:pt idx="40">
                  <c:v>15.002800000000001</c:v>
                </c:pt>
                <c:pt idx="41">
                  <c:v>15.5029</c:v>
                </c:pt>
                <c:pt idx="42">
                  <c:v>16.002700000000001</c:v>
                </c:pt>
                <c:pt idx="43">
                  <c:v>16.502700000000001</c:v>
                </c:pt>
                <c:pt idx="44">
                  <c:v>17.002800000000001</c:v>
                </c:pt>
                <c:pt idx="45">
                  <c:v>17.502800000000001</c:v>
                </c:pt>
                <c:pt idx="46">
                  <c:v>18.003</c:v>
                </c:pt>
                <c:pt idx="47">
                  <c:v>18.502800000000001</c:v>
                </c:pt>
                <c:pt idx="48">
                  <c:v>19.003</c:v>
                </c:pt>
                <c:pt idx="49">
                  <c:v>19.502400000000002</c:v>
                </c:pt>
                <c:pt idx="50">
                  <c:v>20.0029</c:v>
                </c:pt>
                <c:pt idx="51">
                  <c:v>20.502300000000002</c:v>
                </c:pt>
                <c:pt idx="52">
                  <c:v>21.0031</c:v>
                </c:pt>
                <c:pt idx="53">
                  <c:v>21.502300000000002</c:v>
                </c:pt>
                <c:pt idx="54">
                  <c:v>22.0032</c:v>
                </c:pt>
                <c:pt idx="55">
                  <c:v>22.502800000000001</c:v>
                </c:pt>
                <c:pt idx="56">
                  <c:v>23.003</c:v>
                </c:pt>
                <c:pt idx="57">
                  <c:v>23.502500000000001</c:v>
                </c:pt>
                <c:pt idx="58">
                  <c:v>24.002700000000001</c:v>
                </c:pt>
                <c:pt idx="59">
                  <c:v>24.502599999999997</c:v>
                </c:pt>
                <c:pt idx="60">
                  <c:v>25.002799999999997</c:v>
                </c:pt>
                <c:pt idx="61">
                  <c:v>25.502799999999997</c:v>
                </c:pt>
                <c:pt idx="62">
                  <c:v>26.002799999999997</c:v>
                </c:pt>
                <c:pt idx="63">
                  <c:v>26.5029</c:v>
                </c:pt>
                <c:pt idx="64">
                  <c:v>27.0029</c:v>
                </c:pt>
                <c:pt idx="65">
                  <c:v>27.502300000000002</c:v>
                </c:pt>
                <c:pt idx="66">
                  <c:v>28.0031</c:v>
                </c:pt>
                <c:pt idx="67">
                  <c:v>28.502300000000002</c:v>
                </c:pt>
                <c:pt idx="68">
                  <c:v>29.003200000000003</c:v>
                </c:pt>
                <c:pt idx="69">
                  <c:v>29.502599999999997</c:v>
                </c:pt>
                <c:pt idx="70">
                  <c:v>30.002599999999997</c:v>
                </c:pt>
                <c:pt idx="71">
                  <c:v>30.502599999999997</c:v>
                </c:pt>
                <c:pt idx="72">
                  <c:v>31.002599999999997</c:v>
                </c:pt>
                <c:pt idx="73">
                  <c:v>31.502700000000001</c:v>
                </c:pt>
                <c:pt idx="74">
                  <c:v>32.002700000000004</c:v>
                </c:pt>
              </c:numCache>
            </c:numRef>
          </c:xVal>
          <c:yVal>
            <c:numRef>
              <c:f>[1]WS_500kDa_1!$S$2:$S$101</c:f>
              <c:numCache>
                <c:formatCode>General</c:formatCode>
                <c:ptCount val="100"/>
                <c:pt idx="0">
                  <c:v>2.2966916041733105</c:v>
                </c:pt>
                <c:pt idx="1">
                  <c:v>2.2598817017474708</c:v>
                </c:pt>
                <c:pt idx="2">
                  <c:v>2.1974041376985749</c:v>
                </c:pt>
                <c:pt idx="3">
                  <c:v>2.470169258246778</c:v>
                </c:pt>
                <c:pt idx="4">
                  <c:v>2.2729010655292958</c:v>
                </c:pt>
                <c:pt idx="5">
                  <c:v>2.2617809254409029</c:v>
                </c:pt>
                <c:pt idx="6">
                  <c:v>2.2484914609768714</c:v>
                </c:pt>
                <c:pt idx="7">
                  <c:v>2.2139059398375416</c:v>
                </c:pt>
                <c:pt idx="8">
                  <c:v>2.2770227437204196</c:v>
                </c:pt>
                <c:pt idx="9">
                  <c:v>2.2548572858415254</c:v>
                </c:pt>
                <c:pt idx="10">
                  <c:v>0</c:v>
                </c:pt>
                <c:pt idx="11">
                  <c:v>0.1088649792274459</c:v>
                </c:pt>
                <c:pt idx="12">
                  <c:v>0.24483780728670648</c:v>
                </c:pt>
                <c:pt idx="13">
                  <c:v>0.36455158104064528</c:v>
                </c:pt>
                <c:pt idx="14">
                  <c:v>0.50547606456009508</c:v>
                </c:pt>
                <c:pt idx="15">
                  <c:v>0.51426711119448809</c:v>
                </c:pt>
                <c:pt idx="16">
                  <c:v>0.38550366162593441</c:v>
                </c:pt>
                <c:pt idx="17">
                  <c:v>0.54987083905731304</c:v>
                </c:pt>
                <c:pt idx="18">
                  <c:v>0.60208264318636961</c:v>
                </c:pt>
                <c:pt idx="19">
                  <c:v>0.56905963713419283</c:v>
                </c:pt>
                <c:pt idx="20">
                  <c:v>0.67866721176601918</c:v>
                </c:pt>
                <c:pt idx="21">
                  <c:v>0.6350303398048307</c:v>
                </c:pt>
                <c:pt idx="22">
                  <c:v>0.6731301804418538</c:v>
                </c:pt>
                <c:pt idx="23">
                  <c:v>0.75012120664495341</c:v>
                </c:pt>
                <c:pt idx="24">
                  <c:v>0.74943643362252232</c:v>
                </c:pt>
                <c:pt idx="25">
                  <c:v>0.82381133663737094</c:v>
                </c:pt>
                <c:pt idx="26">
                  <c:v>0.84492257823617478</c:v>
                </c:pt>
                <c:pt idx="27">
                  <c:v>0.78991627799475883</c:v>
                </c:pt>
                <c:pt idx="28">
                  <c:v>0.74651897876280415</c:v>
                </c:pt>
                <c:pt idx="29">
                  <c:v>0.80443473925591968</c:v>
                </c:pt>
                <c:pt idx="30">
                  <c:v>0.66457543671735797</c:v>
                </c:pt>
                <c:pt idx="31">
                  <c:v>0.78535748085203194</c:v>
                </c:pt>
                <c:pt idx="32">
                  <c:v>0.7472771751298467</c:v>
                </c:pt>
                <c:pt idx="33">
                  <c:v>0.91145082922050602</c:v>
                </c:pt>
                <c:pt idx="34">
                  <c:v>0.91254898639744786</c:v>
                </c:pt>
                <c:pt idx="35">
                  <c:v>0.80851581092779334</c:v>
                </c:pt>
                <c:pt idx="36">
                  <c:v>0.91974034169320573</c:v>
                </c:pt>
                <c:pt idx="37">
                  <c:v>0.94279408846525614</c:v>
                </c:pt>
                <c:pt idx="38">
                  <c:v>0.8905207460896214</c:v>
                </c:pt>
                <c:pt idx="39">
                  <c:v>0.87935227275677152</c:v>
                </c:pt>
                <c:pt idx="40">
                  <c:v>0.93801901391208864</c:v>
                </c:pt>
                <c:pt idx="41">
                  <c:v>0.95916881758958494</c:v>
                </c:pt>
                <c:pt idx="42">
                  <c:v>0.97558742452222891</c:v>
                </c:pt>
                <c:pt idx="43">
                  <c:v>0.94689351073713168</c:v>
                </c:pt>
                <c:pt idx="44">
                  <c:v>0.81583726460914052</c:v>
                </c:pt>
                <c:pt idx="45">
                  <c:v>0.93175334806751531</c:v>
                </c:pt>
                <c:pt idx="46">
                  <c:v>0.8907855482980388</c:v>
                </c:pt>
                <c:pt idx="47">
                  <c:v>1.0263440183256611</c:v>
                </c:pt>
                <c:pt idx="48">
                  <c:v>0.99239944003378855</c:v>
                </c:pt>
                <c:pt idx="49">
                  <c:v>1.0113634243305016</c:v>
                </c:pt>
                <c:pt idx="50">
                  <c:v>0.87084530750765243</c:v>
                </c:pt>
                <c:pt idx="51">
                  <c:v>1.0190359840502368</c:v>
                </c:pt>
                <c:pt idx="52">
                  <c:v>0.82393083482350293</c:v>
                </c:pt>
                <c:pt idx="53">
                  <c:v>0.97264669113698055</c:v>
                </c:pt>
                <c:pt idx="54">
                  <c:v>0.94357543928911236</c:v>
                </c:pt>
                <c:pt idx="55">
                  <c:v>0.81937361715948143</c:v>
                </c:pt>
                <c:pt idx="56">
                  <c:v>0.96327527557461956</c:v>
                </c:pt>
                <c:pt idx="57">
                  <c:v>0.96294655054234746</c:v>
                </c:pt>
                <c:pt idx="58">
                  <c:v>0.99022253934958737</c:v>
                </c:pt>
                <c:pt idx="59">
                  <c:v>0.96137897111145443</c:v>
                </c:pt>
                <c:pt idx="60">
                  <c:v>0.98365766019245904</c:v>
                </c:pt>
                <c:pt idx="61">
                  <c:v>0.92910630461475763</c:v>
                </c:pt>
                <c:pt idx="62">
                  <c:v>0.92563337719061445</c:v>
                </c:pt>
                <c:pt idx="63">
                  <c:v>0.90497596928698709</c:v>
                </c:pt>
                <c:pt idx="64">
                  <c:v>0.97598801619451325</c:v>
                </c:pt>
                <c:pt idx="65">
                  <c:v>1.0795660392592896</c:v>
                </c:pt>
                <c:pt idx="66">
                  <c:v>1.1258124710827848</c:v>
                </c:pt>
                <c:pt idx="67">
                  <c:v>0.9788201037540708</c:v>
                </c:pt>
                <c:pt idx="68">
                  <c:v>1.0302095071271349</c:v>
                </c:pt>
                <c:pt idx="69">
                  <c:v>0.95320735055659456</c:v>
                </c:pt>
                <c:pt idx="70">
                  <c:v>0.96848086597479266</c:v>
                </c:pt>
                <c:pt idx="71">
                  <c:v>0.9735574462229204</c:v>
                </c:pt>
                <c:pt idx="72">
                  <c:v>1.022823707691771</c:v>
                </c:pt>
                <c:pt idx="73">
                  <c:v>0.95189773510333398</c:v>
                </c:pt>
                <c:pt idx="74">
                  <c:v>0.93963675703279625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A9-4E50-BCE5-6D341A7E5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1812072"/>
        <c:axId val="361813384"/>
      </c:scatterChart>
      <c:valAx>
        <c:axId val="361812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813384"/>
        <c:crosses val="autoZero"/>
        <c:crossBetween val="midCat"/>
      </c:valAx>
      <c:valAx>
        <c:axId val="361813384"/>
        <c:scaling>
          <c:orientation val="minMax"/>
          <c:max val="2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812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'[1]77'!$R$1</c:f>
              <c:strCache>
                <c:ptCount val="1"/>
                <c:pt idx="0">
                  <c:v>R(t) Region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'[1]77'!$B$2:$B$101</c:f>
              <c:numCache>
                <c:formatCode>General</c:formatCode>
                <c:ptCount val="100"/>
                <c:pt idx="0">
                  <c:v>-7.5110000000000001</c:v>
                </c:pt>
                <c:pt idx="1">
                  <c:v>-7.0079000000000002</c:v>
                </c:pt>
                <c:pt idx="2">
                  <c:v>-6.5083000000000002</c:v>
                </c:pt>
                <c:pt idx="3">
                  <c:v>-6.0081000000000007</c:v>
                </c:pt>
                <c:pt idx="4">
                  <c:v>-5.5087000000000002</c:v>
                </c:pt>
                <c:pt idx="5">
                  <c:v>-5.008</c:v>
                </c:pt>
                <c:pt idx="6">
                  <c:v>-4.5085999999999995</c:v>
                </c:pt>
                <c:pt idx="7">
                  <c:v>-4.0077999999999996</c:v>
                </c:pt>
                <c:pt idx="8">
                  <c:v>-3.5082000000000004</c:v>
                </c:pt>
                <c:pt idx="9">
                  <c:v>-3.008</c:v>
                </c:pt>
                <c:pt idx="10">
                  <c:v>0</c:v>
                </c:pt>
                <c:pt idx="11">
                  <c:v>0.50260000000000016</c:v>
                </c:pt>
                <c:pt idx="12">
                  <c:v>1.0032000000000005</c:v>
                </c:pt>
                <c:pt idx="13">
                  <c:v>1.5026000000000002</c:v>
                </c:pt>
                <c:pt idx="14">
                  <c:v>2.0027999999999997</c:v>
                </c:pt>
                <c:pt idx="15">
                  <c:v>2.5024000000000006</c:v>
                </c:pt>
                <c:pt idx="16">
                  <c:v>3.0032000000000005</c:v>
                </c:pt>
                <c:pt idx="17">
                  <c:v>3.5026000000000002</c:v>
                </c:pt>
                <c:pt idx="18">
                  <c:v>4.0026000000000002</c:v>
                </c:pt>
                <c:pt idx="19">
                  <c:v>4.5026999999999999</c:v>
                </c:pt>
                <c:pt idx="20">
                  <c:v>5.0026999999999999</c:v>
                </c:pt>
                <c:pt idx="21">
                  <c:v>5.5026999999999999</c:v>
                </c:pt>
                <c:pt idx="22">
                  <c:v>6.0032000000000005</c:v>
                </c:pt>
                <c:pt idx="23">
                  <c:v>6.5026000000000002</c:v>
                </c:pt>
                <c:pt idx="24">
                  <c:v>7.0027999999999997</c:v>
                </c:pt>
                <c:pt idx="25">
                  <c:v>7.5024000000000006</c:v>
                </c:pt>
                <c:pt idx="26">
                  <c:v>8.0031999999999996</c:v>
                </c:pt>
                <c:pt idx="27">
                  <c:v>8.502600000000001</c:v>
                </c:pt>
                <c:pt idx="28">
                  <c:v>9.0032999999999994</c:v>
                </c:pt>
                <c:pt idx="29">
                  <c:v>9.5027000000000008</c:v>
                </c:pt>
                <c:pt idx="30">
                  <c:v>10.0029</c:v>
                </c:pt>
                <c:pt idx="31">
                  <c:v>10.502400000000002</c:v>
                </c:pt>
                <c:pt idx="32">
                  <c:v>11.002600000000001</c:v>
                </c:pt>
                <c:pt idx="33">
                  <c:v>11.502700000000001</c:v>
                </c:pt>
                <c:pt idx="34">
                  <c:v>12.002700000000001</c:v>
                </c:pt>
                <c:pt idx="35">
                  <c:v>12.502700000000001</c:v>
                </c:pt>
                <c:pt idx="36">
                  <c:v>13.002800000000001</c:v>
                </c:pt>
                <c:pt idx="37">
                  <c:v>13.502800000000001</c:v>
                </c:pt>
                <c:pt idx="38">
                  <c:v>14.003</c:v>
                </c:pt>
                <c:pt idx="39">
                  <c:v>14.502600000000001</c:v>
                </c:pt>
                <c:pt idx="40">
                  <c:v>15.003</c:v>
                </c:pt>
                <c:pt idx="41">
                  <c:v>15.502400000000002</c:v>
                </c:pt>
                <c:pt idx="42">
                  <c:v>16.003299999999999</c:v>
                </c:pt>
                <c:pt idx="43">
                  <c:v>16.502800000000001</c:v>
                </c:pt>
                <c:pt idx="44">
                  <c:v>17.002700000000001</c:v>
                </c:pt>
                <c:pt idx="45">
                  <c:v>17.502700000000001</c:v>
                </c:pt>
                <c:pt idx="46">
                  <c:v>18.002700000000001</c:v>
                </c:pt>
                <c:pt idx="47">
                  <c:v>18.502800000000001</c:v>
                </c:pt>
                <c:pt idx="48">
                  <c:v>19.003</c:v>
                </c:pt>
                <c:pt idx="49">
                  <c:v>19.502800000000001</c:v>
                </c:pt>
                <c:pt idx="50">
                  <c:v>20.002600000000001</c:v>
                </c:pt>
                <c:pt idx="51">
                  <c:v>20.502700000000001</c:v>
                </c:pt>
                <c:pt idx="52">
                  <c:v>21.002700000000001</c:v>
                </c:pt>
                <c:pt idx="53">
                  <c:v>21.502700000000001</c:v>
                </c:pt>
                <c:pt idx="54">
                  <c:v>22.002700000000001</c:v>
                </c:pt>
                <c:pt idx="55">
                  <c:v>22.502800000000001</c:v>
                </c:pt>
                <c:pt idx="56">
                  <c:v>23.002800000000001</c:v>
                </c:pt>
                <c:pt idx="57">
                  <c:v>23.502800000000001</c:v>
                </c:pt>
                <c:pt idx="58">
                  <c:v>24.0029</c:v>
                </c:pt>
                <c:pt idx="59">
                  <c:v>24.5029</c:v>
                </c:pt>
                <c:pt idx="60">
                  <c:v>25.0031</c:v>
                </c:pt>
                <c:pt idx="61">
                  <c:v>25.502700000000001</c:v>
                </c:pt>
                <c:pt idx="62">
                  <c:v>26.0029</c:v>
                </c:pt>
                <c:pt idx="63">
                  <c:v>26.5029</c:v>
                </c:pt>
                <c:pt idx="64">
                  <c:v>27.0029</c:v>
                </c:pt>
                <c:pt idx="65">
                  <c:v>27.5029</c:v>
                </c:pt>
                <c:pt idx="66">
                  <c:v>28.003000000000004</c:v>
                </c:pt>
                <c:pt idx="67">
                  <c:v>28.502399999999998</c:v>
                </c:pt>
                <c:pt idx="68">
                  <c:v>29.003200000000003</c:v>
                </c:pt>
                <c:pt idx="69">
                  <c:v>29.502399999999998</c:v>
                </c:pt>
                <c:pt idx="70">
                  <c:v>30.003200000000003</c:v>
                </c:pt>
                <c:pt idx="71">
                  <c:v>30.502700000000001</c:v>
                </c:pt>
                <c:pt idx="72">
                  <c:v>31.002700000000001</c:v>
                </c:pt>
                <c:pt idx="73">
                  <c:v>31.502700000000001</c:v>
                </c:pt>
                <c:pt idx="74">
                  <c:v>32.002699999999997</c:v>
                </c:pt>
              </c:numCache>
            </c:numRef>
          </c:xVal>
          <c:yVal>
            <c:numRef>
              <c:f>'[1]77'!$R$2:$R$101</c:f>
              <c:numCache>
                <c:formatCode>General</c:formatCode>
                <c:ptCount val="100"/>
                <c:pt idx="0">
                  <c:v>1.3299197894870884</c:v>
                </c:pt>
                <c:pt idx="1">
                  <c:v>1.3208290569416026</c:v>
                </c:pt>
                <c:pt idx="2">
                  <c:v>1.304886580160755</c:v>
                </c:pt>
                <c:pt idx="3">
                  <c:v>1.2537784773541529</c:v>
                </c:pt>
                <c:pt idx="4">
                  <c:v>1.3248380488848259</c:v>
                </c:pt>
                <c:pt idx="5">
                  <c:v>1.2830712494285876</c:v>
                </c:pt>
                <c:pt idx="6">
                  <c:v>1.2873543076467318</c:v>
                </c:pt>
                <c:pt idx="7">
                  <c:v>1.2851274833390569</c:v>
                </c:pt>
                <c:pt idx="8">
                  <c:v>1.2906232529226087</c:v>
                </c:pt>
                <c:pt idx="9">
                  <c:v>1.3239259791680076</c:v>
                </c:pt>
                <c:pt idx="10">
                  <c:v>0</c:v>
                </c:pt>
                <c:pt idx="11">
                  <c:v>8.5505893735930719E-2</c:v>
                </c:pt>
                <c:pt idx="12">
                  <c:v>0.15086088511130832</c:v>
                </c:pt>
                <c:pt idx="13">
                  <c:v>0.18224279444701433</c:v>
                </c:pt>
                <c:pt idx="14">
                  <c:v>0.24186666846759727</c:v>
                </c:pt>
                <c:pt idx="15">
                  <c:v>0.27663423118633373</c:v>
                </c:pt>
                <c:pt idx="16">
                  <c:v>0.30758239413151278</c:v>
                </c:pt>
                <c:pt idx="17">
                  <c:v>0.36083684627766449</c:v>
                </c:pt>
                <c:pt idx="18">
                  <c:v>0.38866676578185305</c:v>
                </c:pt>
                <c:pt idx="19">
                  <c:v>0.43218902091247852</c:v>
                </c:pt>
                <c:pt idx="20">
                  <c:v>0.46022456690008734</c:v>
                </c:pt>
                <c:pt idx="21">
                  <c:v>0.49737913318914123</c:v>
                </c:pt>
                <c:pt idx="22">
                  <c:v>0.51400656422285695</c:v>
                </c:pt>
                <c:pt idx="23">
                  <c:v>0.52230451891126217</c:v>
                </c:pt>
                <c:pt idx="24">
                  <c:v>0.54454906183924701</c:v>
                </c:pt>
                <c:pt idx="25">
                  <c:v>0.58298831024195241</c:v>
                </c:pt>
                <c:pt idx="26">
                  <c:v>0.58287653180249532</c:v>
                </c:pt>
                <c:pt idx="27">
                  <c:v>0.60963046667297338</c:v>
                </c:pt>
                <c:pt idx="28">
                  <c:v>0.60989005095486626</c:v>
                </c:pt>
                <c:pt idx="29">
                  <c:v>0.65192012326809434</c:v>
                </c:pt>
                <c:pt idx="30">
                  <c:v>0.65859926564406346</c:v>
                </c:pt>
                <c:pt idx="31">
                  <c:v>0.67971845850784318</c:v>
                </c:pt>
                <c:pt idx="32">
                  <c:v>0.67847925915472729</c:v>
                </c:pt>
                <c:pt idx="33">
                  <c:v>0.69301763725760579</c:v>
                </c:pt>
                <c:pt idx="34">
                  <c:v>0.7195695010224884</c:v>
                </c:pt>
                <c:pt idx="35">
                  <c:v>0.70183882630399175</c:v>
                </c:pt>
                <c:pt idx="36">
                  <c:v>0.74014281003927829</c:v>
                </c:pt>
                <c:pt idx="37">
                  <c:v>0.75777225594272379</c:v>
                </c:pt>
                <c:pt idx="38">
                  <c:v>0.75905270683819659</c:v>
                </c:pt>
                <c:pt idx="39">
                  <c:v>0.76924365586950927</c:v>
                </c:pt>
                <c:pt idx="40">
                  <c:v>0.77585988598748279</c:v>
                </c:pt>
                <c:pt idx="41">
                  <c:v>0.77755139415739127</c:v>
                </c:pt>
                <c:pt idx="42">
                  <c:v>0.79806845972244245</c:v>
                </c:pt>
                <c:pt idx="43">
                  <c:v>0.80884083984931854</c:v>
                </c:pt>
                <c:pt idx="44">
                  <c:v>0.83010064311719689</c:v>
                </c:pt>
                <c:pt idx="45">
                  <c:v>0.8395969404590935</c:v>
                </c:pt>
                <c:pt idx="46">
                  <c:v>0.86438384828679615</c:v>
                </c:pt>
                <c:pt idx="47">
                  <c:v>0.87312570603530715</c:v>
                </c:pt>
                <c:pt idx="48">
                  <c:v>0.84326551594198262</c:v>
                </c:pt>
                <c:pt idx="49">
                  <c:v>0.92059252703521555</c:v>
                </c:pt>
                <c:pt idx="50">
                  <c:v>0.86055236878296038</c:v>
                </c:pt>
                <c:pt idx="51">
                  <c:v>0.89706253632091526</c:v>
                </c:pt>
                <c:pt idx="52">
                  <c:v>0.89135836469877916</c:v>
                </c:pt>
                <c:pt idx="53">
                  <c:v>0.89556029683328586</c:v>
                </c:pt>
                <c:pt idx="54">
                  <c:v>0.88383104789273415</c:v>
                </c:pt>
                <c:pt idx="55">
                  <c:v>0.91650954395478412</c:v>
                </c:pt>
                <c:pt idx="56">
                  <c:v>0.91760620696629303</c:v>
                </c:pt>
                <c:pt idx="57">
                  <c:v>0.90738416091643426</c:v>
                </c:pt>
                <c:pt idx="58">
                  <c:v>0.92329588547245889</c:v>
                </c:pt>
                <c:pt idx="59">
                  <c:v>0.92755941587427682</c:v>
                </c:pt>
                <c:pt idx="60">
                  <c:v>0.9382714689115299</c:v>
                </c:pt>
                <c:pt idx="61">
                  <c:v>0.94486404462627049</c:v>
                </c:pt>
                <c:pt idx="62">
                  <c:v>0.93195075802921479</c:v>
                </c:pt>
                <c:pt idx="63">
                  <c:v>0.92356440916498306</c:v>
                </c:pt>
                <c:pt idx="64">
                  <c:v>0.99736387230030366</c:v>
                </c:pt>
                <c:pt idx="65">
                  <c:v>0.98857883234793453</c:v>
                </c:pt>
                <c:pt idx="66">
                  <c:v>0.97721136178359858</c:v>
                </c:pt>
                <c:pt idx="67">
                  <c:v>0.97633174724880556</c:v>
                </c:pt>
                <c:pt idx="68">
                  <c:v>1.0146816743876741</c:v>
                </c:pt>
                <c:pt idx="69">
                  <c:v>0.98647866911521931</c:v>
                </c:pt>
                <c:pt idx="70">
                  <c:v>0.99299055135192804</c:v>
                </c:pt>
                <c:pt idx="71">
                  <c:v>1.0011122622589455</c:v>
                </c:pt>
                <c:pt idx="72">
                  <c:v>1.0433789772546969</c:v>
                </c:pt>
                <c:pt idx="73">
                  <c:v>1.00885557248709</c:v>
                </c:pt>
                <c:pt idx="74">
                  <c:v>1.0130164794638032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E3-433D-9DE7-3815775361A7}"/>
            </c:ext>
          </c:extLst>
        </c:ser>
        <c:ser>
          <c:idx val="1"/>
          <c:order val="1"/>
          <c:tx>
            <c:strRef>
              <c:f>'[1]77'!$S$1</c:f>
              <c:strCache>
                <c:ptCount val="1"/>
                <c:pt idx="0">
                  <c:v>R(t) Region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'[1]77'!$B$2:$B$101</c:f>
              <c:numCache>
                <c:formatCode>General</c:formatCode>
                <c:ptCount val="100"/>
                <c:pt idx="0">
                  <c:v>-7.5110000000000001</c:v>
                </c:pt>
                <c:pt idx="1">
                  <c:v>-7.0079000000000002</c:v>
                </c:pt>
                <c:pt idx="2">
                  <c:v>-6.5083000000000002</c:v>
                </c:pt>
                <c:pt idx="3">
                  <c:v>-6.0081000000000007</c:v>
                </c:pt>
                <c:pt idx="4">
                  <c:v>-5.5087000000000002</c:v>
                </c:pt>
                <c:pt idx="5">
                  <c:v>-5.008</c:v>
                </c:pt>
                <c:pt idx="6">
                  <c:v>-4.5085999999999995</c:v>
                </c:pt>
                <c:pt idx="7">
                  <c:v>-4.0077999999999996</c:v>
                </c:pt>
                <c:pt idx="8">
                  <c:v>-3.5082000000000004</c:v>
                </c:pt>
                <c:pt idx="9">
                  <c:v>-3.008</c:v>
                </c:pt>
                <c:pt idx="10">
                  <c:v>0</c:v>
                </c:pt>
                <c:pt idx="11">
                  <c:v>0.50260000000000016</c:v>
                </c:pt>
                <c:pt idx="12">
                  <c:v>1.0032000000000005</c:v>
                </c:pt>
                <c:pt idx="13">
                  <c:v>1.5026000000000002</c:v>
                </c:pt>
                <c:pt idx="14">
                  <c:v>2.0027999999999997</c:v>
                </c:pt>
                <c:pt idx="15">
                  <c:v>2.5024000000000006</c:v>
                </c:pt>
                <c:pt idx="16">
                  <c:v>3.0032000000000005</c:v>
                </c:pt>
                <c:pt idx="17">
                  <c:v>3.5026000000000002</c:v>
                </c:pt>
                <c:pt idx="18">
                  <c:v>4.0026000000000002</c:v>
                </c:pt>
                <c:pt idx="19">
                  <c:v>4.5026999999999999</c:v>
                </c:pt>
                <c:pt idx="20">
                  <c:v>5.0026999999999999</c:v>
                </c:pt>
                <c:pt idx="21">
                  <c:v>5.5026999999999999</c:v>
                </c:pt>
                <c:pt idx="22">
                  <c:v>6.0032000000000005</c:v>
                </c:pt>
                <c:pt idx="23">
                  <c:v>6.5026000000000002</c:v>
                </c:pt>
                <c:pt idx="24">
                  <c:v>7.0027999999999997</c:v>
                </c:pt>
                <c:pt idx="25">
                  <c:v>7.5024000000000006</c:v>
                </c:pt>
                <c:pt idx="26">
                  <c:v>8.0031999999999996</c:v>
                </c:pt>
                <c:pt idx="27">
                  <c:v>8.502600000000001</c:v>
                </c:pt>
                <c:pt idx="28">
                  <c:v>9.0032999999999994</c:v>
                </c:pt>
                <c:pt idx="29">
                  <c:v>9.5027000000000008</c:v>
                </c:pt>
                <c:pt idx="30">
                  <c:v>10.0029</c:v>
                </c:pt>
                <c:pt idx="31">
                  <c:v>10.502400000000002</c:v>
                </c:pt>
                <c:pt idx="32">
                  <c:v>11.002600000000001</c:v>
                </c:pt>
                <c:pt idx="33">
                  <c:v>11.502700000000001</c:v>
                </c:pt>
                <c:pt idx="34">
                  <c:v>12.002700000000001</c:v>
                </c:pt>
                <c:pt idx="35">
                  <c:v>12.502700000000001</c:v>
                </c:pt>
                <c:pt idx="36">
                  <c:v>13.002800000000001</c:v>
                </c:pt>
                <c:pt idx="37">
                  <c:v>13.502800000000001</c:v>
                </c:pt>
                <c:pt idx="38">
                  <c:v>14.003</c:v>
                </c:pt>
                <c:pt idx="39">
                  <c:v>14.502600000000001</c:v>
                </c:pt>
                <c:pt idx="40">
                  <c:v>15.003</c:v>
                </c:pt>
                <c:pt idx="41">
                  <c:v>15.502400000000002</c:v>
                </c:pt>
                <c:pt idx="42">
                  <c:v>16.003299999999999</c:v>
                </c:pt>
                <c:pt idx="43">
                  <c:v>16.502800000000001</c:v>
                </c:pt>
                <c:pt idx="44">
                  <c:v>17.002700000000001</c:v>
                </c:pt>
                <c:pt idx="45">
                  <c:v>17.502700000000001</c:v>
                </c:pt>
                <c:pt idx="46">
                  <c:v>18.002700000000001</c:v>
                </c:pt>
                <c:pt idx="47">
                  <c:v>18.502800000000001</c:v>
                </c:pt>
                <c:pt idx="48">
                  <c:v>19.003</c:v>
                </c:pt>
                <c:pt idx="49">
                  <c:v>19.502800000000001</c:v>
                </c:pt>
                <c:pt idx="50">
                  <c:v>20.002600000000001</c:v>
                </c:pt>
                <c:pt idx="51">
                  <c:v>20.502700000000001</c:v>
                </c:pt>
                <c:pt idx="52">
                  <c:v>21.002700000000001</c:v>
                </c:pt>
                <c:pt idx="53">
                  <c:v>21.502700000000001</c:v>
                </c:pt>
                <c:pt idx="54">
                  <c:v>22.002700000000001</c:v>
                </c:pt>
                <c:pt idx="55">
                  <c:v>22.502800000000001</c:v>
                </c:pt>
                <c:pt idx="56">
                  <c:v>23.002800000000001</c:v>
                </c:pt>
                <c:pt idx="57">
                  <c:v>23.502800000000001</c:v>
                </c:pt>
                <c:pt idx="58">
                  <c:v>24.0029</c:v>
                </c:pt>
                <c:pt idx="59">
                  <c:v>24.5029</c:v>
                </c:pt>
                <c:pt idx="60">
                  <c:v>25.0031</c:v>
                </c:pt>
                <c:pt idx="61">
                  <c:v>25.502700000000001</c:v>
                </c:pt>
                <c:pt idx="62">
                  <c:v>26.0029</c:v>
                </c:pt>
                <c:pt idx="63">
                  <c:v>26.5029</c:v>
                </c:pt>
                <c:pt idx="64">
                  <c:v>27.0029</c:v>
                </c:pt>
                <c:pt idx="65">
                  <c:v>27.5029</c:v>
                </c:pt>
                <c:pt idx="66">
                  <c:v>28.003000000000004</c:v>
                </c:pt>
                <c:pt idx="67">
                  <c:v>28.502399999999998</c:v>
                </c:pt>
                <c:pt idx="68">
                  <c:v>29.003200000000003</c:v>
                </c:pt>
                <c:pt idx="69">
                  <c:v>29.502399999999998</c:v>
                </c:pt>
                <c:pt idx="70">
                  <c:v>30.003200000000003</c:v>
                </c:pt>
                <c:pt idx="71">
                  <c:v>30.502700000000001</c:v>
                </c:pt>
                <c:pt idx="72">
                  <c:v>31.002700000000001</c:v>
                </c:pt>
                <c:pt idx="73">
                  <c:v>31.502700000000001</c:v>
                </c:pt>
                <c:pt idx="74">
                  <c:v>32.002699999999997</c:v>
                </c:pt>
              </c:numCache>
            </c:numRef>
          </c:xVal>
          <c:yVal>
            <c:numRef>
              <c:f>'[1]77'!$S$2:$S$101</c:f>
              <c:numCache>
                <c:formatCode>General</c:formatCode>
                <c:ptCount val="100"/>
                <c:pt idx="0">
                  <c:v>1.467710427524352</c:v>
                </c:pt>
                <c:pt idx="1">
                  <c:v>1.5401169549252587</c:v>
                </c:pt>
                <c:pt idx="2">
                  <c:v>1.4673226928446719</c:v>
                </c:pt>
                <c:pt idx="3">
                  <c:v>1.453351570428437</c:v>
                </c:pt>
                <c:pt idx="4">
                  <c:v>1.4947659106511999</c:v>
                </c:pt>
                <c:pt idx="5">
                  <c:v>1.4494892145002389</c:v>
                </c:pt>
                <c:pt idx="6">
                  <c:v>1.4864524892694195</c:v>
                </c:pt>
                <c:pt idx="7">
                  <c:v>1.4756362345928862</c:v>
                </c:pt>
                <c:pt idx="8">
                  <c:v>1.5219727566188894</c:v>
                </c:pt>
                <c:pt idx="9">
                  <c:v>1.5716016567603532</c:v>
                </c:pt>
                <c:pt idx="10">
                  <c:v>0</c:v>
                </c:pt>
                <c:pt idx="11">
                  <c:v>0.15665206585074748</c:v>
                </c:pt>
                <c:pt idx="12">
                  <c:v>0.25408195824157415</c:v>
                </c:pt>
                <c:pt idx="13">
                  <c:v>0.28342239210906761</c:v>
                </c:pt>
                <c:pt idx="14">
                  <c:v>0.42448575496930563</c:v>
                </c:pt>
                <c:pt idx="15">
                  <c:v>0.37314261992753828</c:v>
                </c:pt>
                <c:pt idx="16">
                  <c:v>0.42323843691376817</c:v>
                </c:pt>
                <c:pt idx="17">
                  <c:v>0.50351652953511983</c:v>
                </c:pt>
                <c:pt idx="18">
                  <c:v>0.52017774373897951</c:v>
                </c:pt>
                <c:pt idx="19">
                  <c:v>0.51540648017005541</c:v>
                </c:pt>
                <c:pt idx="20">
                  <c:v>0.60427709828019749</c:v>
                </c:pt>
                <c:pt idx="21">
                  <c:v>0.63535618449277387</c:v>
                </c:pt>
                <c:pt idx="22">
                  <c:v>0.6357907587935524</c:v>
                </c:pt>
                <c:pt idx="23">
                  <c:v>0.60079480391105877</c:v>
                </c:pt>
                <c:pt idx="24">
                  <c:v>0.66684478434373218</c:v>
                </c:pt>
                <c:pt idx="25">
                  <c:v>0.64910157204390273</c:v>
                </c:pt>
                <c:pt idx="26">
                  <c:v>0.63855376158741217</c:v>
                </c:pt>
                <c:pt idx="27">
                  <c:v>0.71349462529212471</c:v>
                </c:pt>
                <c:pt idx="28">
                  <c:v>0.66440538533982163</c:v>
                </c:pt>
                <c:pt idx="29">
                  <c:v>0.67784520029729467</c:v>
                </c:pt>
                <c:pt idx="30">
                  <c:v>0.74141662398155661</c:v>
                </c:pt>
                <c:pt idx="31">
                  <c:v>0.72598418918102914</c:v>
                </c:pt>
                <c:pt idx="32">
                  <c:v>0.73669222122407074</c:v>
                </c:pt>
                <c:pt idx="33">
                  <c:v>0.72117923139459272</c:v>
                </c:pt>
                <c:pt idx="34">
                  <c:v>0.79258904094430416</c:v>
                </c:pt>
                <c:pt idx="35">
                  <c:v>0.76434526263464508</c:v>
                </c:pt>
                <c:pt idx="36">
                  <c:v>0.78454367399999225</c:v>
                </c:pt>
                <c:pt idx="37">
                  <c:v>0.79772492880869128</c:v>
                </c:pt>
                <c:pt idx="38">
                  <c:v>0.77861691750937967</c:v>
                </c:pt>
                <c:pt idx="39">
                  <c:v>0.78903273789921446</c:v>
                </c:pt>
                <c:pt idx="40">
                  <c:v>0.73130703576560041</c:v>
                </c:pt>
                <c:pt idx="41">
                  <c:v>0.77962611116020419</c:v>
                </c:pt>
                <c:pt idx="42">
                  <c:v>0.81443096165289974</c:v>
                </c:pt>
                <c:pt idx="43">
                  <c:v>0.81989956703075084</c:v>
                </c:pt>
                <c:pt idx="44">
                  <c:v>0.86908898601470475</c:v>
                </c:pt>
                <c:pt idx="45">
                  <c:v>0.87158261770492118</c:v>
                </c:pt>
                <c:pt idx="46">
                  <c:v>0.87017862007383862</c:v>
                </c:pt>
                <c:pt idx="47">
                  <c:v>0.87284666697107383</c:v>
                </c:pt>
                <c:pt idx="48">
                  <c:v>0.81755750182591969</c:v>
                </c:pt>
                <c:pt idx="49">
                  <c:v>0.94668532717755716</c:v>
                </c:pt>
                <c:pt idx="50">
                  <c:v>0.8510693801079634</c:v>
                </c:pt>
                <c:pt idx="51">
                  <c:v>0.89982575157316935</c:v>
                </c:pt>
                <c:pt idx="52">
                  <c:v>0.87936558365883966</c:v>
                </c:pt>
                <c:pt idx="53">
                  <c:v>0.89534746989558722</c:v>
                </c:pt>
                <c:pt idx="54">
                  <c:v>0.87311938938439448</c:v>
                </c:pt>
                <c:pt idx="55">
                  <c:v>0.93490514649537226</c:v>
                </c:pt>
                <c:pt idx="56">
                  <c:v>0.91508622089801794</c:v>
                </c:pt>
                <c:pt idx="57">
                  <c:v>0.90176295394911676</c:v>
                </c:pt>
                <c:pt idx="58">
                  <c:v>0.95387640027827314</c:v>
                </c:pt>
                <c:pt idx="59">
                  <c:v>0.89345341585964078</c:v>
                </c:pt>
                <c:pt idx="60">
                  <c:v>0.90498500629522671</c:v>
                </c:pt>
                <c:pt idx="61">
                  <c:v>0.89963543995990258</c:v>
                </c:pt>
                <c:pt idx="62">
                  <c:v>0.93593229273228085</c:v>
                </c:pt>
                <c:pt idx="63">
                  <c:v>0.85450499070207275</c:v>
                </c:pt>
                <c:pt idx="64">
                  <c:v>1.04549570657105</c:v>
                </c:pt>
                <c:pt idx="65">
                  <c:v>1.019142571526318</c:v>
                </c:pt>
                <c:pt idx="66">
                  <c:v>0.94755507011495765</c:v>
                </c:pt>
                <c:pt idx="67">
                  <c:v>0.99398728746905995</c:v>
                </c:pt>
                <c:pt idx="68">
                  <c:v>1.0272371928217774</c:v>
                </c:pt>
                <c:pt idx="69">
                  <c:v>1.0054250349865133</c:v>
                </c:pt>
                <c:pt idx="70">
                  <c:v>0.95907072416074068</c:v>
                </c:pt>
                <c:pt idx="71">
                  <c:v>0.98097089449252284</c:v>
                </c:pt>
                <c:pt idx="72">
                  <c:v>1.0095581807852478</c:v>
                </c:pt>
                <c:pt idx="73">
                  <c:v>0.99835366040969309</c:v>
                </c:pt>
                <c:pt idx="74">
                  <c:v>1.0132036766621189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2E3-433D-9DE7-381577536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518344"/>
        <c:axId val="444518672"/>
      </c:scatterChart>
      <c:valAx>
        <c:axId val="444518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518672"/>
        <c:crosses val="autoZero"/>
        <c:crossBetween val="midCat"/>
      </c:valAx>
      <c:valAx>
        <c:axId val="444518672"/>
        <c:scaling>
          <c:orientation val="minMax"/>
          <c:max val="2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518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[1]WS_500kDa_4!$R$1</c:f>
              <c:strCache>
                <c:ptCount val="1"/>
                <c:pt idx="0">
                  <c:v>R(t) Region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[1]WS_500kDa_4!$B$2:$B$101</c:f>
              <c:numCache>
                <c:formatCode>General</c:formatCode>
                <c:ptCount val="100"/>
                <c:pt idx="0">
                  <c:v>-7.5107999999999997</c:v>
                </c:pt>
                <c:pt idx="1">
                  <c:v>-7.0076999999999998</c:v>
                </c:pt>
                <c:pt idx="2">
                  <c:v>-6.5080999999999998</c:v>
                </c:pt>
                <c:pt idx="3">
                  <c:v>-6.0078999999999994</c:v>
                </c:pt>
                <c:pt idx="4">
                  <c:v>-5.5079999999999991</c:v>
                </c:pt>
                <c:pt idx="5">
                  <c:v>-5.0077999999999996</c:v>
                </c:pt>
                <c:pt idx="6">
                  <c:v>-4.5079999999999991</c:v>
                </c:pt>
                <c:pt idx="7">
                  <c:v>-4.0077999999999996</c:v>
                </c:pt>
                <c:pt idx="8">
                  <c:v>-3.5081999999999995</c:v>
                </c:pt>
                <c:pt idx="9">
                  <c:v>-3.008</c:v>
                </c:pt>
                <c:pt idx="10">
                  <c:v>0</c:v>
                </c:pt>
                <c:pt idx="11">
                  <c:v>0.50260000000000105</c:v>
                </c:pt>
                <c:pt idx="12">
                  <c:v>1.0031999999999996</c:v>
                </c:pt>
                <c:pt idx="13">
                  <c:v>1.502600000000001</c:v>
                </c:pt>
                <c:pt idx="14">
                  <c:v>2.0028000000000006</c:v>
                </c:pt>
                <c:pt idx="15">
                  <c:v>2.5023999999999997</c:v>
                </c:pt>
                <c:pt idx="16">
                  <c:v>3.0031999999999996</c:v>
                </c:pt>
                <c:pt idx="17">
                  <c:v>3.502600000000001</c:v>
                </c:pt>
                <c:pt idx="18">
                  <c:v>4.002600000000001</c:v>
                </c:pt>
                <c:pt idx="19">
                  <c:v>4.5027000000000008</c:v>
                </c:pt>
                <c:pt idx="20">
                  <c:v>5.0027000000000008</c:v>
                </c:pt>
                <c:pt idx="21">
                  <c:v>5.5027000000000008</c:v>
                </c:pt>
                <c:pt idx="22">
                  <c:v>6.0029000000000003</c:v>
                </c:pt>
                <c:pt idx="23">
                  <c:v>6.5024999999999995</c:v>
                </c:pt>
                <c:pt idx="24">
                  <c:v>7.0027000000000008</c:v>
                </c:pt>
                <c:pt idx="25">
                  <c:v>7.5027000000000008</c:v>
                </c:pt>
                <c:pt idx="26">
                  <c:v>8.0028000000000006</c:v>
                </c:pt>
                <c:pt idx="27">
                  <c:v>8.5028000000000006</c:v>
                </c:pt>
                <c:pt idx="28">
                  <c:v>9.0028000000000006</c:v>
                </c:pt>
                <c:pt idx="29">
                  <c:v>9.5028000000000006</c:v>
                </c:pt>
                <c:pt idx="30">
                  <c:v>10.003</c:v>
                </c:pt>
                <c:pt idx="31">
                  <c:v>10.502500000000001</c:v>
                </c:pt>
                <c:pt idx="32">
                  <c:v>11.0031</c:v>
                </c:pt>
                <c:pt idx="33">
                  <c:v>11.502500000000001</c:v>
                </c:pt>
                <c:pt idx="34">
                  <c:v>12.002700000000001</c:v>
                </c:pt>
                <c:pt idx="35">
                  <c:v>12.5029</c:v>
                </c:pt>
                <c:pt idx="36">
                  <c:v>13.0029</c:v>
                </c:pt>
                <c:pt idx="37">
                  <c:v>13.502300000000002</c:v>
                </c:pt>
                <c:pt idx="38">
                  <c:v>14.002800000000001</c:v>
                </c:pt>
                <c:pt idx="39">
                  <c:v>14.502800000000001</c:v>
                </c:pt>
                <c:pt idx="40">
                  <c:v>15.0029</c:v>
                </c:pt>
                <c:pt idx="41">
                  <c:v>15.5029</c:v>
                </c:pt>
                <c:pt idx="42">
                  <c:v>16.0031</c:v>
                </c:pt>
                <c:pt idx="43">
                  <c:v>16.502700000000001</c:v>
                </c:pt>
                <c:pt idx="44">
                  <c:v>17.0031</c:v>
                </c:pt>
                <c:pt idx="45">
                  <c:v>17.502500000000001</c:v>
                </c:pt>
                <c:pt idx="46">
                  <c:v>18.0032</c:v>
                </c:pt>
                <c:pt idx="47">
                  <c:v>18.502600000000001</c:v>
                </c:pt>
                <c:pt idx="48">
                  <c:v>19.002800000000001</c:v>
                </c:pt>
                <c:pt idx="49">
                  <c:v>19.502600000000001</c:v>
                </c:pt>
                <c:pt idx="50">
                  <c:v>20.002800000000001</c:v>
                </c:pt>
                <c:pt idx="51">
                  <c:v>20.502400000000002</c:v>
                </c:pt>
                <c:pt idx="52">
                  <c:v>21.0029</c:v>
                </c:pt>
                <c:pt idx="53">
                  <c:v>21.5029</c:v>
                </c:pt>
                <c:pt idx="54">
                  <c:v>22.0029</c:v>
                </c:pt>
                <c:pt idx="55">
                  <c:v>22.502300000000002</c:v>
                </c:pt>
                <c:pt idx="56">
                  <c:v>23.0032</c:v>
                </c:pt>
                <c:pt idx="57">
                  <c:v>23.502700000000001</c:v>
                </c:pt>
                <c:pt idx="58">
                  <c:v>24.0029</c:v>
                </c:pt>
                <c:pt idx="59">
                  <c:v>24.502399999999998</c:v>
                </c:pt>
                <c:pt idx="60">
                  <c:v>25.003000000000004</c:v>
                </c:pt>
                <c:pt idx="61">
                  <c:v>25.502399999999998</c:v>
                </c:pt>
                <c:pt idx="62">
                  <c:v>26.003200000000003</c:v>
                </c:pt>
                <c:pt idx="63">
                  <c:v>26.502799999999997</c:v>
                </c:pt>
                <c:pt idx="64">
                  <c:v>27.002700000000001</c:v>
                </c:pt>
                <c:pt idx="65">
                  <c:v>27.502700000000001</c:v>
                </c:pt>
                <c:pt idx="66">
                  <c:v>28.002700000000001</c:v>
                </c:pt>
                <c:pt idx="67">
                  <c:v>28.502700000000001</c:v>
                </c:pt>
                <c:pt idx="68">
                  <c:v>29.002799999999997</c:v>
                </c:pt>
                <c:pt idx="69">
                  <c:v>29.502799999999997</c:v>
                </c:pt>
                <c:pt idx="70">
                  <c:v>30.002799999999997</c:v>
                </c:pt>
                <c:pt idx="71">
                  <c:v>30.502799999999997</c:v>
                </c:pt>
                <c:pt idx="72">
                  <c:v>31.0029</c:v>
                </c:pt>
                <c:pt idx="73">
                  <c:v>31.5029</c:v>
                </c:pt>
                <c:pt idx="74">
                  <c:v>32.002899999999997</c:v>
                </c:pt>
              </c:numCache>
            </c:numRef>
          </c:xVal>
          <c:yVal>
            <c:numRef>
              <c:f>[1]WS_500kDa_4!$R$2:$R$101</c:f>
              <c:numCache>
                <c:formatCode>General</c:formatCode>
                <c:ptCount val="100"/>
                <c:pt idx="0">
                  <c:v>3.2230481411975567</c:v>
                </c:pt>
                <c:pt idx="1">
                  <c:v>3.4074128349554611</c:v>
                </c:pt>
                <c:pt idx="2">
                  <c:v>3.1579965592603076</c:v>
                </c:pt>
                <c:pt idx="3">
                  <c:v>3.1869153751706705</c:v>
                </c:pt>
                <c:pt idx="4">
                  <c:v>3.1122678427295289</c:v>
                </c:pt>
                <c:pt idx="5">
                  <c:v>3.0855169335726944</c:v>
                </c:pt>
                <c:pt idx="6">
                  <c:v>3.1446946308391954</c:v>
                </c:pt>
                <c:pt idx="7">
                  <c:v>3.1213455608536869</c:v>
                </c:pt>
                <c:pt idx="8">
                  <c:v>3.096223182115585</c:v>
                </c:pt>
                <c:pt idx="9">
                  <c:v>2.9987772365337895</c:v>
                </c:pt>
                <c:pt idx="10">
                  <c:v>0</c:v>
                </c:pt>
                <c:pt idx="11">
                  <c:v>0.37921896547750866</c:v>
                </c:pt>
                <c:pt idx="12">
                  <c:v>0.49496758173210093</c:v>
                </c:pt>
                <c:pt idx="13">
                  <c:v>0.55681291930527077</c:v>
                </c:pt>
                <c:pt idx="14">
                  <c:v>0.68395446887250388</c:v>
                </c:pt>
                <c:pt idx="15">
                  <c:v>0.73800783100197909</c:v>
                </c:pt>
                <c:pt idx="16">
                  <c:v>0.72982026932360045</c:v>
                </c:pt>
                <c:pt idx="17">
                  <c:v>0.79255387671633803</c:v>
                </c:pt>
                <c:pt idx="18">
                  <c:v>0.77149623448546389</c:v>
                </c:pt>
                <c:pt idx="19">
                  <c:v>0.83259193504879658</c:v>
                </c:pt>
                <c:pt idx="20">
                  <c:v>0.94511294116173838</c:v>
                </c:pt>
                <c:pt idx="21">
                  <c:v>0.90380500962605126</c:v>
                </c:pt>
                <c:pt idx="22">
                  <c:v>0.93546103046247853</c:v>
                </c:pt>
                <c:pt idx="23">
                  <c:v>0.924927991842588</c:v>
                </c:pt>
                <c:pt idx="24">
                  <c:v>0.92660531359921394</c:v>
                </c:pt>
                <c:pt idx="25">
                  <c:v>0.96331825272614435</c:v>
                </c:pt>
                <c:pt idx="26">
                  <c:v>0.90752724652269323</c:v>
                </c:pt>
                <c:pt idx="27">
                  <c:v>0.94121281301451931</c:v>
                </c:pt>
                <c:pt idx="28">
                  <c:v>0.99025780523674467</c:v>
                </c:pt>
                <c:pt idx="29">
                  <c:v>0.91457926955308155</c:v>
                </c:pt>
                <c:pt idx="30">
                  <c:v>0.86773617612190268</c:v>
                </c:pt>
                <c:pt idx="31">
                  <c:v>0.92428728963826845</c:v>
                </c:pt>
                <c:pt idx="32">
                  <c:v>0.98848072080265637</c:v>
                </c:pt>
                <c:pt idx="33">
                  <c:v>0.99407338113483645</c:v>
                </c:pt>
                <c:pt idx="34">
                  <c:v>0.89821534989705565</c:v>
                </c:pt>
                <c:pt idx="35">
                  <c:v>1.0216406774696274</c:v>
                </c:pt>
                <c:pt idx="36">
                  <c:v>0.99615454869160636</c:v>
                </c:pt>
                <c:pt idx="37">
                  <c:v>0.9302258252144201</c:v>
                </c:pt>
                <c:pt idx="38">
                  <c:v>0.90933976803666228</c:v>
                </c:pt>
                <c:pt idx="39">
                  <c:v>0.94173144599912562</c:v>
                </c:pt>
                <c:pt idx="40">
                  <c:v>0.91175957303822619</c:v>
                </c:pt>
                <c:pt idx="41">
                  <c:v>0.90964727475074136</c:v>
                </c:pt>
                <c:pt idx="42">
                  <c:v>0.94115713106955068</c:v>
                </c:pt>
                <c:pt idx="43">
                  <c:v>0.92675564729027726</c:v>
                </c:pt>
                <c:pt idx="44">
                  <c:v>1.0254383601855424</c:v>
                </c:pt>
                <c:pt idx="45">
                  <c:v>1.0167402351755299</c:v>
                </c:pt>
                <c:pt idx="46">
                  <c:v>0.92054903271991806</c:v>
                </c:pt>
                <c:pt idx="47">
                  <c:v>0.93454235066179314</c:v>
                </c:pt>
                <c:pt idx="48">
                  <c:v>0.95957788005868649</c:v>
                </c:pt>
                <c:pt idx="49">
                  <c:v>0.98647232178595667</c:v>
                </c:pt>
                <c:pt idx="50">
                  <c:v>1.0155304654770891</c:v>
                </c:pt>
                <c:pt idx="51">
                  <c:v>0.9950339531639355</c:v>
                </c:pt>
                <c:pt idx="52">
                  <c:v>0.97205301949417533</c:v>
                </c:pt>
                <c:pt idx="53">
                  <c:v>0.9893234909405012</c:v>
                </c:pt>
                <c:pt idx="54">
                  <c:v>0.97449864900817129</c:v>
                </c:pt>
                <c:pt idx="55">
                  <c:v>0.92922688750095694</c:v>
                </c:pt>
                <c:pt idx="56">
                  <c:v>0.92639588842962339</c:v>
                </c:pt>
                <c:pt idx="57">
                  <c:v>0.97967230231209701</c:v>
                </c:pt>
                <c:pt idx="58">
                  <c:v>1.0198295753939908</c:v>
                </c:pt>
                <c:pt idx="59">
                  <c:v>1.0477480540444553</c:v>
                </c:pt>
                <c:pt idx="60">
                  <c:v>0.9819093832303798</c:v>
                </c:pt>
                <c:pt idx="61">
                  <c:v>0.94768969305494688</c:v>
                </c:pt>
                <c:pt idx="62">
                  <c:v>0.94184920408671435</c:v>
                </c:pt>
                <c:pt idx="63">
                  <c:v>0.95786124552774876</c:v>
                </c:pt>
                <c:pt idx="64">
                  <c:v>0.97354561821541541</c:v>
                </c:pt>
                <c:pt idx="65">
                  <c:v>0.97310965488306</c:v>
                </c:pt>
                <c:pt idx="66">
                  <c:v>1.0419790343604318</c:v>
                </c:pt>
                <c:pt idx="67">
                  <c:v>0.98723344104472177</c:v>
                </c:pt>
                <c:pt idx="68">
                  <c:v>1.0668771421994006</c:v>
                </c:pt>
                <c:pt idx="69">
                  <c:v>1.0847270230496571</c:v>
                </c:pt>
                <c:pt idx="70">
                  <c:v>0.97047245394940285</c:v>
                </c:pt>
                <c:pt idx="71">
                  <c:v>0.91378617165900455</c:v>
                </c:pt>
                <c:pt idx="72">
                  <c:v>1.0254038387696023</c:v>
                </c:pt>
                <c:pt idx="73">
                  <c:v>0.99638107700655065</c:v>
                </c:pt>
                <c:pt idx="74">
                  <c:v>0.96648454486275426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85-44C0-8F5A-FD9D4F53D6F2}"/>
            </c:ext>
          </c:extLst>
        </c:ser>
        <c:ser>
          <c:idx val="1"/>
          <c:order val="1"/>
          <c:tx>
            <c:strRef>
              <c:f>[1]WS_500kDa_4!$S$1</c:f>
              <c:strCache>
                <c:ptCount val="1"/>
                <c:pt idx="0">
                  <c:v>R(t) Region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[1]WS_500kDa_4!$B$2:$B$101</c:f>
              <c:numCache>
                <c:formatCode>General</c:formatCode>
                <c:ptCount val="100"/>
                <c:pt idx="0">
                  <c:v>-7.5107999999999997</c:v>
                </c:pt>
                <c:pt idx="1">
                  <c:v>-7.0076999999999998</c:v>
                </c:pt>
                <c:pt idx="2">
                  <c:v>-6.5080999999999998</c:v>
                </c:pt>
                <c:pt idx="3">
                  <c:v>-6.0078999999999994</c:v>
                </c:pt>
                <c:pt idx="4">
                  <c:v>-5.5079999999999991</c:v>
                </c:pt>
                <c:pt idx="5">
                  <c:v>-5.0077999999999996</c:v>
                </c:pt>
                <c:pt idx="6">
                  <c:v>-4.5079999999999991</c:v>
                </c:pt>
                <c:pt idx="7">
                  <c:v>-4.0077999999999996</c:v>
                </c:pt>
                <c:pt idx="8">
                  <c:v>-3.5081999999999995</c:v>
                </c:pt>
                <c:pt idx="9">
                  <c:v>-3.008</c:v>
                </c:pt>
                <c:pt idx="10">
                  <c:v>0</c:v>
                </c:pt>
                <c:pt idx="11">
                  <c:v>0.50260000000000105</c:v>
                </c:pt>
                <c:pt idx="12">
                  <c:v>1.0031999999999996</c:v>
                </c:pt>
                <c:pt idx="13">
                  <c:v>1.502600000000001</c:v>
                </c:pt>
                <c:pt idx="14">
                  <c:v>2.0028000000000006</c:v>
                </c:pt>
                <c:pt idx="15">
                  <c:v>2.5023999999999997</c:v>
                </c:pt>
                <c:pt idx="16">
                  <c:v>3.0031999999999996</c:v>
                </c:pt>
                <c:pt idx="17">
                  <c:v>3.502600000000001</c:v>
                </c:pt>
                <c:pt idx="18">
                  <c:v>4.002600000000001</c:v>
                </c:pt>
                <c:pt idx="19">
                  <c:v>4.5027000000000008</c:v>
                </c:pt>
                <c:pt idx="20">
                  <c:v>5.0027000000000008</c:v>
                </c:pt>
                <c:pt idx="21">
                  <c:v>5.5027000000000008</c:v>
                </c:pt>
                <c:pt idx="22">
                  <c:v>6.0029000000000003</c:v>
                </c:pt>
                <c:pt idx="23">
                  <c:v>6.5024999999999995</c:v>
                </c:pt>
                <c:pt idx="24">
                  <c:v>7.0027000000000008</c:v>
                </c:pt>
                <c:pt idx="25">
                  <c:v>7.5027000000000008</c:v>
                </c:pt>
                <c:pt idx="26">
                  <c:v>8.0028000000000006</c:v>
                </c:pt>
                <c:pt idx="27">
                  <c:v>8.5028000000000006</c:v>
                </c:pt>
                <c:pt idx="28">
                  <c:v>9.0028000000000006</c:v>
                </c:pt>
                <c:pt idx="29">
                  <c:v>9.5028000000000006</c:v>
                </c:pt>
                <c:pt idx="30">
                  <c:v>10.003</c:v>
                </c:pt>
                <c:pt idx="31">
                  <c:v>10.502500000000001</c:v>
                </c:pt>
                <c:pt idx="32">
                  <c:v>11.0031</c:v>
                </c:pt>
                <c:pt idx="33">
                  <c:v>11.502500000000001</c:v>
                </c:pt>
                <c:pt idx="34">
                  <c:v>12.002700000000001</c:v>
                </c:pt>
                <c:pt idx="35">
                  <c:v>12.5029</c:v>
                </c:pt>
                <c:pt idx="36">
                  <c:v>13.0029</c:v>
                </c:pt>
                <c:pt idx="37">
                  <c:v>13.502300000000002</c:v>
                </c:pt>
                <c:pt idx="38">
                  <c:v>14.002800000000001</c:v>
                </c:pt>
                <c:pt idx="39">
                  <c:v>14.502800000000001</c:v>
                </c:pt>
                <c:pt idx="40">
                  <c:v>15.0029</c:v>
                </c:pt>
                <c:pt idx="41">
                  <c:v>15.5029</c:v>
                </c:pt>
                <c:pt idx="42">
                  <c:v>16.0031</c:v>
                </c:pt>
                <c:pt idx="43">
                  <c:v>16.502700000000001</c:v>
                </c:pt>
                <c:pt idx="44">
                  <c:v>17.0031</c:v>
                </c:pt>
                <c:pt idx="45">
                  <c:v>17.502500000000001</c:v>
                </c:pt>
                <c:pt idx="46">
                  <c:v>18.0032</c:v>
                </c:pt>
                <c:pt idx="47">
                  <c:v>18.502600000000001</c:v>
                </c:pt>
                <c:pt idx="48">
                  <c:v>19.002800000000001</c:v>
                </c:pt>
                <c:pt idx="49">
                  <c:v>19.502600000000001</c:v>
                </c:pt>
                <c:pt idx="50">
                  <c:v>20.002800000000001</c:v>
                </c:pt>
                <c:pt idx="51">
                  <c:v>20.502400000000002</c:v>
                </c:pt>
                <c:pt idx="52">
                  <c:v>21.0029</c:v>
                </c:pt>
                <c:pt idx="53">
                  <c:v>21.5029</c:v>
                </c:pt>
                <c:pt idx="54">
                  <c:v>22.0029</c:v>
                </c:pt>
                <c:pt idx="55">
                  <c:v>22.502300000000002</c:v>
                </c:pt>
                <c:pt idx="56">
                  <c:v>23.0032</c:v>
                </c:pt>
                <c:pt idx="57">
                  <c:v>23.502700000000001</c:v>
                </c:pt>
                <c:pt idx="58">
                  <c:v>24.0029</c:v>
                </c:pt>
                <c:pt idx="59">
                  <c:v>24.502399999999998</c:v>
                </c:pt>
                <c:pt idx="60">
                  <c:v>25.003000000000004</c:v>
                </c:pt>
                <c:pt idx="61">
                  <c:v>25.502399999999998</c:v>
                </c:pt>
                <c:pt idx="62">
                  <c:v>26.003200000000003</c:v>
                </c:pt>
                <c:pt idx="63">
                  <c:v>26.502799999999997</c:v>
                </c:pt>
                <c:pt idx="64">
                  <c:v>27.002700000000001</c:v>
                </c:pt>
                <c:pt idx="65">
                  <c:v>27.502700000000001</c:v>
                </c:pt>
                <c:pt idx="66">
                  <c:v>28.002700000000001</c:v>
                </c:pt>
                <c:pt idx="67">
                  <c:v>28.502700000000001</c:v>
                </c:pt>
                <c:pt idx="68">
                  <c:v>29.002799999999997</c:v>
                </c:pt>
                <c:pt idx="69">
                  <c:v>29.502799999999997</c:v>
                </c:pt>
                <c:pt idx="70">
                  <c:v>30.002799999999997</c:v>
                </c:pt>
                <c:pt idx="71">
                  <c:v>30.502799999999997</c:v>
                </c:pt>
                <c:pt idx="72">
                  <c:v>31.0029</c:v>
                </c:pt>
                <c:pt idx="73">
                  <c:v>31.5029</c:v>
                </c:pt>
                <c:pt idx="74">
                  <c:v>32.002899999999997</c:v>
                </c:pt>
              </c:numCache>
            </c:numRef>
          </c:xVal>
          <c:yVal>
            <c:numRef>
              <c:f>[1]WS_500kDa_4!$S$2:$S$101</c:f>
              <c:numCache>
                <c:formatCode>General</c:formatCode>
                <c:ptCount val="100"/>
                <c:pt idx="0">
                  <c:v>1.5119455735882419</c:v>
                </c:pt>
                <c:pt idx="1">
                  <c:v>1.5573854859735903</c:v>
                </c:pt>
                <c:pt idx="2">
                  <c:v>1.5946917643676402</c:v>
                </c:pt>
                <c:pt idx="3">
                  <c:v>1.5678757468039839</c:v>
                </c:pt>
                <c:pt idx="4">
                  <c:v>1.6072779456127078</c:v>
                </c:pt>
                <c:pt idx="5">
                  <c:v>1.5679339092977065</c:v>
                </c:pt>
                <c:pt idx="6">
                  <c:v>1.6308008418697002</c:v>
                </c:pt>
                <c:pt idx="7">
                  <c:v>1.595558936010546</c:v>
                </c:pt>
                <c:pt idx="8">
                  <c:v>1.717390324130269</c:v>
                </c:pt>
                <c:pt idx="9">
                  <c:v>1.5252468824023471</c:v>
                </c:pt>
                <c:pt idx="10">
                  <c:v>0</c:v>
                </c:pt>
                <c:pt idx="11">
                  <c:v>0.24487477244589873</c:v>
                </c:pt>
                <c:pt idx="12">
                  <c:v>0.333593554721551</c:v>
                </c:pt>
                <c:pt idx="13">
                  <c:v>0.31207437469070098</c:v>
                </c:pt>
                <c:pt idx="14">
                  <c:v>0.48101079528568308</c:v>
                </c:pt>
                <c:pt idx="15">
                  <c:v>0.51756882158506423</c:v>
                </c:pt>
                <c:pt idx="16">
                  <c:v>0.47798512907498791</c:v>
                </c:pt>
                <c:pt idx="17">
                  <c:v>0.56153642333579812</c:v>
                </c:pt>
                <c:pt idx="18">
                  <c:v>0.5362717694839354</c:v>
                </c:pt>
                <c:pt idx="19">
                  <c:v>0.5949997105731315</c:v>
                </c:pt>
                <c:pt idx="20">
                  <c:v>0.66857034173868191</c:v>
                </c:pt>
                <c:pt idx="21">
                  <c:v>0.64034090262905952</c:v>
                </c:pt>
                <c:pt idx="22">
                  <c:v>0.66896529440369168</c:v>
                </c:pt>
                <c:pt idx="23">
                  <c:v>0.62772651350623676</c:v>
                </c:pt>
                <c:pt idx="24">
                  <c:v>0.68681949394797348</c:v>
                </c:pt>
                <c:pt idx="25">
                  <c:v>0.68554952895005106</c:v>
                </c:pt>
                <c:pt idx="26">
                  <c:v>0.66969553366078993</c:v>
                </c:pt>
                <c:pt idx="27">
                  <c:v>0.72962772278386157</c:v>
                </c:pt>
                <c:pt idx="28">
                  <c:v>0.68637478184625023</c:v>
                </c:pt>
                <c:pt idx="29">
                  <c:v>0.73824693557337495</c:v>
                </c:pt>
                <c:pt idx="30">
                  <c:v>0.7100520116338187</c:v>
                </c:pt>
                <c:pt idx="31">
                  <c:v>0.74101214950465244</c:v>
                </c:pt>
                <c:pt idx="32">
                  <c:v>0.84132112585201879</c:v>
                </c:pt>
                <c:pt idx="33">
                  <c:v>0.79292741124769262</c:v>
                </c:pt>
                <c:pt idx="34">
                  <c:v>0.83791825211788928</c:v>
                </c:pt>
                <c:pt idx="35">
                  <c:v>0.88748526757025026</c:v>
                </c:pt>
                <c:pt idx="36">
                  <c:v>0.83014367593970662</c:v>
                </c:pt>
                <c:pt idx="37">
                  <c:v>0.86960334713500975</c:v>
                </c:pt>
                <c:pt idx="38">
                  <c:v>0.85103305021647424</c:v>
                </c:pt>
                <c:pt idx="39">
                  <c:v>0.79462294707013537</c:v>
                </c:pt>
                <c:pt idx="40">
                  <c:v>0.84868631520515003</c:v>
                </c:pt>
                <c:pt idx="41">
                  <c:v>0.82748508788453634</c:v>
                </c:pt>
                <c:pt idx="42">
                  <c:v>0.82136653241012514</c:v>
                </c:pt>
                <c:pt idx="43">
                  <c:v>0.84758620400450058</c:v>
                </c:pt>
                <c:pt idx="44">
                  <c:v>0.96289149831236609</c:v>
                </c:pt>
                <c:pt idx="45">
                  <c:v>0.96882037390557585</c:v>
                </c:pt>
                <c:pt idx="46">
                  <c:v>0.86844812042935282</c:v>
                </c:pt>
                <c:pt idx="47">
                  <c:v>0.87056072975478094</c:v>
                </c:pt>
                <c:pt idx="48">
                  <c:v>0.90451270181786181</c:v>
                </c:pt>
                <c:pt idx="49">
                  <c:v>0.91557566494349729</c:v>
                </c:pt>
                <c:pt idx="50">
                  <c:v>0.91727870204395734</c:v>
                </c:pt>
                <c:pt idx="51">
                  <c:v>0.93687190451876934</c:v>
                </c:pt>
                <c:pt idx="52">
                  <c:v>0.93495331541252613</c:v>
                </c:pt>
                <c:pt idx="53">
                  <c:v>0.94619775847663501</c:v>
                </c:pt>
                <c:pt idx="54">
                  <c:v>0.87115116634169698</c:v>
                </c:pt>
                <c:pt idx="55">
                  <c:v>0.91712775760726528</c:v>
                </c:pt>
                <c:pt idx="56">
                  <c:v>0.93992169935298719</c:v>
                </c:pt>
                <c:pt idx="57">
                  <c:v>0.89987100812643328</c:v>
                </c:pt>
                <c:pt idx="58">
                  <c:v>0.95623997758782908</c:v>
                </c:pt>
                <c:pt idx="59">
                  <c:v>0.90340193122843204</c:v>
                </c:pt>
                <c:pt idx="60">
                  <c:v>0.97423115674252503</c:v>
                </c:pt>
                <c:pt idx="61">
                  <c:v>0.9011824517595598</c:v>
                </c:pt>
                <c:pt idx="62">
                  <c:v>0.86355943247814138</c:v>
                </c:pt>
                <c:pt idx="63">
                  <c:v>0.85131118579709897</c:v>
                </c:pt>
                <c:pt idx="64">
                  <c:v>0.9424780396316339</c:v>
                </c:pt>
                <c:pt idx="65">
                  <c:v>0.97264514757375287</c:v>
                </c:pt>
                <c:pt idx="66">
                  <c:v>0.93481233100271233</c:v>
                </c:pt>
                <c:pt idx="67">
                  <c:v>0.9638019610929216</c:v>
                </c:pt>
                <c:pt idx="68">
                  <c:v>1.0718406823893118</c:v>
                </c:pt>
                <c:pt idx="69">
                  <c:v>1.1354602160256417</c:v>
                </c:pt>
                <c:pt idx="70">
                  <c:v>0.93847748552804644</c:v>
                </c:pt>
                <c:pt idx="71">
                  <c:v>0.94752738637402056</c:v>
                </c:pt>
                <c:pt idx="72">
                  <c:v>1.0024812254250923</c:v>
                </c:pt>
                <c:pt idx="73">
                  <c:v>1.0640756595398835</c:v>
                </c:pt>
                <c:pt idx="74">
                  <c:v>1.0263998654169824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85-44C0-8F5A-FD9D4F53D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652216"/>
        <c:axId val="517656808"/>
      </c:scatterChart>
      <c:valAx>
        <c:axId val="517652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656808"/>
        <c:crosses val="autoZero"/>
        <c:crossBetween val="midCat"/>
      </c:valAx>
      <c:valAx>
        <c:axId val="517656808"/>
        <c:scaling>
          <c:orientation val="minMax"/>
          <c:max val="2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652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[2]FS_250kDa_4!$R$1</c:f>
              <c:strCache>
                <c:ptCount val="1"/>
                <c:pt idx="0">
                  <c:v>R(t) Region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[2]FS_250kDa_4!$B$2:$B$76</c:f>
              <c:numCache>
                <c:formatCode>General</c:formatCode>
                <c:ptCount val="75"/>
                <c:pt idx="0">
                  <c:v>-7.5107999999999997</c:v>
                </c:pt>
                <c:pt idx="1">
                  <c:v>-7.0076999999999998</c:v>
                </c:pt>
                <c:pt idx="2">
                  <c:v>-6.5080999999999998</c:v>
                </c:pt>
                <c:pt idx="3">
                  <c:v>-6.0078999999999994</c:v>
                </c:pt>
                <c:pt idx="4">
                  <c:v>-5.5079999999999991</c:v>
                </c:pt>
                <c:pt idx="5">
                  <c:v>-5.0077999999999996</c:v>
                </c:pt>
                <c:pt idx="6">
                  <c:v>-4.5079999999999991</c:v>
                </c:pt>
                <c:pt idx="7">
                  <c:v>-4.0077999999999996</c:v>
                </c:pt>
                <c:pt idx="8">
                  <c:v>-3.5081999999999995</c:v>
                </c:pt>
                <c:pt idx="9">
                  <c:v>-3.008</c:v>
                </c:pt>
                <c:pt idx="10">
                  <c:v>0</c:v>
                </c:pt>
                <c:pt idx="11">
                  <c:v>0.50260000000000105</c:v>
                </c:pt>
                <c:pt idx="12">
                  <c:v>1.0031999999999996</c:v>
                </c:pt>
                <c:pt idx="13">
                  <c:v>1.502600000000001</c:v>
                </c:pt>
                <c:pt idx="14">
                  <c:v>2.0028000000000006</c:v>
                </c:pt>
                <c:pt idx="15">
                  <c:v>2.5023999999999997</c:v>
                </c:pt>
                <c:pt idx="16">
                  <c:v>3.0031999999999996</c:v>
                </c:pt>
                <c:pt idx="17">
                  <c:v>3.502600000000001</c:v>
                </c:pt>
                <c:pt idx="18">
                  <c:v>4.002600000000001</c:v>
                </c:pt>
                <c:pt idx="19">
                  <c:v>4.5027000000000008</c:v>
                </c:pt>
                <c:pt idx="20">
                  <c:v>5.0027000000000008</c:v>
                </c:pt>
                <c:pt idx="21">
                  <c:v>5.5027000000000008</c:v>
                </c:pt>
                <c:pt idx="22">
                  <c:v>6.0029000000000003</c:v>
                </c:pt>
                <c:pt idx="23">
                  <c:v>6.5024999999999995</c:v>
                </c:pt>
                <c:pt idx="24">
                  <c:v>7.0027000000000008</c:v>
                </c:pt>
                <c:pt idx="25">
                  <c:v>7.5027000000000008</c:v>
                </c:pt>
                <c:pt idx="26">
                  <c:v>8.0028000000000006</c:v>
                </c:pt>
                <c:pt idx="27">
                  <c:v>8.5028000000000006</c:v>
                </c:pt>
                <c:pt idx="28">
                  <c:v>9.0028000000000006</c:v>
                </c:pt>
                <c:pt idx="29">
                  <c:v>9.5028000000000006</c:v>
                </c:pt>
                <c:pt idx="30">
                  <c:v>10.003</c:v>
                </c:pt>
                <c:pt idx="31">
                  <c:v>10.502500000000001</c:v>
                </c:pt>
                <c:pt idx="32">
                  <c:v>11.0031</c:v>
                </c:pt>
                <c:pt idx="33">
                  <c:v>11.502500000000001</c:v>
                </c:pt>
                <c:pt idx="34">
                  <c:v>12.002700000000001</c:v>
                </c:pt>
                <c:pt idx="35">
                  <c:v>12.5029</c:v>
                </c:pt>
                <c:pt idx="36">
                  <c:v>13.0029</c:v>
                </c:pt>
                <c:pt idx="37">
                  <c:v>13.502300000000002</c:v>
                </c:pt>
                <c:pt idx="38">
                  <c:v>14.002800000000001</c:v>
                </c:pt>
                <c:pt idx="39">
                  <c:v>14.502800000000001</c:v>
                </c:pt>
                <c:pt idx="40">
                  <c:v>15.0029</c:v>
                </c:pt>
                <c:pt idx="41">
                  <c:v>15.5029</c:v>
                </c:pt>
                <c:pt idx="42">
                  <c:v>16.0031</c:v>
                </c:pt>
                <c:pt idx="43">
                  <c:v>16.502700000000001</c:v>
                </c:pt>
                <c:pt idx="44">
                  <c:v>17.0031</c:v>
                </c:pt>
                <c:pt idx="45">
                  <c:v>17.502500000000001</c:v>
                </c:pt>
                <c:pt idx="46">
                  <c:v>18.0032</c:v>
                </c:pt>
                <c:pt idx="47">
                  <c:v>18.502600000000001</c:v>
                </c:pt>
                <c:pt idx="48">
                  <c:v>19.002800000000001</c:v>
                </c:pt>
                <c:pt idx="49">
                  <c:v>19.502600000000001</c:v>
                </c:pt>
                <c:pt idx="50">
                  <c:v>20.002800000000001</c:v>
                </c:pt>
                <c:pt idx="51">
                  <c:v>20.502400000000002</c:v>
                </c:pt>
                <c:pt idx="52">
                  <c:v>21.0029</c:v>
                </c:pt>
                <c:pt idx="53">
                  <c:v>21.5029</c:v>
                </c:pt>
                <c:pt idx="54">
                  <c:v>22.0029</c:v>
                </c:pt>
                <c:pt idx="55">
                  <c:v>22.502300000000002</c:v>
                </c:pt>
                <c:pt idx="56">
                  <c:v>23.0032</c:v>
                </c:pt>
                <c:pt idx="57">
                  <c:v>23.502700000000001</c:v>
                </c:pt>
                <c:pt idx="58">
                  <c:v>24.0029</c:v>
                </c:pt>
                <c:pt idx="59">
                  <c:v>24.502399999999998</c:v>
                </c:pt>
                <c:pt idx="60">
                  <c:v>25.003000000000004</c:v>
                </c:pt>
                <c:pt idx="61">
                  <c:v>25.502399999999998</c:v>
                </c:pt>
                <c:pt idx="62">
                  <c:v>26.003200000000003</c:v>
                </c:pt>
                <c:pt idx="63">
                  <c:v>26.502799999999997</c:v>
                </c:pt>
                <c:pt idx="64">
                  <c:v>27.002700000000001</c:v>
                </c:pt>
                <c:pt idx="65">
                  <c:v>27.502700000000001</c:v>
                </c:pt>
                <c:pt idx="66">
                  <c:v>28.002700000000001</c:v>
                </c:pt>
                <c:pt idx="67">
                  <c:v>28.502700000000001</c:v>
                </c:pt>
                <c:pt idx="68">
                  <c:v>29.002799999999997</c:v>
                </c:pt>
                <c:pt idx="69">
                  <c:v>29.502799999999997</c:v>
                </c:pt>
                <c:pt idx="70">
                  <c:v>30.002799999999997</c:v>
                </c:pt>
                <c:pt idx="71">
                  <c:v>30.502799999999997</c:v>
                </c:pt>
                <c:pt idx="72">
                  <c:v>31.0029</c:v>
                </c:pt>
                <c:pt idx="73">
                  <c:v>31.5029</c:v>
                </c:pt>
                <c:pt idx="74">
                  <c:v>32.002899999999997</c:v>
                </c:pt>
              </c:numCache>
            </c:numRef>
          </c:xVal>
          <c:yVal>
            <c:numRef>
              <c:f>[2]FS_250kDa_4!$R$2:$R$76</c:f>
              <c:numCache>
                <c:formatCode>General</c:formatCode>
                <c:ptCount val="75"/>
                <c:pt idx="0">
                  <c:v>3.2557079575848409</c:v>
                </c:pt>
                <c:pt idx="1">
                  <c:v>3.4419408570854597</c:v>
                </c:pt>
                <c:pt idx="2">
                  <c:v>3.1899971944536727</c:v>
                </c:pt>
                <c:pt idx="3">
                  <c:v>3.2192090507333981</c:v>
                </c:pt>
                <c:pt idx="4">
                  <c:v>3.1438050993383699</c:v>
                </c:pt>
                <c:pt idx="5">
                  <c:v>3.1167831176616785</c:v>
                </c:pt>
                <c:pt idx="6">
                  <c:v>3.1765604748284586</c:v>
                </c:pt>
                <c:pt idx="7">
                  <c:v>3.1529748038661314</c:v>
                </c:pt>
                <c:pt idx="8">
                  <c:v>3.127597854845225</c:v>
                </c:pt>
                <c:pt idx="9">
                  <c:v>3.0291644692529291</c:v>
                </c:pt>
                <c:pt idx="10">
                  <c:v>0</c:v>
                </c:pt>
                <c:pt idx="11">
                  <c:v>0.27743117061706296</c:v>
                </c:pt>
                <c:pt idx="12">
                  <c:v>0.38640428254148512</c:v>
                </c:pt>
                <c:pt idx="13">
                  <c:v>0.42663480452154984</c:v>
                </c:pt>
                <c:pt idx="14">
                  <c:v>0.45643866912944586</c:v>
                </c:pt>
                <c:pt idx="15">
                  <c:v>0.48919092900358369</c:v>
                </c:pt>
                <c:pt idx="16">
                  <c:v>0.50002006190857862</c:v>
                </c:pt>
                <c:pt idx="17">
                  <c:v>0.61953855125537016</c:v>
                </c:pt>
                <c:pt idx="18">
                  <c:v>0.64975571210659255</c:v>
                </c:pt>
                <c:pt idx="19">
                  <c:v>0.64108052419671568</c:v>
                </c:pt>
                <c:pt idx="20">
                  <c:v>0.71500017527354398</c:v>
                </c:pt>
                <c:pt idx="21">
                  <c:v>0.70727325321454126</c:v>
                </c:pt>
                <c:pt idx="22">
                  <c:v>0.79821006764727875</c:v>
                </c:pt>
                <c:pt idx="23">
                  <c:v>0.91901434072175636</c:v>
                </c:pt>
                <c:pt idx="24">
                  <c:v>0.93599479773964867</c:v>
                </c:pt>
                <c:pt idx="25">
                  <c:v>0.97307975670568625</c:v>
                </c:pt>
                <c:pt idx="26">
                  <c:v>0.91672340864606616</c:v>
                </c:pt>
                <c:pt idx="27">
                  <c:v>0.95075031798116605</c:v>
                </c:pt>
                <c:pt idx="28">
                  <c:v>1.0002922932984371</c:v>
                </c:pt>
                <c:pt idx="29">
                  <c:v>0.92384689129084485</c:v>
                </c:pt>
                <c:pt idx="30">
                  <c:v>0.87652912706250363</c:v>
                </c:pt>
                <c:pt idx="31">
                  <c:v>0.9336532847603487</c:v>
                </c:pt>
                <c:pt idx="32">
                  <c:v>0.99849720129859754</c:v>
                </c:pt>
                <c:pt idx="33">
                  <c:v>1.0041465332197717</c:v>
                </c:pt>
                <c:pt idx="34">
                  <c:v>0.90731715263741997</c:v>
                </c:pt>
                <c:pt idx="35">
                  <c:v>1.0319931746952944</c:v>
                </c:pt>
                <c:pt idx="36">
                  <c:v>1.0062487896797465</c:v>
                </c:pt>
                <c:pt idx="37">
                  <c:v>0.93965199675119537</c:v>
                </c:pt>
                <c:pt idx="38">
                  <c:v>0.91855429681707879</c:v>
                </c:pt>
                <c:pt idx="39">
                  <c:v>0.9512742063815488</c:v>
                </c:pt>
                <c:pt idx="40">
                  <c:v>0.92099862220542617</c:v>
                </c:pt>
                <c:pt idx="41">
                  <c:v>0.9188649195605747</c:v>
                </c:pt>
                <c:pt idx="42">
                  <c:v>0.9506940717994814</c:v>
                </c:pt>
                <c:pt idx="43">
                  <c:v>0.93614665479323456</c:v>
                </c:pt>
                <c:pt idx="44">
                  <c:v>1.0358293401191196</c:v>
                </c:pt>
                <c:pt idx="45">
                  <c:v>1.0270430752013877</c:v>
                </c:pt>
                <c:pt idx="46">
                  <c:v>0.92987714730804005</c:v>
                </c:pt>
                <c:pt idx="47">
                  <c:v>0.94401226244766379</c:v>
                </c:pt>
                <c:pt idx="48">
                  <c:v>0.96930148206494493</c:v>
                </c:pt>
                <c:pt idx="49">
                  <c:v>0.99646845075742663</c:v>
                </c:pt>
                <c:pt idx="50">
                  <c:v>1.0258210466552689</c:v>
                </c:pt>
                <c:pt idx="51">
                  <c:v>1.0051168389247955</c:v>
                </c:pt>
                <c:pt idx="52">
                  <c:v>0.98190303467998286</c:v>
                </c:pt>
                <c:pt idx="53">
                  <c:v>0.99934851140133063</c:v>
                </c:pt>
                <c:pt idx="54">
                  <c:v>0.98437344626591172</c:v>
                </c:pt>
                <c:pt idx="55">
                  <c:v>0.93864293659435727</c:v>
                </c:pt>
                <c:pt idx="56">
                  <c:v>0.9357832504213075</c:v>
                </c:pt>
                <c:pt idx="57">
                  <c:v>0.98959952527356743</c:v>
                </c:pt>
                <c:pt idx="58">
                  <c:v>1.0301637203460776</c:v>
                </c:pt>
                <c:pt idx="59">
                  <c:v>1.0583651027406349</c:v>
                </c:pt>
                <c:pt idx="60">
                  <c:v>0.99185927499753779</c:v>
                </c:pt>
                <c:pt idx="61">
                  <c:v>0.95729282959258355</c:v>
                </c:pt>
                <c:pt idx="62">
                  <c:v>0.95139315773630284</c:v>
                </c:pt>
                <c:pt idx="63">
                  <c:v>0.96756745251968268</c:v>
                </c:pt>
                <c:pt idx="64">
                  <c:v>0.98341075821414536</c:v>
                </c:pt>
                <c:pt idx="65">
                  <c:v>0.98297037717477398</c:v>
                </c:pt>
                <c:pt idx="66">
                  <c:v>1.0525376243816678</c:v>
                </c:pt>
                <c:pt idx="67">
                  <c:v>0.99723728259575961</c:v>
                </c:pt>
                <c:pt idx="68">
                  <c:v>1.0041265662910346</c:v>
                </c:pt>
                <c:pt idx="69">
                  <c:v>1.0578149657534226</c:v>
                </c:pt>
                <c:pt idx="70">
                  <c:v>0.98030645293619045</c:v>
                </c:pt>
                <c:pt idx="71">
                  <c:v>0.92304575677104495</c:v>
                </c:pt>
                <c:pt idx="72">
                  <c:v>1.0357944688905003</c:v>
                </c:pt>
                <c:pt idx="73">
                  <c:v>1.0064776134531663</c:v>
                </c:pt>
                <c:pt idx="74">
                  <c:v>0.97627813353829818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B9-4334-93AD-7066E404B1B1}"/>
            </c:ext>
          </c:extLst>
        </c:ser>
        <c:ser>
          <c:idx val="1"/>
          <c:order val="1"/>
          <c:tx>
            <c:strRef>
              <c:f>[2]FS_250kDa_4!$S$1</c:f>
              <c:strCache>
                <c:ptCount val="1"/>
                <c:pt idx="0">
                  <c:v>R(t) Region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[2]FS_250kDa_4!$B$2:$B$76</c:f>
              <c:numCache>
                <c:formatCode>General</c:formatCode>
                <c:ptCount val="75"/>
                <c:pt idx="0">
                  <c:v>-7.5107999999999997</c:v>
                </c:pt>
                <c:pt idx="1">
                  <c:v>-7.0076999999999998</c:v>
                </c:pt>
                <c:pt idx="2">
                  <c:v>-6.5080999999999998</c:v>
                </c:pt>
                <c:pt idx="3">
                  <c:v>-6.0078999999999994</c:v>
                </c:pt>
                <c:pt idx="4">
                  <c:v>-5.5079999999999991</c:v>
                </c:pt>
                <c:pt idx="5">
                  <c:v>-5.0077999999999996</c:v>
                </c:pt>
                <c:pt idx="6">
                  <c:v>-4.5079999999999991</c:v>
                </c:pt>
                <c:pt idx="7">
                  <c:v>-4.0077999999999996</c:v>
                </c:pt>
                <c:pt idx="8">
                  <c:v>-3.5081999999999995</c:v>
                </c:pt>
                <c:pt idx="9">
                  <c:v>-3.008</c:v>
                </c:pt>
                <c:pt idx="10">
                  <c:v>0</c:v>
                </c:pt>
                <c:pt idx="11">
                  <c:v>0.50260000000000105</c:v>
                </c:pt>
                <c:pt idx="12">
                  <c:v>1.0031999999999996</c:v>
                </c:pt>
                <c:pt idx="13">
                  <c:v>1.502600000000001</c:v>
                </c:pt>
                <c:pt idx="14">
                  <c:v>2.0028000000000006</c:v>
                </c:pt>
                <c:pt idx="15">
                  <c:v>2.5023999999999997</c:v>
                </c:pt>
                <c:pt idx="16">
                  <c:v>3.0031999999999996</c:v>
                </c:pt>
                <c:pt idx="17">
                  <c:v>3.502600000000001</c:v>
                </c:pt>
                <c:pt idx="18">
                  <c:v>4.002600000000001</c:v>
                </c:pt>
                <c:pt idx="19">
                  <c:v>4.5027000000000008</c:v>
                </c:pt>
                <c:pt idx="20">
                  <c:v>5.0027000000000008</c:v>
                </c:pt>
                <c:pt idx="21">
                  <c:v>5.5027000000000008</c:v>
                </c:pt>
                <c:pt idx="22">
                  <c:v>6.0029000000000003</c:v>
                </c:pt>
                <c:pt idx="23">
                  <c:v>6.5024999999999995</c:v>
                </c:pt>
                <c:pt idx="24">
                  <c:v>7.0027000000000008</c:v>
                </c:pt>
                <c:pt idx="25">
                  <c:v>7.5027000000000008</c:v>
                </c:pt>
                <c:pt idx="26">
                  <c:v>8.0028000000000006</c:v>
                </c:pt>
                <c:pt idx="27">
                  <c:v>8.5028000000000006</c:v>
                </c:pt>
                <c:pt idx="28">
                  <c:v>9.0028000000000006</c:v>
                </c:pt>
                <c:pt idx="29">
                  <c:v>9.5028000000000006</c:v>
                </c:pt>
                <c:pt idx="30">
                  <c:v>10.003</c:v>
                </c:pt>
                <c:pt idx="31">
                  <c:v>10.502500000000001</c:v>
                </c:pt>
                <c:pt idx="32">
                  <c:v>11.0031</c:v>
                </c:pt>
                <c:pt idx="33">
                  <c:v>11.502500000000001</c:v>
                </c:pt>
                <c:pt idx="34">
                  <c:v>12.002700000000001</c:v>
                </c:pt>
                <c:pt idx="35">
                  <c:v>12.5029</c:v>
                </c:pt>
                <c:pt idx="36">
                  <c:v>13.0029</c:v>
                </c:pt>
                <c:pt idx="37">
                  <c:v>13.502300000000002</c:v>
                </c:pt>
                <c:pt idx="38">
                  <c:v>14.002800000000001</c:v>
                </c:pt>
                <c:pt idx="39">
                  <c:v>14.502800000000001</c:v>
                </c:pt>
                <c:pt idx="40">
                  <c:v>15.0029</c:v>
                </c:pt>
                <c:pt idx="41">
                  <c:v>15.5029</c:v>
                </c:pt>
                <c:pt idx="42">
                  <c:v>16.0031</c:v>
                </c:pt>
                <c:pt idx="43">
                  <c:v>16.502700000000001</c:v>
                </c:pt>
                <c:pt idx="44">
                  <c:v>17.0031</c:v>
                </c:pt>
                <c:pt idx="45">
                  <c:v>17.502500000000001</c:v>
                </c:pt>
                <c:pt idx="46">
                  <c:v>18.0032</c:v>
                </c:pt>
                <c:pt idx="47">
                  <c:v>18.502600000000001</c:v>
                </c:pt>
                <c:pt idx="48">
                  <c:v>19.002800000000001</c:v>
                </c:pt>
                <c:pt idx="49">
                  <c:v>19.502600000000001</c:v>
                </c:pt>
                <c:pt idx="50">
                  <c:v>20.002800000000001</c:v>
                </c:pt>
                <c:pt idx="51">
                  <c:v>20.502400000000002</c:v>
                </c:pt>
                <c:pt idx="52">
                  <c:v>21.0029</c:v>
                </c:pt>
                <c:pt idx="53">
                  <c:v>21.5029</c:v>
                </c:pt>
                <c:pt idx="54">
                  <c:v>22.0029</c:v>
                </c:pt>
                <c:pt idx="55">
                  <c:v>22.502300000000002</c:v>
                </c:pt>
                <c:pt idx="56">
                  <c:v>23.0032</c:v>
                </c:pt>
                <c:pt idx="57">
                  <c:v>23.502700000000001</c:v>
                </c:pt>
                <c:pt idx="58">
                  <c:v>24.0029</c:v>
                </c:pt>
                <c:pt idx="59">
                  <c:v>24.502399999999998</c:v>
                </c:pt>
                <c:pt idx="60">
                  <c:v>25.003000000000004</c:v>
                </c:pt>
                <c:pt idx="61">
                  <c:v>25.502399999999998</c:v>
                </c:pt>
                <c:pt idx="62">
                  <c:v>26.003200000000003</c:v>
                </c:pt>
                <c:pt idx="63">
                  <c:v>26.502799999999997</c:v>
                </c:pt>
                <c:pt idx="64">
                  <c:v>27.002700000000001</c:v>
                </c:pt>
                <c:pt idx="65">
                  <c:v>27.502700000000001</c:v>
                </c:pt>
                <c:pt idx="66">
                  <c:v>28.002700000000001</c:v>
                </c:pt>
                <c:pt idx="67">
                  <c:v>28.502700000000001</c:v>
                </c:pt>
                <c:pt idx="68">
                  <c:v>29.002799999999997</c:v>
                </c:pt>
                <c:pt idx="69">
                  <c:v>29.502799999999997</c:v>
                </c:pt>
                <c:pt idx="70">
                  <c:v>30.002799999999997</c:v>
                </c:pt>
                <c:pt idx="71">
                  <c:v>30.502799999999997</c:v>
                </c:pt>
                <c:pt idx="72">
                  <c:v>31.0029</c:v>
                </c:pt>
                <c:pt idx="73">
                  <c:v>31.5029</c:v>
                </c:pt>
                <c:pt idx="74">
                  <c:v>32.002899999999997</c:v>
                </c:pt>
              </c:numCache>
            </c:numRef>
          </c:xVal>
          <c:yVal>
            <c:numRef>
              <c:f>[2]FS_250kDa_4!$S$2:$S$76</c:f>
              <c:numCache>
                <c:formatCode>General</c:formatCode>
                <c:ptCount val="75"/>
                <c:pt idx="0">
                  <c:v>1.5254489945980785</c:v>
                </c:pt>
                <c:pt idx="1">
                  <c:v>1.5712947379063835</c:v>
                </c:pt>
                <c:pt idx="2">
                  <c:v>1.6089342044735164</c:v>
                </c:pt>
                <c:pt idx="3">
                  <c:v>1.5818786888873819</c:v>
                </c:pt>
                <c:pt idx="4">
                  <c:v>1.6216327948603066</c:v>
                </c:pt>
                <c:pt idx="5">
                  <c:v>1.5819373708393796</c:v>
                </c:pt>
                <c:pt idx="6">
                  <c:v>1.6453657777613409</c:v>
                </c:pt>
                <c:pt idx="7">
                  <c:v>1.6098091209612015</c:v>
                </c:pt>
                <c:pt idx="8">
                  <c:v>1.7327286041517604</c:v>
                </c:pt>
                <c:pt idx="9">
                  <c:v>1.5388690994694203</c:v>
                </c:pt>
                <c:pt idx="10">
                  <c:v>0</c:v>
                </c:pt>
                <c:pt idx="11">
                  <c:v>0.1685592352016563</c:v>
                </c:pt>
                <c:pt idx="12">
                  <c:v>0.25200193422494704</c:v>
                </c:pt>
                <c:pt idx="13">
                  <c:v>0.21859397030014474</c:v>
                </c:pt>
                <c:pt idx="14">
                  <c:v>0.30997808150074441</c:v>
                </c:pt>
                <c:pt idx="15">
                  <c:v>0.33100780428251225</c:v>
                </c:pt>
                <c:pt idx="16">
                  <c:v>0.30916919105566482</c:v>
                </c:pt>
                <c:pt idx="17">
                  <c:v>0.43122463488755686</c:v>
                </c:pt>
                <c:pt idx="18">
                  <c:v>0.44480586805005934</c:v>
                </c:pt>
                <c:pt idx="19">
                  <c:v>0.45053485408074778</c:v>
                </c:pt>
                <c:pt idx="20">
                  <c:v>0.49613143440166851</c:v>
                </c:pt>
                <c:pt idx="21">
                  <c:v>0.49272202012660704</c:v>
                </c:pt>
                <c:pt idx="22">
                  <c:v>0.56523213777697845</c:v>
                </c:pt>
                <c:pt idx="23">
                  <c:v>0.62212956809333542</c:v>
                </c:pt>
                <c:pt idx="24">
                  <c:v>0.69295358564185094</c:v>
                </c:pt>
                <c:pt idx="25">
                  <c:v>0.69167227838906542</c:v>
                </c:pt>
                <c:pt idx="26">
                  <c:v>0.67567668860274133</c:v>
                </c:pt>
                <c:pt idx="27">
                  <c:v>0.73614414142571538</c:v>
                </c:pt>
                <c:pt idx="28">
                  <c:v>0.69250490174719903</c:v>
                </c:pt>
                <c:pt idx="29">
                  <c:v>0.74484033374485159</c:v>
                </c:pt>
                <c:pt idx="30">
                  <c:v>0.716393596555568</c:v>
                </c:pt>
                <c:pt idx="31">
                  <c:v>0.74763024423171198</c:v>
                </c:pt>
                <c:pt idx="32">
                  <c:v>0.84883509564385973</c:v>
                </c:pt>
                <c:pt idx="33">
                  <c:v>0.80000916924967302</c:v>
                </c:pt>
                <c:pt idx="34">
                  <c:v>0.84540183031529847</c:v>
                </c:pt>
                <c:pt idx="35">
                  <c:v>0.89541153648982996</c:v>
                </c:pt>
                <c:pt idx="36">
                  <c:v>0.83755781818840114</c:v>
                </c:pt>
                <c:pt idx="37">
                  <c:v>0.877369909842726</c:v>
                </c:pt>
                <c:pt idx="38">
                  <c:v>0.8586337587149192</c:v>
                </c:pt>
                <c:pt idx="39">
                  <c:v>0.80171984816618458</c:v>
                </c:pt>
                <c:pt idx="40">
                  <c:v>0.85626606464831545</c:v>
                </c:pt>
                <c:pt idx="41">
                  <c:v>0.83487548586992677</c:v>
                </c:pt>
                <c:pt idx="42">
                  <c:v>0.82870228462520068</c:v>
                </c:pt>
                <c:pt idx="43">
                  <c:v>0.85515612818347697</c:v>
                </c:pt>
                <c:pt idx="44">
                  <c:v>0.97149123200360354</c:v>
                </c:pt>
                <c:pt idx="45">
                  <c:v>0.9774730593066161</c:v>
                </c:pt>
                <c:pt idx="46">
                  <c:v>0.87620436562773496</c:v>
                </c:pt>
                <c:pt idx="47">
                  <c:v>0.87833584299553769</c:v>
                </c:pt>
                <c:pt idx="48">
                  <c:v>0.91259104540029934</c:v>
                </c:pt>
                <c:pt idx="49">
                  <c:v>0.92375281356978778</c:v>
                </c:pt>
                <c:pt idx="50">
                  <c:v>0.925471060759397</c:v>
                </c:pt>
                <c:pt idx="51">
                  <c:v>0.94523925317205471</c:v>
                </c:pt>
                <c:pt idx="52">
                  <c:v>0.94330352884818269</c:v>
                </c:pt>
                <c:pt idx="53">
                  <c:v>0.9546483977816933</c:v>
                </c:pt>
                <c:pt idx="54">
                  <c:v>0.87893155286341829</c:v>
                </c:pt>
                <c:pt idx="55">
                  <c:v>0.92531876821447046</c:v>
                </c:pt>
                <c:pt idx="56">
                  <c:v>0.94831628619814901</c:v>
                </c:pt>
                <c:pt idx="57">
                  <c:v>0.90790789602077659</c:v>
                </c:pt>
                <c:pt idx="58">
                  <c:v>0.96478030551323202</c:v>
                </c:pt>
                <c:pt idx="59">
                  <c:v>0.91147035434602186</c:v>
                </c:pt>
                <c:pt idx="60">
                  <c:v>0.9829321666864036</c:v>
                </c:pt>
                <c:pt idx="61">
                  <c:v>0.90923105236090673</c:v>
                </c:pt>
                <c:pt idx="62">
                  <c:v>0.87127201604429005</c:v>
                </c:pt>
                <c:pt idx="63">
                  <c:v>0.85891437836766182</c:v>
                </c:pt>
                <c:pt idx="64">
                  <c:v>0.95089545754930915</c:v>
                </c:pt>
                <c:pt idx="65">
                  <c:v>0.98133199262313686</c:v>
                </c:pt>
                <c:pt idx="66">
                  <c:v>0.94316128528468313</c:v>
                </c:pt>
                <c:pt idx="67">
                  <c:v>0.97240982626882</c:v>
                </c:pt>
                <c:pt idx="68">
                  <c:v>1.0170749534501644</c:v>
                </c:pt>
                <c:pt idx="69">
                  <c:v>1.1116969821134777</c:v>
                </c:pt>
                <c:pt idx="70">
                  <c:v>0.94685917387497709</c:v>
                </c:pt>
                <c:pt idx="71">
                  <c:v>0.95598990079257407</c:v>
                </c:pt>
                <c:pt idx="72">
                  <c:v>1.0114345411249723</c:v>
                </c:pt>
                <c:pt idx="73">
                  <c:v>1.0735790847081492</c:v>
                </c:pt>
                <c:pt idx="74">
                  <c:v>1.0355668022097348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B9-4334-93AD-7066E404B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304528"/>
        <c:axId val="661305184"/>
      </c:scatterChart>
      <c:valAx>
        <c:axId val="66130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305184"/>
        <c:crosses val="autoZero"/>
        <c:crossBetween val="midCat"/>
      </c:valAx>
      <c:valAx>
        <c:axId val="66130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304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384175</xdr:colOff>
      <xdr:row>21</xdr:row>
      <xdr:rowOff>34925</xdr:rowOff>
    </xdr:from>
    <xdr:to>
      <xdr:col>16</xdr:col>
      <xdr:colOff>193675</xdr:colOff>
      <xdr:row>36</xdr:row>
      <xdr:rowOff>15875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7B6A293-F078-4AB1-8F5B-0F1925B439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268605</xdr:colOff>
      <xdr:row>56</xdr:row>
      <xdr:rowOff>84772</xdr:rowOff>
    </xdr:from>
    <xdr:to>
      <xdr:col>14</xdr:col>
      <xdr:colOff>91440</xdr:colOff>
      <xdr:row>71</xdr:row>
      <xdr:rowOff>115252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FC96F25-91A8-4D2A-B20A-44D6067BB8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384175</xdr:colOff>
      <xdr:row>21</xdr:row>
      <xdr:rowOff>34925</xdr:rowOff>
    </xdr:from>
    <xdr:to>
      <xdr:col>16</xdr:col>
      <xdr:colOff>193675</xdr:colOff>
      <xdr:row>36</xdr:row>
      <xdr:rowOff>15875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D233235-C7CD-44B0-98AE-8C059D7355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688975</xdr:colOff>
      <xdr:row>18</xdr:row>
      <xdr:rowOff>139065</xdr:rowOff>
    </xdr:from>
    <xdr:to>
      <xdr:col>10</xdr:col>
      <xdr:colOff>499745</xdr:colOff>
      <xdr:row>33</xdr:row>
      <xdr:rowOff>117475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3304D5-F22F-4875-9DC5-EDBA3C8CC6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534352</xdr:colOff>
      <xdr:row>13</xdr:row>
      <xdr:rowOff>103505</xdr:rowOff>
    </xdr:from>
    <xdr:to>
      <xdr:col>15</xdr:col>
      <xdr:colOff>343852</xdr:colOff>
      <xdr:row>28</xdr:row>
      <xdr:rowOff>67310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371A68C-EE62-4E00-ACF0-5EBDEA0FDF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545042</xdr:colOff>
      <xdr:row>27</xdr:row>
      <xdr:rowOff>79375</xdr:rowOff>
    </xdr:from>
    <xdr:to>
      <xdr:col>15</xdr:col>
      <xdr:colOff>355812</xdr:colOff>
      <xdr:row>42</xdr:row>
      <xdr:rowOff>43180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AED99E9-4540-4E16-8A45-2F94C89CE6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560917</xdr:colOff>
      <xdr:row>39</xdr:row>
      <xdr:rowOff>142875</xdr:rowOff>
    </xdr:from>
    <xdr:to>
      <xdr:col>15</xdr:col>
      <xdr:colOff>370417</xdr:colOff>
      <xdr:row>54</xdr:row>
      <xdr:rowOff>106680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EAA76C-E98A-4C38-960D-5A76C0DD27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587375</xdr:colOff>
      <xdr:row>52</xdr:row>
      <xdr:rowOff>95250</xdr:rowOff>
    </xdr:from>
    <xdr:to>
      <xdr:col>15</xdr:col>
      <xdr:colOff>365125</xdr:colOff>
      <xdr:row>67</xdr:row>
      <xdr:rowOff>59055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9C70E08-F014-44F1-A5EF-E811D044E4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</xdr:colOff>
      <xdr:row>6</xdr:row>
      <xdr:rowOff>57150</xdr:rowOff>
    </xdr:from>
    <xdr:to>
      <xdr:col>13</xdr:col>
      <xdr:colOff>655320</xdr:colOff>
      <xdr:row>21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44BC06-8277-41C0-A9B2-E464271BA8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A/Desktop/Confocal/FRAP/WS_1301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A/Desktop/Confocal/FRAP/01132026/FS_40%20250%20500%20kDa_real_12312025-t3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66"/>
      <sheetName val="Hoja4"/>
      <sheetName val="WS_500kDa_1"/>
      <sheetName val="WS_500kDa_4"/>
      <sheetName val="7"/>
      <sheetName val="77"/>
      <sheetName val="WS_250kDa_6"/>
      <sheetName val="Hoja5"/>
      <sheetName val="777"/>
      <sheetName val="66"/>
      <sheetName val="6"/>
      <sheetName val="8"/>
    </sheetNames>
    <sheetDataSet>
      <sheetData sheetId="0">
        <row r="1">
          <cell r="R1" t="str">
            <v>R(t) Region 1</v>
          </cell>
          <cell r="S1" t="str">
            <v>R(t) Region 2</v>
          </cell>
        </row>
        <row r="2">
          <cell r="B2">
            <v>-12.8233</v>
          </cell>
          <cell r="R2">
            <v>1.3801261256249349</v>
          </cell>
          <cell r="S2">
            <v>1.9669348265376145</v>
          </cell>
        </row>
        <row r="3">
          <cell r="B3">
            <v>-12.3202</v>
          </cell>
          <cell r="R3">
            <v>1.0031706409483143</v>
          </cell>
          <cell r="S3">
            <v>1.743129393235419</v>
          </cell>
        </row>
        <row r="4">
          <cell r="B4">
            <v>-11.820599999999999</v>
          </cell>
          <cell r="R4">
            <v>1.5257787437518926</v>
          </cell>
          <cell r="S4">
            <v>1.9036052430058443</v>
          </cell>
        </row>
        <row r="5">
          <cell r="B5">
            <v>-11.320399999999999</v>
          </cell>
          <cell r="R5">
            <v>1.0973186958781997</v>
          </cell>
          <cell r="S5">
            <v>1.7017047119952697</v>
          </cell>
        </row>
        <row r="6">
          <cell r="B6">
            <v>-10.8208</v>
          </cell>
          <cell r="R6">
            <v>1.1229408235342273</v>
          </cell>
          <cell r="S6">
            <v>1.9092993916822274</v>
          </cell>
        </row>
        <row r="7">
          <cell r="B7">
            <v>-10.320599999999999</v>
          </cell>
          <cell r="R7">
            <v>1.1273205218403051</v>
          </cell>
          <cell r="S7">
            <v>1.6782157130051412</v>
          </cell>
        </row>
        <row r="8">
          <cell r="B8">
            <v>-9.8205999999999989</v>
          </cell>
          <cell r="R8">
            <v>1.1304197277873154</v>
          </cell>
          <cell r="S8">
            <v>1.7305831493657975</v>
          </cell>
        </row>
        <row r="9">
          <cell r="B9">
            <v>-9.3204999999999991</v>
          </cell>
          <cell r="R9">
            <v>0.95300477114916871</v>
          </cell>
          <cell r="S9">
            <v>1.5862795640939578</v>
          </cell>
        </row>
        <row r="10">
          <cell r="B10">
            <v>-8.8204999999999991</v>
          </cell>
          <cell r="R10">
            <v>0.93559408476904238</v>
          </cell>
          <cell r="S10">
            <v>1.5857430386940072</v>
          </cell>
        </row>
        <row r="11">
          <cell r="B11">
            <v>-8.3204999999999991</v>
          </cell>
          <cell r="R11">
            <v>0.74019512968687984</v>
          </cell>
          <cell r="S11">
            <v>1.3701406844176365</v>
          </cell>
        </row>
        <row r="12">
          <cell r="B12">
            <v>0</v>
          </cell>
          <cell r="R12">
            <v>0</v>
          </cell>
          <cell r="S12">
            <v>0</v>
          </cell>
        </row>
        <row r="13">
          <cell r="B13">
            <v>0.50280000000000058</v>
          </cell>
          <cell r="R13">
            <v>9.4341018293822548E-2</v>
          </cell>
          <cell r="S13">
            <v>0.20144324497259608</v>
          </cell>
        </row>
        <row r="14">
          <cell r="B14">
            <v>1.0030000000000001</v>
          </cell>
          <cell r="R14">
            <v>0.12639509214637223</v>
          </cell>
          <cell r="S14">
            <v>0.14914879697334169</v>
          </cell>
        </row>
        <row r="15">
          <cell r="B15">
            <v>1.502600000000001</v>
          </cell>
          <cell r="R15">
            <v>0.16531296226897485</v>
          </cell>
          <cell r="S15">
            <v>0.16860942991294872</v>
          </cell>
        </row>
        <row r="16">
          <cell r="B16">
            <v>2.0028000000000006</v>
          </cell>
          <cell r="R16">
            <v>0.21760457680660486</v>
          </cell>
          <cell r="S16">
            <v>0.21195135047835154</v>
          </cell>
        </row>
        <row r="17">
          <cell r="B17">
            <v>2.5023999999999997</v>
          </cell>
          <cell r="R17">
            <v>0.52792236247996371</v>
          </cell>
          <cell r="S17">
            <v>0.39645927434268191</v>
          </cell>
        </row>
        <row r="18">
          <cell r="B18">
            <v>3.0031999999999996</v>
          </cell>
          <cell r="R18">
            <v>0.47308830946355257</v>
          </cell>
          <cell r="S18">
            <v>0.4228607477355556</v>
          </cell>
        </row>
        <row r="19">
          <cell r="B19">
            <v>3.502600000000001</v>
          </cell>
          <cell r="R19">
            <v>0.52284637265180789</v>
          </cell>
          <cell r="S19">
            <v>0.54256220691072976</v>
          </cell>
        </row>
        <row r="20">
          <cell r="B20">
            <v>4.0027000000000008</v>
          </cell>
          <cell r="R20">
            <v>0.60764642795919166</v>
          </cell>
          <cell r="S20">
            <v>0.51142166342950146</v>
          </cell>
        </row>
        <row r="21">
          <cell r="B21">
            <v>4.5027000000000008</v>
          </cell>
          <cell r="R21">
            <v>0.5845117267354395</v>
          </cell>
          <cell r="S21">
            <v>0.39491565517853705</v>
          </cell>
        </row>
        <row r="22">
          <cell r="B22">
            <v>5.0027000000000008</v>
          </cell>
          <cell r="R22">
            <v>0.48959591730795649</v>
          </cell>
          <cell r="S22">
            <v>0.48124834707140146</v>
          </cell>
        </row>
        <row r="23">
          <cell r="B23">
            <v>5.5027000000000008</v>
          </cell>
          <cell r="R23">
            <v>0.49467734662356749</v>
          </cell>
          <cell r="S23">
            <v>0.60400110205906676</v>
          </cell>
        </row>
        <row r="24">
          <cell r="B24">
            <v>6.0028000000000006</v>
          </cell>
          <cell r="R24">
            <v>0.64570642111021304</v>
          </cell>
          <cell r="S24">
            <v>0.68355871395165935</v>
          </cell>
        </row>
        <row r="25">
          <cell r="B25">
            <v>6.5028000000000006</v>
          </cell>
          <cell r="R25">
            <v>0.84856825109595324</v>
          </cell>
          <cell r="S25">
            <v>0.76972515079420867</v>
          </cell>
        </row>
        <row r="26">
          <cell r="B26">
            <v>7.0028000000000006</v>
          </cell>
          <cell r="R26">
            <v>0.70691688016205145</v>
          </cell>
          <cell r="S26">
            <v>0.74465677210546555</v>
          </cell>
        </row>
        <row r="27">
          <cell r="B27">
            <v>7.5028000000000006</v>
          </cell>
          <cell r="R27">
            <v>0.76987631530227452</v>
          </cell>
          <cell r="S27">
            <v>0.78607760502149593</v>
          </cell>
        </row>
        <row r="28">
          <cell r="B28">
            <v>8.0029000000000003</v>
          </cell>
          <cell r="R28">
            <v>0.79794744422392827</v>
          </cell>
          <cell r="S28">
            <v>0.80672790529544502</v>
          </cell>
        </row>
        <row r="29">
          <cell r="B29">
            <v>8.5025000000000013</v>
          </cell>
          <cell r="R29">
            <v>0.86315740713125988</v>
          </cell>
          <cell r="S29">
            <v>0.77558406122939028</v>
          </cell>
        </row>
        <row r="30">
          <cell r="B30">
            <v>9.0027000000000008</v>
          </cell>
          <cell r="R30">
            <v>0.7281002568980639</v>
          </cell>
          <cell r="S30">
            <v>0.84222694390410457</v>
          </cell>
        </row>
        <row r="31">
          <cell r="B31">
            <v>9.5027000000000008</v>
          </cell>
          <cell r="R31">
            <v>0.75302510687647439</v>
          </cell>
          <cell r="S31">
            <v>0.84127126661746043</v>
          </cell>
        </row>
        <row r="32">
          <cell r="B32">
            <v>10.002700000000001</v>
          </cell>
          <cell r="R32">
            <v>0.67756567293018433</v>
          </cell>
          <cell r="S32">
            <v>0.8558208900113079</v>
          </cell>
        </row>
        <row r="33">
          <cell r="B33">
            <v>10.502700000000001</v>
          </cell>
          <cell r="R33">
            <v>0.64115744521330398</v>
          </cell>
          <cell r="S33">
            <v>0.84842545430338079</v>
          </cell>
        </row>
        <row r="34">
          <cell r="B34">
            <v>11.002800000000001</v>
          </cell>
          <cell r="R34">
            <v>0.71788449405735788</v>
          </cell>
          <cell r="S34">
            <v>0.71240230670199489</v>
          </cell>
        </row>
        <row r="35">
          <cell r="B35">
            <v>11.502800000000001</v>
          </cell>
          <cell r="R35">
            <v>0.74997718085044429</v>
          </cell>
          <cell r="S35">
            <v>0.83830017171265314</v>
          </cell>
        </row>
        <row r="36">
          <cell r="B36">
            <v>12.002800000000001</v>
          </cell>
          <cell r="R36">
            <v>0.82698415616562992</v>
          </cell>
          <cell r="S36">
            <v>0.83667950693869464</v>
          </cell>
        </row>
        <row r="37">
          <cell r="B37">
            <v>12.502800000000001</v>
          </cell>
          <cell r="R37">
            <v>0.75571755781498307</v>
          </cell>
          <cell r="S37">
            <v>0.7555475159220344</v>
          </cell>
        </row>
        <row r="38">
          <cell r="B38">
            <v>13.0029</v>
          </cell>
          <cell r="R38">
            <v>0.7954594596030985</v>
          </cell>
          <cell r="S38">
            <v>0.72313360256649528</v>
          </cell>
        </row>
        <row r="39">
          <cell r="B39">
            <v>13.5029</v>
          </cell>
          <cell r="R39">
            <v>0.72429422107789831</v>
          </cell>
          <cell r="S39">
            <v>0.78807050709933635</v>
          </cell>
        </row>
        <row r="40">
          <cell r="B40">
            <v>14.0029</v>
          </cell>
          <cell r="R40">
            <v>0.85004195754310274</v>
          </cell>
          <cell r="S40">
            <v>0.8206762402659793</v>
          </cell>
        </row>
        <row r="41">
          <cell r="B41">
            <v>14.502300000000002</v>
          </cell>
          <cell r="R41">
            <v>0.93248507708115835</v>
          </cell>
          <cell r="S41">
            <v>0.86682478271684582</v>
          </cell>
        </row>
        <row r="42">
          <cell r="B42">
            <v>15.0032</v>
          </cell>
          <cell r="R42">
            <v>0.73325879423965301</v>
          </cell>
          <cell r="S42">
            <v>0.75681253280377525</v>
          </cell>
        </row>
        <row r="43">
          <cell r="B43">
            <v>15.502700000000001</v>
          </cell>
          <cell r="R43">
            <v>0.69734379116521894</v>
          </cell>
          <cell r="S43">
            <v>0.75450266107166974</v>
          </cell>
        </row>
        <row r="44">
          <cell r="B44">
            <v>16.0029</v>
          </cell>
          <cell r="R44">
            <v>0.90014284086757068</v>
          </cell>
          <cell r="S44">
            <v>0.84575996820759403</v>
          </cell>
        </row>
        <row r="45">
          <cell r="B45">
            <v>16.502300000000002</v>
          </cell>
          <cell r="R45">
            <v>0.88163589196368941</v>
          </cell>
          <cell r="S45">
            <v>0.81712532522285641</v>
          </cell>
        </row>
        <row r="46">
          <cell r="B46">
            <v>17.003</v>
          </cell>
          <cell r="R46">
            <v>0.89926610667042794</v>
          </cell>
          <cell r="S46">
            <v>0.83524184700447246</v>
          </cell>
        </row>
        <row r="47">
          <cell r="B47">
            <v>17.502400000000002</v>
          </cell>
          <cell r="R47">
            <v>0.87790577702678829</v>
          </cell>
          <cell r="S47">
            <v>0.83831287887487016</v>
          </cell>
        </row>
        <row r="48">
          <cell r="B48">
            <v>18.0032</v>
          </cell>
          <cell r="R48">
            <v>0.87946278360960395</v>
          </cell>
          <cell r="S48">
            <v>0.8866610910484517</v>
          </cell>
        </row>
        <row r="49">
          <cell r="B49">
            <v>18.502800000000001</v>
          </cell>
          <cell r="R49">
            <v>0.77679092007559347</v>
          </cell>
          <cell r="S49">
            <v>0.86274577881526548</v>
          </cell>
        </row>
        <row r="50">
          <cell r="B50">
            <v>19.003</v>
          </cell>
          <cell r="R50">
            <v>0.83184299130743888</v>
          </cell>
          <cell r="S50">
            <v>0.74463219285355442</v>
          </cell>
        </row>
        <row r="51">
          <cell r="B51">
            <v>19.502399999999998</v>
          </cell>
          <cell r="R51">
            <v>0.70429962221189979</v>
          </cell>
          <cell r="S51">
            <v>0.86669184063993521</v>
          </cell>
        </row>
        <row r="52">
          <cell r="B52">
            <v>20.0031</v>
          </cell>
          <cell r="R52">
            <v>0.86029645025569623</v>
          </cell>
          <cell r="S52">
            <v>0.83900571565348236</v>
          </cell>
        </row>
        <row r="53">
          <cell r="B53">
            <v>20.502500000000001</v>
          </cell>
          <cell r="R53">
            <v>0.70450171717785215</v>
          </cell>
          <cell r="S53">
            <v>1.0791827200106998</v>
          </cell>
        </row>
        <row r="54">
          <cell r="B54">
            <v>21.002700000000001</v>
          </cell>
          <cell r="R54">
            <v>0.96064850946333313</v>
          </cell>
          <cell r="S54">
            <v>0.85203158459837247</v>
          </cell>
        </row>
        <row r="55">
          <cell r="B55">
            <v>21.5029</v>
          </cell>
          <cell r="R55">
            <v>0.98019247472171533</v>
          </cell>
          <cell r="S55">
            <v>0.86516180667097742</v>
          </cell>
        </row>
        <row r="56">
          <cell r="B56">
            <v>22.0029</v>
          </cell>
          <cell r="R56">
            <v>0.86206505791655974</v>
          </cell>
          <cell r="S56">
            <v>0.9237714041253835</v>
          </cell>
        </row>
        <row r="57">
          <cell r="B57">
            <v>22.502300000000002</v>
          </cell>
          <cell r="R57">
            <v>1.1137442413743097</v>
          </cell>
          <cell r="S57">
            <v>0.89871528241519438</v>
          </cell>
        </row>
        <row r="58">
          <cell r="B58">
            <v>23.0031</v>
          </cell>
          <cell r="R58">
            <v>0.92779885652341931</v>
          </cell>
          <cell r="S58">
            <v>0.84282038066094978</v>
          </cell>
        </row>
        <row r="59">
          <cell r="B59">
            <v>23.502700000000001</v>
          </cell>
          <cell r="R59">
            <v>1.0361186401797751</v>
          </cell>
          <cell r="S59">
            <v>0.87398033000609676</v>
          </cell>
        </row>
        <row r="60">
          <cell r="B60">
            <v>24.0029</v>
          </cell>
          <cell r="R60">
            <v>1.144243579829598</v>
          </cell>
          <cell r="S60">
            <v>0.91294988256508991</v>
          </cell>
        </row>
        <row r="61">
          <cell r="B61">
            <v>24.502300000000002</v>
          </cell>
          <cell r="R61">
            <v>1.2143577314853113</v>
          </cell>
          <cell r="S61">
            <v>0.83931787746122111</v>
          </cell>
        </row>
        <row r="62">
          <cell r="B62">
            <v>25.003000000000004</v>
          </cell>
          <cell r="R62">
            <v>1.132558694619612</v>
          </cell>
          <cell r="S62">
            <v>0.88143078497034388</v>
          </cell>
        </row>
        <row r="63">
          <cell r="B63">
            <v>25.502399999999998</v>
          </cell>
          <cell r="R63">
            <v>0.844959389018892</v>
          </cell>
          <cell r="S63">
            <v>0.99969923970383245</v>
          </cell>
        </row>
        <row r="64">
          <cell r="B64">
            <v>26.003200000000003</v>
          </cell>
          <cell r="R64">
            <v>0.91203606097507528</v>
          </cell>
          <cell r="S64">
            <v>1.0186927865113795</v>
          </cell>
        </row>
        <row r="65">
          <cell r="B65">
            <v>26.502799999999997</v>
          </cell>
          <cell r="R65">
            <v>0.85732412286229553</v>
          </cell>
          <cell r="S65">
            <v>1.0363044684009677</v>
          </cell>
        </row>
        <row r="66">
          <cell r="B66">
            <v>27.003000000000004</v>
          </cell>
          <cell r="R66">
            <v>1.025521389516558</v>
          </cell>
          <cell r="S66">
            <v>0.89980569115388587</v>
          </cell>
        </row>
        <row r="67">
          <cell r="B67">
            <v>27.502399999999998</v>
          </cell>
          <cell r="R67">
            <v>0.83115145713846494</v>
          </cell>
          <cell r="S67">
            <v>0.89196942351236508</v>
          </cell>
        </row>
        <row r="68">
          <cell r="B68">
            <v>28.003000000000004</v>
          </cell>
          <cell r="R68">
            <v>0.79053475591425248</v>
          </cell>
          <cell r="S68">
            <v>0.91589930597527669</v>
          </cell>
        </row>
        <row r="69">
          <cell r="B69">
            <v>28.502599999999997</v>
          </cell>
          <cell r="R69">
            <v>0.81312070202598252</v>
          </cell>
          <cell r="S69">
            <v>0.97535040607228329</v>
          </cell>
        </row>
        <row r="70">
          <cell r="B70">
            <v>29.002799999999997</v>
          </cell>
          <cell r="R70">
            <v>0.97707881214883707</v>
          </cell>
          <cell r="S70">
            <v>1.0226734690298369</v>
          </cell>
        </row>
        <row r="71">
          <cell r="B71">
            <v>29.502799999999997</v>
          </cell>
          <cell r="R71">
            <v>1.09937267996149</v>
          </cell>
          <cell r="S71">
            <v>1.0450158450490903</v>
          </cell>
        </row>
        <row r="72">
          <cell r="B72">
            <v>30.0029</v>
          </cell>
          <cell r="R72">
            <v>0.93371873715108911</v>
          </cell>
          <cell r="S72">
            <v>1.0771432763096369</v>
          </cell>
        </row>
        <row r="73">
          <cell r="B73">
            <v>30.502399999999998</v>
          </cell>
          <cell r="R73">
            <v>1.3054062250829017</v>
          </cell>
          <cell r="S73">
            <v>1.0219239336760519</v>
          </cell>
        </row>
        <row r="74">
          <cell r="B74">
            <v>31.002599999999997</v>
          </cell>
          <cell r="R74">
            <v>1.1366276982742367</v>
          </cell>
          <cell r="S74">
            <v>0.97805929797334812</v>
          </cell>
        </row>
        <row r="75">
          <cell r="B75">
            <v>31.502799999999997</v>
          </cell>
          <cell r="R75">
            <v>1.2019978069073203</v>
          </cell>
          <cell r="S75">
            <v>1.0262154484393058</v>
          </cell>
        </row>
        <row r="76">
          <cell r="B76">
            <v>32.002899999999997</v>
          </cell>
          <cell r="R76">
            <v>0.88546973587886046</v>
          </cell>
          <cell r="S76">
            <v>1.1459439028089169</v>
          </cell>
        </row>
      </sheetData>
      <sheetData sheetId="1"/>
      <sheetData sheetId="2">
        <row r="1">
          <cell r="R1" t="str">
            <v>R(t) Region 1</v>
          </cell>
          <cell r="S1" t="str">
            <v>R(t) Region 2</v>
          </cell>
        </row>
        <row r="2">
          <cell r="B2">
            <v>-7.5107999999999997</v>
          </cell>
          <cell r="R2">
            <v>1.5241329876652667</v>
          </cell>
          <cell r="S2">
            <v>2.2966916041733105</v>
          </cell>
        </row>
        <row r="3">
          <cell r="B3">
            <v>-7.0076999999999998</v>
          </cell>
          <cell r="R3">
            <v>1.471061065003135</v>
          </cell>
          <cell r="S3">
            <v>2.2598817017474708</v>
          </cell>
        </row>
        <row r="4">
          <cell r="B4">
            <v>-6.5080999999999998</v>
          </cell>
          <cell r="R4">
            <v>1.3937315966731565</v>
          </cell>
          <cell r="S4">
            <v>2.1974041376985749</v>
          </cell>
        </row>
        <row r="5">
          <cell r="B5">
            <v>-6.0076000000000001</v>
          </cell>
          <cell r="R5">
            <v>1.5213601817152025</v>
          </cell>
          <cell r="S5">
            <v>2.470169258246778</v>
          </cell>
        </row>
        <row r="6">
          <cell r="B6">
            <v>-5.5084</v>
          </cell>
          <cell r="R6">
            <v>1.4181678128941673</v>
          </cell>
          <cell r="S6">
            <v>2.2729010655292958</v>
          </cell>
        </row>
        <row r="7">
          <cell r="B7">
            <v>-5.0081999999999995</v>
          </cell>
          <cell r="R7">
            <v>1.4416238905746614</v>
          </cell>
          <cell r="S7">
            <v>2.2617809254409029</v>
          </cell>
        </row>
        <row r="8">
          <cell r="B8">
            <v>-4.5081999999999995</v>
          </cell>
          <cell r="R8">
            <v>1.4372547995212031</v>
          </cell>
          <cell r="S8">
            <v>2.2484914609768714</v>
          </cell>
        </row>
        <row r="9">
          <cell r="B9">
            <v>-4.0080999999999998</v>
          </cell>
          <cell r="R9">
            <v>1.4020206743725101</v>
          </cell>
          <cell r="S9">
            <v>2.2139059398375416</v>
          </cell>
        </row>
        <row r="10">
          <cell r="B10">
            <v>-3.5080999999999998</v>
          </cell>
          <cell r="R10">
            <v>1.4366513990026866</v>
          </cell>
          <cell r="S10">
            <v>2.2770227437204196</v>
          </cell>
        </row>
        <row r="11">
          <cell r="B11">
            <v>-3.0080999999999998</v>
          </cell>
          <cell r="R11">
            <v>1.413778376136209</v>
          </cell>
          <cell r="S11">
            <v>2.2548572858415254</v>
          </cell>
        </row>
        <row r="12">
          <cell r="B12">
            <v>0</v>
          </cell>
          <cell r="R12">
            <v>0</v>
          </cell>
          <cell r="S12">
            <v>0</v>
          </cell>
        </row>
        <row r="13">
          <cell r="B13">
            <v>0.5024999999999995</v>
          </cell>
          <cell r="R13">
            <v>0.21174877401094588</v>
          </cell>
          <cell r="S13">
            <v>0.1088649792274459</v>
          </cell>
        </row>
        <row r="14">
          <cell r="B14">
            <v>1.0030999999999999</v>
          </cell>
          <cell r="R14">
            <v>0.34334803866892305</v>
          </cell>
          <cell r="S14">
            <v>0.24483780728670648</v>
          </cell>
        </row>
        <row r="15">
          <cell r="B15">
            <v>1.5024999999999995</v>
          </cell>
          <cell r="R15">
            <v>0.43757051855831586</v>
          </cell>
          <cell r="S15">
            <v>0.36455158104064528</v>
          </cell>
        </row>
        <row r="16">
          <cell r="B16">
            <v>2.0027000000000008</v>
          </cell>
          <cell r="R16">
            <v>0.57985626317263972</v>
          </cell>
          <cell r="S16">
            <v>0.50547606456009508</v>
          </cell>
        </row>
        <row r="17">
          <cell r="B17">
            <v>2.502600000000001</v>
          </cell>
          <cell r="R17">
            <v>0.55093224447624811</v>
          </cell>
          <cell r="S17">
            <v>0.51426711119448809</v>
          </cell>
        </row>
        <row r="18">
          <cell r="B18">
            <v>3.0028000000000006</v>
          </cell>
          <cell r="R18">
            <v>0.59884169407251431</v>
          </cell>
          <cell r="S18">
            <v>0.38550366162593441</v>
          </cell>
        </row>
        <row r="19">
          <cell r="B19">
            <v>3.5023999999999997</v>
          </cell>
          <cell r="R19">
            <v>0.59142957586676992</v>
          </cell>
          <cell r="S19">
            <v>0.54987083905731304</v>
          </cell>
        </row>
        <row r="20">
          <cell r="B20">
            <v>4.0031999999999996</v>
          </cell>
          <cell r="R20">
            <v>0.63318000322699275</v>
          </cell>
          <cell r="S20">
            <v>0.60208264318636961</v>
          </cell>
        </row>
        <row r="21">
          <cell r="B21">
            <v>4.502600000000001</v>
          </cell>
          <cell r="R21">
            <v>0.65729945911286181</v>
          </cell>
          <cell r="S21">
            <v>0.56905963713419283</v>
          </cell>
        </row>
        <row r="22">
          <cell r="B22">
            <v>5.002600000000001</v>
          </cell>
          <cell r="R22">
            <v>0.6858384623513345</v>
          </cell>
          <cell r="S22">
            <v>0.67866721176601918</v>
          </cell>
        </row>
        <row r="23">
          <cell r="B23">
            <v>5.502600000000001</v>
          </cell>
          <cell r="R23">
            <v>0.70562264314646861</v>
          </cell>
          <cell r="S23">
            <v>0.6350303398048307</v>
          </cell>
        </row>
        <row r="24">
          <cell r="B24">
            <v>6.0028000000000006</v>
          </cell>
          <cell r="R24">
            <v>0.72325003484133055</v>
          </cell>
          <cell r="S24">
            <v>0.6731301804418538</v>
          </cell>
        </row>
        <row r="25">
          <cell r="B25">
            <v>6.5023999999999997</v>
          </cell>
          <cell r="R25">
            <v>0.81125276536964719</v>
          </cell>
          <cell r="S25">
            <v>0.75012120664495341</v>
          </cell>
        </row>
        <row r="26">
          <cell r="B26">
            <v>7.0029000000000003</v>
          </cell>
          <cell r="R26">
            <v>0.7877322015804088</v>
          </cell>
          <cell r="S26">
            <v>0.74943643362252232</v>
          </cell>
        </row>
        <row r="27">
          <cell r="B27">
            <v>7.5023</v>
          </cell>
          <cell r="R27">
            <v>0.77962638484434099</v>
          </cell>
          <cell r="S27">
            <v>0.82381133663737094</v>
          </cell>
        </row>
        <row r="28">
          <cell r="B28">
            <v>8.0029000000000003</v>
          </cell>
          <cell r="R28">
            <v>0.83002908063401049</v>
          </cell>
          <cell r="S28">
            <v>0.84492257823617478</v>
          </cell>
        </row>
        <row r="29">
          <cell r="B29">
            <v>8.5024000000000015</v>
          </cell>
          <cell r="R29">
            <v>0.77321123803451575</v>
          </cell>
          <cell r="S29">
            <v>0.78991627799475883</v>
          </cell>
        </row>
        <row r="30">
          <cell r="B30">
            <v>9.0031999999999996</v>
          </cell>
          <cell r="R30">
            <v>0.79538374945129764</v>
          </cell>
          <cell r="S30">
            <v>0.74651897876280415</v>
          </cell>
        </row>
        <row r="31">
          <cell r="B31">
            <v>9.5024000000000015</v>
          </cell>
          <cell r="R31">
            <v>0.82534555339132432</v>
          </cell>
          <cell r="S31">
            <v>0.80443473925591968</v>
          </cell>
        </row>
        <row r="32">
          <cell r="B32">
            <v>10.0029</v>
          </cell>
          <cell r="R32">
            <v>0.77693954921536634</v>
          </cell>
          <cell r="S32">
            <v>0.66457543671735797</v>
          </cell>
        </row>
        <row r="33">
          <cell r="B33">
            <v>10.502300000000002</v>
          </cell>
          <cell r="R33">
            <v>0.78554611823540454</v>
          </cell>
          <cell r="S33">
            <v>0.78535748085203194</v>
          </cell>
        </row>
        <row r="34">
          <cell r="B34">
            <v>11.0029</v>
          </cell>
          <cell r="R34">
            <v>0.78562747463934013</v>
          </cell>
          <cell r="S34">
            <v>0.7472771751298467</v>
          </cell>
        </row>
        <row r="35">
          <cell r="B35">
            <v>11.502300000000002</v>
          </cell>
          <cell r="R35">
            <v>0.87879632333334035</v>
          </cell>
          <cell r="S35">
            <v>0.91145082922050602</v>
          </cell>
        </row>
        <row r="36">
          <cell r="B36">
            <v>12.0031</v>
          </cell>
          <cell r="R36">
            <v>0.85351997912442101</v>
          </cell>
          <cell r="S36">
            <v>0.91254898639744786</v>
          </cell>
        </row>
        <row r="37">
          <cell r="B37">
            <v>12.502700000000001</v>
          </cell>
          <cell r="R37">
            <v>0.83333075163361947</v>
          </cell>
          <cell r="S37">
            <v>0.80851581092779334</v>
          </cell>
        </row>
        <row r="38">
          <cell r="B38">
            <v>13.0032</v>
          </cell>
          <cell r="R38">
            <v>0.8600477924173342</v>
          </cell>
          <cell r="S38">
            <v>0.91974034169320573</v>
          </cell>
        </row>
        <row r="39">
          <cell r="B39">
            <v>13.502600000000001</v>
          </cell>
          <cell r="R39">
            <v>0.89473052694641142</v>
          </cell>
          <cell r="S39">
            <v>0.94279408846525614</v>
          </cell>
        </row>
        <row r="40">
          <cell r="B40">
            <v>14.002800000000001</v>
          </cell>
          <cell r="R40">
            <v>0.88795021356480874</v>
          </cell>
          <cell r="S40">
            <v>0.8905207460896214</v>
          </cell>
        </row>
        <row r="41">
          <cell r="B41">
            <v>14.502600000000001</v>
          </cell>
          <cell r="R41">
            <v>0.82969665443402107</v>
          </cell>
          <cell r="S41">
            <v>0.87935227275677152</v>
          </cell>
        </row>
        <row r="42">
          <cell r="B42">
            <v>15.002800000000001</v>
          </cell>
          <cell r="R42">
            <v>0.92069298984122128</v>
          </cell>
          <cell r="S42">
            <v>0.93801901391208864</v>
          </cell>
        </row>
        <row r="43">
          <cell r="B43">
            <v>15.5029</v>
          </cell>
          <cell r="R43">
            <v>0.85773259575460836</v>
          </cell>
          <cell r="S43">
            <v>0.95916881758958494</v>
          </cell>
        </row>
        <row r="44">
          <cell r="B44">
            <v>16.002700000000001</v>
          </cell>
          <cell r="R44">
            <v>0.91861719702566014</v>
          </cell>
          <cell r="S44">
            <v>0.97558742452222891</v>
          </cell>
        </row>
        <row r="45">
          <cell r="B45">
            <v>16.502700000000001</v>
          </cell>
          <cell r="R45">
            <v>0.9262587136358239</v>
          </cell>
          <cell r="S45">
            <v>0.94689351073713168</v>
          </cell>
        </row>
        <row r="46">
          <cell r="B46">
            <v>17.002800000000001</v>
          </cell>
          <cell r="R46">
            <v>0.86269815160044261</v>
          </cell>
          <cell r="S46">
            <v>0.81583726460914052</v>
          </cell>
        </row>
        <row r="47">
          <cell r="B47">
            <v>17.502800000000001</v>
          </cell>
          <cell r="R47">
            <v>0.94123345371526612</v>
          </cell>
          <cell r="S47">
            <v>0.93175334806751531</v>
          </cell>
        </row>
        <row r="48">
          <cell r="B48">
            <v>18.003</v>
          </cell>
          <cell r="R48">
            <v>0.92003709991907245</v>
          </cell>
          <cell r="S48">
            <v>0.8907855482980388</v>
          </cell>
        </row>
        <row r="49">
          <cell r="B49">
            <v>18.502800000000001</v>
          </cell>
          <cell r="R49">
            <v>0.9636805823260004</v>
          </cell>
          <cell r="S49">
            <v>1.0263440183256611</v>
          </cell>
        </row>
        <row r="50">
          <cell r="B50">
            <v>19.003</v>
          </cell>
          <cell r="R50">
            <v>0.93801920868708399</v>
          </cell>
          <cell r="S50">
            <v>0.99239944003378855</v>
          </cell>
        </row>
        <row r="51">
          <cell r="B51">
            <v>19.502400000000002</v>
          </cell>
          <cell r="R51">
            <v>0.93455742862137825</v>
          </cell>
          <cell r="S51">
            <v>1.0113634243305016</v>
          </cell>
        </row>
        <row r="52">
          <cell r="B52">
            <v>20.0029</v>
          </cell>
          <cell r="R52">
            <v>0.91766993582626299</v>
          </cell>
          <cell r="S52">
            <v>0.87084530750765243</v>
          </cell>
        </row>
        <row r="53">
          <cell r="B53">
            <v>20.502300000000002</v>
          </cell>
          <cell r="R53">
            <v>0.96641679871479036</v>
          </cell>
          <cell r="S53">
            <v>1.0190359840502368</v>
          </cell>
        </row>
        <row r="54">
          <cell r="B54">
            <v>21.0031</v>
          </cell>
          <cell r="R54">
            <v>0.94865434085742961</v>
          </cell>
          <cell r="S54">
            <v>0.82393083482350293</v>
          </cell>
        </row>
        <row r="55">
          <cell r="B55">
            <v>21.502300000000002</v>
          </cell>
          <cell r="R55">
            <v>0.95757524290512919</v>
          </cell>
          <cell r="S55">
            <v>0.97264669113698055</v>
          </cell>
        </row>
        <row r="56">
          <cell r="B56">
            <v>22.0032</v>
          </cell>
          <cell r="R56">
            <v>0.98575261215900389</v>
          </cell>
          <cell r="S56">
            <v>0.94357543928911236</v>
          </cell>
        </row>
        <row r="57">
          <cell r="B57">
            <v>22.502800000000001</v>
          </cell>
          <cell r="R57">
            <v>0.97802431766032927</v>
          </cell>
          <cell r="S57">
            <v>0.81937361715948143</v>
          </cell>
        </row>
        <row r="58">
          <cell r="B58">
            <v>23.003</v>
          </cell>
          <cell r="R58">
            <v>0.99583116260958304</v>
          </cell>
          <cell r="S58">
            <v>0.96327527557461956</v>
          </cell>
        </row>
        <row r="59">
          <cell r="B59">
            <v>23.502500000000001</v>
          </cell>
          <cell r="R59">
            <v>0.97715797339009158</v>
          </cell>
          <cell r="S59">
            <v>0.96294655054234746</v>
          </cell>
        </row>
        <row r="60">
          <cell r="B60">
            <v>24.002700000000001</v>
          </cell>
          <cell r="R60">
            <v>0.96965375294200895</v>
          </cell>
          <cell r="S60">
            <v>0.99022253934958737</v>
          </cell>
        </row>
        <row r="61">
          <cell r="B61">
            <v>24.502599999999997</v>
          </cell>
          <cell r="R61">
            <v>0.98539866520384145</v>
          </cell>
          <cell r="S61">
            <v>0.96137897111145443</v>
          </cell>
        </row>
        <row r="62">
          <cell r="B62">
            <v>25.002799999999997</v>
          </cell>
          <cell r="R62">
            <v>0.99349335368516312</v>
          </cell>
          <cell r="S62">
            <v>0.98365766019245904</v>
          </cell>
        </row>
        <row r="63">
          <cell r="B63">
            <v>25.502799999999997</v>
          </cell>
          <cell r="R63">
            <v>0.99748711493197706</v>
          </cell>
          <cell r="S63">
            <v>0.92910630461475763</v>
          </cell>
        </row>
        <row r="64">
          <cell r="B64">
            <v>26.002799999999997</v>
          </cell>
          <cell r="R64">
            <v>0.96262622239558859</v>
          </cell>
          <cell r="S64">
            <v>0.92563337719061445</v>
          </cell>
        </row>
        <row r="65">
          <cell r="B65">
            <v>26.5029</v>
          </cell>
          <cell r="R65">
            <v>0.98504388356729555</v>
          </cell>
          <cell r="S65">
            <v>0.90497596928698709</v>
          </cell>
        </row>
        <row r="66">
          <cell r="B66">
            <v>27.0029</v>
          </cell>
          <cell r="R66">
            <v>1.026304222410068</v>
          </cell>
          <cell r="S66">
            <v>0.97598801619451325</v>
          </cell>
        </row>
        <row r="67">
          <cell r="B67">
            <v>27.502300000000002</v>
          </cell>
          <cell r="R67">
            <v>1.0489162569037069</v>
          </cell>
          <cell r="S67">
            <v>1.0795660392592896</v>
          </cell>
        </row>
        <row r="68">
          <cell r="B68">
            <v>28.0031</v>
          </cell>
          <cell r="R68">
            <v>1.0028567971090683</v>
          </cell>
          <cell r="S68">
            <v>1.1258124710827848</v>
          </cell>
        </row>
        <row r="69">
          <cell r="B69">
            <v>28.502300000000002</v>
          </cell>
          <cell r="R69">
            <v>0.97077744950677713</v>
          </cell>
          <cell r="S69">
            <v>0.9788201037540708</v>
          </cell>
        </row>
        <row r="70">
          <cell r="B70">
            <v>29.003200000000003</v>
          </cell>
          <cell r="R70">
            <v>0.987559062380164</v>
          </cell>
          <cell r="S70">
            <v>1.0302095071271349</v>
          </cell>
        </row>
        <row r="71">
          <cell r="B71">
            <v>29.502599999999997</v>
          </cell>
          <cell r="R71">
            <v>0.98837119396563911</v>
          </cell>
          <cell r="S71">
            <v>0.95320735055659456</v>
          </cell>
        </row>
        <row r="72">
          <cell r="B72">
            <v>30.002599999999997</v>
          </cell>
          <cell r="R72">
            <v>0.99500234694341205</v>
          </cell>
          <cell r="S72">
            <v>0.96848086597479266</v>
          </cell>
        </row>
        <row r="73">
          <cell r="B73">
            <v>30.502599999999997</v>
          </cell>
          <cell r="R73">
            <v>1.0082553247567141</v>
          </cell>
          <cell r="S73">
            <v>0.9735574462229204</v>
          </cell>
        </row>
        <row r="74">
          <cell r="B74">
            <v>31.002599999999997</v>
          </cell>
          <cell r="R74">
            <v>0.99581824881605907</v>
          </cell>
          <cell r="S74">
            <v>1.022823707691771</v>
          </cell>
        </row>
        <row r="75">
          <cell r="B75">
            <v>31.502700000000001</v>
          </cell>
          <cell r="R75">
            <v>0.96256948208245485</v>
          </cell>
          <cell r="S75">
            <v>0.95189773510333398</v>
          </cell>
        </row>
        <row r="76">
          <cell r="B76">
            <v>32.002700000000004</v>
          </cell>
          <cell r="R76">
            <v>1.0135696151259361</v>
          </cell>
          <cell r="S76">
            <v>0.93963675703279625</v>
          </cell>
        </row>
      </sheetData>
      <sheetData sheetId="3">
        <row r="1">
          <cell r="R1" t="str">
            <v>R(t) Region 1</v>
          </cell>
          <cell r="S1" t="str">
            <v>R(t) Region 2</v>
          </cell>
        </row>
        <row r="2">
          <cell r="B2">
            <v>-7.5107999999999997</v>
          </cell>
          <cell r="R2">
            <v>3.2230481411975567</v>
          </cell>
          <cell r="S2">
            <v>1.5119455735882419</v>
          </cell>
        </row>
        <row r="3">
          <cell r="B3">
            <v>-7.0076999999999998</v>
          </cell>
          <cell r="R3">
            <v>3.4074128349554611</v>
          </cell>
          <cell r="S3">
            <v>1.5573854859735903</v>
          </cell>
        </row>
        <row r="4">
          <cell r="B4">
            <v>-6.5080999999999998</v>
          </cell>
          <cell r="R4">
            <v>3.1579965592603076</v>
          </cell>
          <cell r="S4">
            <v>1.5946917643676402</v>
          </cell>
        </row>
        <row r="5">
          <cell r="B5">
            <v>-6.0078999999999994</v>
          </cell>
          <cell r="R5">
            <v>3.1869153751706705</v>
          </cell>
          <cell r="S5">
            <v>1.5678757468039839</v>
          </cell>
        </row>
        <row r="6">
          <cell r="B6">
            <v>-5.5079999999999991</v>
          </cell>
          <cell r="R6">
            <v>3.1122678427295289</v>
          </cell>
          <cell r="S6">
            <v>1.6072779456127078</v>
          </cell>
        </row>
        <row r="7">
          <cell r="B7">
            <v>-5.0077999999999996</v>
          </cell>
          <cell r="R7">
            <v>3.0855169335726944</v>
          </cell>
          <cell r="S7">
            <v>1.5679339092977065</v>
          </cell>
        </row>
        <row r="8">
          <cell r="B8">
            <v>-4.5079999999999991</v>
          </cell>
          <cell r="R8">
            <v>3.1446946308391954</v>
          </cell>
          <cell r="S8">
            <v>1.6308008418697002</v>
          </cell>
        </row>
        <row r="9">
          <cell r="B9">
            <v>-4.0077999999999996</v>
          </cell>
          <cell r="R9">
            <v>3.1213455608536869</v>
          </cell>
          <cell r="S9">
            <v>1.595558936010546</v>
          </cell>
        </row>
        <row r="10">
          <cell r="B10">
            <v>-3.5081999999999995</v>
          </cell>
          <cell r="R10">
            <v>3.096223182115585</v>
          </cell>
          <cell r="S10">
            <v>1.717390324130269</v>
          </cell>
        </row>
        <row r="11">
          <cell r="B11">
            <v>-3.008</v>
          </cell>
          <cell r="R11">
            <v>2.9987772365337895</v>
          </cell>
          <cell r="S11">
            <v>1.5252468824023471</v>
          </cell>
        </row>
        <row r="12">
          <cell r="B12">
            <v>0</v>
          </cell>
          <cell r="R12">
            <v>0</v>
          </cell>
          <cell r="S12">
            <v>0</v>
          </cell>
        </row>
        <row r="13">
          <cell r="B13">
            <v>0.50260000000000105</v>
          </cell>
          <cell r="R13">
            <v>0.37921896547750866</v>
          </cell>
          <cell r="S13">
            <v>0.24487477244589873</v>
          </cell>
        </row>
        <row r="14">
          <cell r="B14">
            <v>1.0031999999999996</v>
          </cell>
          <cell r="R14">
            <v>0.49496758173210093</v>
          </cell>
          <cell r="S14">
            <v>0.333593554721551</v>
          </cell>
        </row>
        <row r="15">
          <cell r="B15">
            <v>1.502600000000001</v>
          </cell>
          <cell r="R15">
            <v>0.55681291930527077</v>
          </cell>
          <cell r="S15">
            <v>0.31207437469070098</v>
          </cell>
        </row>
        <row r="16">
          <cell r="B16">
            <v>2.0028000000000006</v>
          </cell>
          <cell r="R16">
            <v>0.68395446887250388</v>
          </cell>
          <cell r="S16">
            <v>0.48101079528568308</v>
          </cell>
        </row>
        <row r="17">
          <cell r="B17">
            <v>2.5023999999999997</v>
          </cell>
          <cell r="R17">
            <v>0.73800783100197909</v>
          </cell>
          <cell r="S17">
            <v>0.51756882158506423</v>
          </cell>
        </row>
        <row r="18">
          <cell r="B18">
            <v>3.0031999999999996</v>
          </cell>
          <cell r="R18">
            <v>0.72982026932360045</v>
          </cell>
          <cell r="S18">
            <v>0.47798512907498791</v>
          </cell>
        </row>
        <row r="19">
          <cell r="B19">
            <v>3.502600000000001</v>
          </cell>
          <cell r="R19">
            <v>0.79255387671633803</v>
          </cell>
          <cell r="S19">
            <v>0.56153642333579812</v>
          </cell>
        </row>
        <row r="20">
          <cell r="B20">
            <v>4.002600000000001</v>
          </cell>
          <cell r="R20">
            <v>0.77149623448546389</v>
          </cell>
          <cell r="S20">
            <v>0.5362717694839354</v>
          </cell>
        </row>
        <row r="21">
          <cell r="B21">
            <v>4.5027000000000008</v>
          </cell>
          <cell r="R21">
            <v>0.83259193504879658</v>
          </cell>
          <cell r="S21">
            <v>0.5949997105731315</v>
          </cell>
        </row>
        <row r="22">
          <cell r="B22">
            <v>5.0027000000000008</v>
          </cell>
          <cell r="R22">
            <v>0.94511294116173838</v>
          </cell>
          <cell r="S22">
            <v>0.66857034173868191</v>
          </cell>
        </row>
        <row r="23">
          <cell r="B23">
            <v>5.5027000000000008</v>
          </cell>
          <cell r="R23">
            <v>0.90380500962605126</v>
          </cell>
          <cell r="S23">
            <v>0.64034090262905952</v>
          </cell>
        </row>
        <row r="24">
          <cell r="B24">
            <v>6.0029000000000003</v>
          </cell>
          <cell r="R24">
            <v>0.93546103046247853</v>
          </cell>
          <cell r="S24">
            <v>0.66896529440369168</v>
          </cell>
        </row>
        <row r="25">
          <cell r="B25">
            <v>6.5024999999999995</v>
          </cell>
          <cell r="R25">
            <v>0.924927991842588</v>
          </cell>
          <cell r="S25">
            <v>0.62772651350623676</v>
          </cell>
        </row>
        <row r="26">
          <cell r="B26">
            <v>7.0027000000000008</v>
          </cell>
          <cell r="R26">
            <v>0.92660531359921394</v>
          </cell>
          <cell r="S26">
            <v>0.68681949394797348</v>
          </cell>
        </row>
        <row r="27">
          <cell r="B27">
            <v>7.5027000000000008</v>
          </cell>
          <cell r="R27">
            <v>0.96331825272614435</v>
          </cell>
          <cell r="S27">
            <v>0.68554952895005106</v>
          </cell>
        </row>
        <row r="28">
          <cell r="B28">
            <v>8.0028000000000006</v>
          </cell>
          <cell r="R28">
            <v>0.90752724652269323</v>
          </cell>
          <cell r="S28">
            <v>0.66969553366078993</v>
          </cell>
        </row>
        <row r="29">
          <cell r="B29">
            <v>8.5028000000000006</v>
          </cell>
          <cell r="R29">
            <v>0.94121281301451931</v>
          </cell>
          <cell r="S29">
            <v>0.72962772278386157</v>
          </cell>
        </row>
        <row r="30">
          <cell r="B30">
            <v>9.0028000000000006</v>
          </cell>
          <cell r="R30">
            <v>0.99025780523674467</v>
          </cell>
          <cell r="S30">
            <v>0.68637478184625023</v>
          </cell>
        </row>
        <row r="31">
          <cell r="B31">
            <v>9.5028000000000006</v>
          </cell>
          <cell r="R31">
            <v>0.91457926955308155</v>
          </cell>
          <cell r="S31">
            <v>0.73824693557337495</v>
          </cell>
        </row>
        <row r="32">
          <cell r="B32">
            <v>10.003</v>
          </cell>
          <cell r="R32">
            <v>0.86773617612190268</v>
          </cell>
          <cell r="S32">
            <v>0.7100520116338187</v>
          </cell>
        </row>
        <row r="33">
          <cell r="B33">
            <v>10.502500000000001</v>
          </cell>
          <cell r="R33">
            <v>0.92428728963826845</v>
          </cell>
          <cell r="S33">
            <v>0.74101214950465244</v>
          </cell>
        </row>
        <row r="34">
          <cell r="B34">
            <v>11.0031</v>
          </cell>
          <cell r="R34">
            <v>0.98848072080265637</v>
          </cell>
          <cell r="S34">
            <v>0.84132112585201879</v>
          </cell>
        </row>
        <row r="35">
          <cell r="B35">
            <v>11.502500000000001</v>
          </cell>
          <cell r="R35">
            <v>0.99407338113483645</v>
          </cell>
          <cell r="S35">
            <v>0.79292741124769262</v>
          </cell>
        </row>
        <row r="36">
          <cell r="B36">
            <v>12.002700000000001</v>
          </cell>
          <cell r="R36">
            <v>0.89821534989705565</v>
          </cell>
          <cell r="S36">
            <v>0.83791825211788928</v>
          </cell>
        </row>
        <row r="37">
          <cell r="B37">
            <v>12.5029</v>
          </cell>
          <cell r="R37">
            <v>1.0216406774696274</v>
          </cell>
          <cell r="S37">
            <v>0.88748526757025026</v>
          </cell>
        </row>
        <row r="38">
          <cell r="B38">
            <v>13.0029</v>
          </cell>
          <cell r="R38">
            <v>0.99615454869160636</v>
          </cell>
          <cell r="S38">
            <v>0.83014367593970662</v>
          </cell>
        </row>
        <row r="39">
          <cell r="B39">
            <v>13.502300000000002</v>
          </cell>
          <cell r="R39">
            <v>0.9302258252144201</v>
          </cell>
          <cell r="S39">
            <v>0.86960334713500975</v>
          </cell>
        </row>
        <row r="40">
          <cell r="B40">
            <v>14.002800000000001</v>
          </cell>
          <cell r="R40">
            <v>0.90933976803666228</v>
          </cell>
          <cell r="S40">
            <v>0.85103305021647424</v>
          </cell>
        </row>
        <row r="41">
          <cell r="B41">
            <v>14.502800000000001</v>
          </cell>
          <cell r="R41">
            <v>0.94173144599912562</v>
          </cell>
          <cell r="S41">
            <v>0.79462294707013537</v>
          </cell>
        </row>
        <row r="42">
          <cell r="B42">
            <v>15.0029</v>
          </cell>
          <cell r="R42">
            <v>0.91175957303822619</v>
          </cell>
          <cell r="S42">
            <v>0.84868631520515003</v>
          </cell>
        </row>
        <row r="43">
          <cell r="B43">
            <v>15.5029</v>
          </cell>
          <cell r="R43">
            <v>0.90964727475074136</v>
          </cell>
          <cell r="S43">
            <v>0.82748508788453634</v>
          </cell>
        </row>
        <row r="44">
          <cell r="B44">
            <v>16.0031</v>
          </cell>
          <cell r="R44">
            <v>0.94115713106955068</v>
          </cell>
          <cell r="S44">
            <v>0.82136653241012514</v>
          </cell>
        </row>
        <row r="45">
          <cell r="B45">
            <v>16.502700000000001</v>
          </cell>
          <cell r="R45">
            <v>0.92675564729027726</v>
          </cell>
          <cell r="S45">
            <v>0.84758620400450058</v>
          </cell>
        </row>
        <row r="46">
          <cell r="B46">
            <v>17.0031</v>
          </cell>
          <cell r="R46">
            <v>1.0254383601855424</v>
          </cell>
          <cell r="S46">
            <v>0.96289149831236609</v>
          </cell>
        </row>
        <row r="47">
          <cell r="B47">
            <v>17.502500000000001</v>
          </cell>
          <cell r="R47">
            <v>1.0167402351755299</v>
          </cell>
          <cell r="S47">
            <v>0.96882037390557585</v>
          </cell>
        </row>
        <row r="48">
          <cell r="B48">
            <v>18.0032</v>
          </cell>
          <cell r="R48">
            <v>0.92054903271991806</v>
          </cell>
          <cell r="S48">
            <v>0.86844812042935282</v>
          </cell>
        </row>
        <row r="49">
          <cell r="B49">
            <v>18.502600000000001</v>
          </cell>
          <cell r="R49">
            <v>0.93454235066179314</v>
          </cell>
          <cell r="S49">
            <v>0.87056072975478094</v>
          </cell>
        </row>
        <row r="50">
          <cell r="B50">
            <v>19.002800000000001</v>
          </cell>
          <cell r="R50">
            <v>0.95957788005868649</v>
          </cell>
          <cell r="S50">
            <v>0.90451270181786181</v>
          </cell>
        </row>
        <row r="51">
          <cell r="B51">
            <v>19.502600000000001</v>
          </cell>
          <cell r="R51">
            <v>0.98647232178595667</v>
          </cell>
          <cell r="S51">
            <v>0.91557566494349729</v>
          </cell>
        </row>
        <row r="52">
          <cell r="B52">
            <v>20.002800000000001</v>
          </cell>
          <cell r="R52">
            <v>1.0155304654770891</v>
          </cell>
          <cell r="S52">
            <v>0.91727870204395734</v>
          </cell>
        </row>
        <row r="53">
          <cell r="B53">
            <v>20.502400000000002</v>
          </cell>
          <cell r="R53">
            <v>0.9950339531639355</v>
          </cell>
          <cell r="S53">
            <v>0.93687190451876934</v>
          </cell>
        </row>
        <row r="54">
          <cell r="B54">
            <v>21.0029</v>
          </cell>
          <cell r="R54">
            <v>0.97205301949417533</v>
          </cell>
          <cell r="S54">
            <v>0.93495331541252613</v>
          </cell>
        </row>
        <row r="55">
          <cell r="B55">
            <v>21.5029</v>
          </cell>
          <cell r="R55">
            <v>0.9893234909405012</v>
          </cell>
          <cell r="S55">
            <v>0.94619775847663501</v>
          </cell>
        </row>
        <row r="56">
          <cell r="B56">
            <v>22.0029</v>
          </cell>
          <cell r="R56">
            <v>0.97449864900817129</v>
          </cell>
          <cell r="S56">
            <v>0.87115116634169698</v>
          </cell>
        </row>
        <row r="57">
          <cell r="B57">
            <v>22.502300000000002</v>
          </cell>
          <cell r="R57">
            <v>0.92922688750095694</v>
          </cell>
          <cell r="S57">
            <v>0.91712775760726528</v>
          </cell>
        </row>
        <row r="58">
          <cell r="B58">
            <v>23.0032</v>
          </cell>
          <cell r="R58">
            <v>0.92639588842962339</v>
          </cell>
          <cell r="S58">
            <v>0.93992169935298719</v>
          </cell>
        </row>
        <row r="59">
          <cell r="B59">
            <v>23.502700000000001</v>
          </cell>
          <cell r="R59">
            <v>0.97967230231209701</v>
          </cell>
          <cell r="S59">
            <v>0.89987100812643328</v>
          </cell>
        </row>
        <row r="60">
          <cell r="B60">
            <v>24.0029</v>
          </cell>
          <cell r="R60">
            <v>1.0198295753939908</v>
          </cell>
          <cell r="S60">
            <v>0.95623997758782908</v>
          </cell>
        </row>
        <row r="61">
          <cell r="B61">
            <v>24.502399999999998</v>
          </cell>
          <cell r="R61">
            <v>1.0477480540444553</v>
          </cell>
          <cell r="S61">
            <v>0.90340193122843204</v>
          </cell>
        </row>
        <row r="62">
          <cell r="B62">
            <v>25.003000000000004</v>
          </cell>
          <cell r="R62">
            <v>0.9819093832303798</v>
          </cell>
          <cell r="S62">
            <v>0.97423115674252503</v>
          </cell>
        </row>
        <row r="63">
          <cell r="B63">
            <v>25.502399999999998</v>
          </cell>
          <cell r="R63">
            <v>0.94768969305494688</v>
          </cell>
          <cell r="S63">
            <v>0.9011824517595598</v>
          </cell>
        </row>
        <row r="64">
          <cell r="B64">
            <v>26.003200000000003</v>
          </cell>
          <cell r="R64">
            <v>0.94184920408671435</v>
          </cell>
          <cell r="S64">
            <v>0.86355943247814138</v>
          </cell>
        </row>
        <row r="65">
          <cell r="B65">
            <v>26.502799999999997</v>
          </cell>
          <cell r="R65">
            <v>0.95786124552774876</v>
          </cell>
          <cell r="S65">
            <v>0.85131118579709897</v>
          </cell>
        </row>
        <row r="66">
          <cell r="B66">
            <v>27.002700000000001</v>
          </cell>
          <cell r="R66">
            <v>0.97354561821541541</v>
          </cell>
          <cell r="S66">
            <v>0.9424780396316339</v>
          </cell>
        </row>
        <row r="67">
          <cell r="B67">
            <v>27.502700000000001</v>
          </cell>
          <cell r="R67">
            <v>0.97310965488306</v>
          </cell>
          <cell r="S67">
            <v>0.97264514757375287</v>
          </cell>
        </row>
        <row r="68">
          <cell r="B68">
            <v>28.002700000000001</v>
          </cell>
          <cell r="R68">
            <v>1.0419790343604318</v>
          </cell>
          <cell r="S68">
            <v>0.93481233100271233</v>
          </cell>
        </row>
        <row r="69">
          <cell r="B69">
            <v>28.502700000000001</v>
          </cell>
          <cell r="R69">
            <v>0.98723344104472177</v>
          </cell>
          <cell r="S69">
            <v>0.9638019610929216</v>
          </cell>
        </row>
        <row r="70">
          <cell r="B70">
            <v>29.002799999999997</v>
          </cell>
          <cell r="R70">
            <v>1.0668771421994006</v>
          </cell>
          <cell r="S70">
            <v>1.0718406823893118</v>
          </cell>
        </row>
        <row r="71">
          <cell r="B71">
            <v>29.502799999999997</v>
          </cell>
          <cell r="R71">
            <v>1.0847270230496571</v>
          </cell>
          <cell r="S71">
            <v>1.1354602160256417</v>
          </cell>
        </row>
        <row r="72">
          <cell r="B72">
            <v>30.002799999999997</v>
          </cell>
          <cell r="R72">
            <v>0.97047245394940285</v>
          </cell>
          <cell r="S72">
            <v>0.93847748552804644</v>
          </cell>
        </row>
        <row r="73">
          <cell r="B73">
            <v>30.502799999999997</v>
          </cell>
          <cell r="R73">
            <v>0.91378617165900455</v>
          </cell>
          <cell r="S73">
            <v>0.94752738637402056</v>
          </cell>
        </row>
        <row r="74">
          <cell r="B74">
            <v>31.0029</v>
          </cell>
          <cell r="R74">
            <v>1.0254038387696023</v>
          </cell>
          <cell r="S74">
            <v>1.0024812254250923</v>
          </cell>
        </row>
        <row r="75">
          <cell r="B75">
            <v>31.5029</v>
          </cell>
          <cell r="R75">
            <v>0.99638107700655065</v>
          </cell>
          <cell r="S75">
            <v>1.0640756595398835</v>
          </cell>
        </row>
        <row r="76">
          <cell r="B76">
            <v>32.002899999999997</v>
          </cell>
          <cell r="R76">
            <v>0.96648454486275426</v>
          </cell>
          <cell r="S76">
            <v>1.0263998654169824</v>
          </cell>
        </row>
      </sheetData>
      <sheetData sheetId="4">
        <row r="1">
          <cell r="R1" t="str">
            <v>R(t) Region 1</v>
          </cell>
          <cell r="S1" t="str">
            <v>R(t) Region 2</v>
          </cell>
        </row>
        <row r="2">
          <cell r="B2">
            <v>-7.5106000000000002</v>
          </cell>
          <cell r="R2">
            <v>1.7788705930562729</v>
          </cell>
          <cell r="S2">
            <v>1.7544173282257007</v>
          </cell>
        </row>
        <row r="3">
          <cell r="B3">
            <v>-7.0078000000000005</v>
          </cell>
          <cell r="R3">
            <v>1.8842312003897173</v>
          </cell>
          <cell r="S3">
            <v>1.8830270139951328</v>
          </cell>
        </row>
        <row r="4">
          <cell r="B4">
            <v>-6.5076000000000001</v>
          </cell>
          <cell r="R4">
            <v>1.8529136905116284</v>
          </cell>
          <cell r="S4">
            <v>1.9617370413095132</v>
          </cell>
        </row>
        <row r="5">
          <cell r="B5">
            <v>-6.008</v>
          </cell>
          <cell r="R5">
            <v>1.810977842038876</v>
          </cell>
          <cell r="S5">
            <v>1.8592713210375014</v>
          </cell>
        </row>
        <row r="6">
          <cell r="B6">
            <v>-5.508</v>
          </cell>
          <cell r="R6">
            <v>1.8173534457171536</v>
          </cell>
          <cell r="S6">
            <v>1.7827411518970391</v>
          </cell>
        </row>
        <row r="7">
          <cell r="B7">
            <v>-5.0079000000000002</v>
          </cell>
          <cell r="R7">
            <v>1.7524316395047361</v>
          </cell>
          <cell r="S7">
            <v>1.7267299511520293</v>
          </cell>
        </row>
        <row r="8">
          <cell r="B8">
            <v>-4.5079000000000002</v>
          </cell>
          <cell r="R8">
            <v>1.767357498346753</v>
          </cell>
          <cell r="S8">
            <v>1.8483399979953854</v>
          </cell>
        </row>
        <row r="9">
          <cell r="B9">
            <v>-4.0076999999999998</v>
          </cell>
          <cell r="R9">
            <v>1.6717933445729338</v>
          </cell>
          <cell r="S9">
            <v>1.7440399255321766</v>
          </cell>
        </row>
        <row r="10">
          <cell r="B10">
            <v>-3.5075000000000003</v>
          </cell>
          <cell r="R10">
            <v>1.7639683688676944</v>
          </cell>
          <cell r="S10">
            <v>1.7645856463637888</v>
          </cell>
        </row>
        <row r="11">
          <cell r="B11">
            <v>-3.0080999999999998</v>
          </cell>
          <cell r="R11">
            <v>1.7608456402895865</v>
          </cell>
          <cell r="S11">
            <v>1.9260192075430005</v>
          </cell>
        </row>
        <row r="12">
          <cell r="B12">
            <v>0</v>
          </cell>
          <cell r="R12">
            <v>0</v>
          </cell>
          <cell r="S12">
            <v>0</v>
          </cell>
        </row>
        <row r="13">
          <cell r="B13">
            <v>0.50309999999999988</v>
          </cell>
          <cell r="R13">
            <v>0.1167762289882695</v>
          </cell>
          <cell r="S13">
            <v>0.16529295271914451</v>
          </cell>
        </row>
        <row r="14">
          <cell r="B14">
            <v>1.0024999999999995</v>
          </cell>
          <cell r="R14">
            <v>0.16247801634605388</v>
          </cell>
          <cell r="S14">
            <v>0.12511239377396552</v>
          </cell>
        </row>
        <row r="15">
          <cell r="B15">
            <v>1.502699999999999</v>
          </cell>
          <cell r="R15">
            <v>0.23047116092791076</v>
          </cell>
          <cell r="S15">
            <v>0.23731020173627235</v>
          </cell>
        </row>
        <row r="16">
          <cell r="B16">
            <v>2.0023</v>
          </cell>
          <cell r="R16">
            <v>0.26406920557289565</v>
          </cell>
          <cell r="S16">
            <v>0.3380685057407693</v>
          </cell>
        </row>
        <row r="17">
          <cell r="B17">
            <v>2.502699999999999</v>
          </cell>
          <cell r="R17">
            <v>0.31304265576298845</v>
          </cell>
          <cell r="S17">
            <v>0.40556854018591687</v>
          </cell>
        </row>
        <row r="18">
          <cell r="B18">
            <v>3.0028000000000006</v>
          </cell>
          <cell r="R18">
            <v>0.34208725585990046</v>
          </cell>
          <cell r="S18">
            <v>0.38176100838211185</v>
          </cell>
        </row>
        <row r="19">
          <cell r="B19">
            <v>3.5028000000000006</v>
          </cell>
          <cell r="R19">
            <v>0.38016248845558864</v>
          </cell>
          <cell r="S19">
            <v>0.38944100034765478</v>
          </cell>
        </row>
        <row r="20">
          <cell r="B20">
            <v>4.0028000000000006</v>
          </cell>
          <cell r="R20">
            <v>0.41374038534698321</v>
          </cell>
          <cell r="S20">
            <v>0.46363508827233096</v>
          </cell>
        </row>
        <row r="21">
          <cell r="B21">
            <v>4.5029000000000003</v>
          </cell>
          <cell r="R21">
            <v>0.42811718744667226</v>
          </cell>
          <cell r="S21">
            <v>0.50357540776050458</v>
          </cell>
        </row>
        <row r="22">
          <cell r="B22">
            <v>5.0023</v>
          </cell>
          <cell r="R22">
            <v>0.44156630381865863</v>
          </cell>
          <cell r="S22">
            <v>0.49417207971287919</v>
          </cell>
        </row>
        <row r="23">
          <cell r="B23">
            <v>5.5029000000000003</v>
          </cell>
          <cell r="R23">
            <v>0.45034762991028743</v>
          </cell>
          <cell r="S23">
            <v>0.56386362138007051</v>
          </cell>
        </row>
        <row r="24">
          <cell r="B24">
            <v>6.0024999999999995</v>
          </cell>
          <cell r="R24">
            <v>0.50160153207791702</v>
          </cell>
          <cell r="S24">
            <v>0.59306488139884117</v>
          </cell>
        </row>
        <row r="25">
          <cell r="B25">
            <v>6.5029000000000003</v>
          </cell>
          <cell r="R25">
            <v>0.49569370734211388</v>
          </cell>
          <cell r="S25">
            <v>0.57059456338782522</v>
          </cell>
        </row>
        <row r="26">
          <cell r="B26">
            <v>7.0023999999999997</v>
          </cell>
          <cell r="R26">
            <v>0.53794653714707807</v>
          </cell>
          <cell r="S26">
            <v>0.60416912906695164</v>
          </cell>
        </row>
        <row r="27">
          <cell r="B27">
            <v>7.5030000000000001</v>
          </cell>
          <cell r="R27">
            <v>0.54269031730283646</v>
          </cell>
          <cell r="S27">
            <v>0.68310386173145221</v>
          </cell>
        </row>
        <row r="28">
          <cell r="B28">
            <v>8.0028000000000006</v>
          </cell>
          <cell r="R28">
            <v>0.56623525612560599</v>
          </cell>
          <cell r="S28">
            <v>0.69547141984604899</v>
          </cell>
        </row>
        <row r="29">
          <cell r="B29">
            <v>8.5029000000000003</v>
          </cell>
          <cell r="R29">
            <v>0.59226359989218458</v>
          </cell>
          <cell r="S29">
            <v>0.66617718555920724</v>
          </cell>
        </row>
        <row r="30">
          <cell r="B30">
            <v>9.0022999999999982</v>
          </cell>
          <cell r="R30">
            <v>0.60041129413123295</v>
          </cell>
          <cell r="S30">
            <v>0.66799263855361335</v>
          </cell>
        </row>
        <row r="31">
          <cell r="B31">
            <v>9.5030999999999999</v>
          </cell>
          <cell r="R31">
            <v>0.636475786626722</v>
          </cell>
          <cell r="S31">
            <v>0.73242390161422299</v>
          </cell>
        </row>
        <row r="32">
          <cell r="B32">
            <v>10.002700000000001</v>
          </cell>
          <cell r="R32">
            <v>0.62532578560868357</v>
          </cell>
          <cell r="S32">
            <v>0.6857447806770236</v>
          </cell>
        </row>
        <row r="33">
          <cell r="B33">
            <v>10.5029</v>
          </cell>
          <cell r="R33">
            <v>0.63138533934943153</v>
          </cell>
          <cell r="S33">
            <v>0.72257949252819353</v>
          </cell>
        </row>
        <row r="34">
          <cell r="B34">
            <v>11.002299999999998</v>
          </cell>
          <cell r="R34">
            <v>0.65592554195414809</v>
          </cell>
          <cell r="S34">
            <v>0.7418901150775018</v>
          </cell>
        </row>
        <row r="35">
          <cell r="B35">
            <v>11.5029</v>
          </cell>
          <cell r="R35">
            <v>0.64476422773732678</v>
          </cell>
          <cell r="S35">
            <v>0.79957081592199053</v>
          </cell>
        </row>
        <row r="36">
          <cell r="B36">
            <v>12.002800000000001</v>
          </cell>
          <cell r="R36">
            <v>0.65826716362926496</v>
          </cell>
          <cell r="S36">
            <v>0.68718427783307467</v>
          </cell>
        </row>
        <row r="37">
          <cell r="B37">
            <v>12.502800000000001</v>
          </cell>
          <cell r="R37">
            <v>0.69748717814212013</v>
          </cell>
          <cell r="S37">
            <v>0.71616820948392623</v>
          </cell>
        </row>
        <row r="38">
          <cell r="B38">
            <v>13.002800000000001</v>
          </cell>
          <cell r="R38">
            <v>0.70172018050724594</v>
          </cell>
          <cell r="S38">
            <v>0.68480477378790294</v>
          </cell>
        </row>
        <row r="39">
          <cell r="B39">
            <v>13.5029</v>
          </cell>
          <cell r="R39">
            <v>0.76288337975941201</v>
          </cell>
          <cell r="S39">
            <v>0.84265791911137755</v>
          </cell>
        </row>
        <row r="40">
          <cell r="B40">
            <v>14.002400000000002</v>
          </cell>
          <cell r="R40">
            <v>0.72380393788906994</v>
          </cell>
          <cell r="S40">
            <v>0.80986916849629376</v>
          </cell>
        </row>
        <row r="41">
          <cell r="B41">
            <v>14.502600000000001</v>
          </cell>
          <cell r="R41">
            <v>0.74437736934366494</v>
          </cell>
          <cell r="S41">
            <v>0.85049888723172173</v>
          </cell>
        </row>
        <row r="42">
          <cell r="B42">
            <v>15.002700000000001</v>
          </cell>
          <cell r="R42">
            <v>0.7852230914607965</v>
          </cell>
          <cell r="S42">
            <v>0.91643961589896517</v>
          </cell>
        </row>
        <row r="43">
          <cell r="B43">
            <v>15.502700000000001</v>
          </cell>
          <cell r="R43">
            <v>0.78259320964401058</v>
          </cell>
          <cell r="S43">
            <v>0.84510129446236326</v>
          </cell>
        </row>
        <row r="44">
          <cell r="B44">
            <v>16.002299999999998</v>
          </cell>
          <cell r="R44">
            <v>0.76265552358237854</v>
          </cell>
          <cell r="S44">
            <v>0.76296242348424126</v>
          </cell>
        </row>
        <row r="45">
          <cell r="B45">
            <v>16.5031</v>
          </cell>
          <cell r="R45">
            <v>0.77815970558137726</v>
          </cell>
          <cell r="S45">
            <v>0.85110016058854687</v>
          </cell>
        </row>
        <row r="46">
          <cell r="B46">
            <v>17.002500000000001</v>
          </cell>
          <cell r="R46">
            <v>0.77187032251791521</v>
          </cell>
          <cell r="S46">
            <v>0.81343109975784333</v>
          </cell>
        </row>
        <row r="47">
          <cell r="B47">
            <v>17.5032</v>
          </cell>
          <cell r="R47">
            <v>0.79737884721022245</v>
          </cell>
          <cell r="S47">
            <v>0.94424090485672962</v>
          </cell>
        </row>
        <row r="48">
          <cell r="B48">
            <v>18.002600000000001</v>
          </cell>
          <cell r="R48">
            <v>0.85260988219980127</v>
          </cell>
          <cell r="S48">
            <v>0.93849472883437779</v>
          </cell>
        </row>
        <row r="49">
          <cell r="B49">
            <v>18.502600000000001</v>
          </cell>
          <cell r="R49">
            <v>0.8580648088507925</v>
          </cell>
          <cell r="S49">
            <v>0.85923611865898741</v>
          </cell>
        </row>
        <row r="50">
          <cell r="B50">
            <v>19.002600000000001</v>
          </cell>
          <cell r="R50">
            <v>0.82802708180304752</v>
          </cell>
          <cell r="S50">
            <v>0.86213637072604432</v>
          </cell>
        </row>
        <row r="51">
          <cell r="B51">
            <v>19.502800000000001</v>
          </cell>
          <cell r="R51">
            <v>0.872889369916931</v>
          </cell>
          <cell r="S51">
            <v>0.89096308686675507</v>
          </cell>
        </row>
        <row r="52">
          <cell r="B52">
            <v>20.002400000000002</v>
          </cell>
          <cell r="R52">
            <v>0.86704757184060266</v>
          </cell>
          <cell r="S52">
            <v>0.91062958726358878</v>
          </cell>
        </row>
        <row r="53">
          <cell r="B53">
            <v>20.502600000000001</v>
          </cell>
          <cell r="R53">
            <v>0.8738922633116406</v>
          </cell>
          <cell r="S53">
            <v>0.92663921695811002</v>
          </cell>
        </row>
        <row r="54">
          <cell r="B54">
            <v>21.002600000000001</v>
          </cell>
          <cell r="R54">
            <v>0.87460330225132554</v>
          </cell>
          <cell r="S54">
            <v>0.89056593131908957</v>
          </cell>
        </row>
        <row r="55">
          <cell r="B55">
            <v>21.502600000000001</v>
          </cell>
          <cell r="R55">
            <v>0.87837611748249145</v>
          </cell>
          <cell r="S55">
            <v>0.86654940422090698</v>
          </cell>
        </row>
        <row r="56">
          <cell r="B56">
            <v>22.0029</v>
          </cell>
          <cell r="R56">
            <v>0.91055893790153053</v>
          </cell>
          <cell r="S56">
            <v>0.94251864912435535</v>
          </cell>
        </row>
        <row r="57">
          <cell r="B57">
            <v>22.5031</v>
          </cell>
          <cell r="R57">
            <v>0.95347720912166356</v>
          </cell>
          <cell r="S57">
            <v>1.0341476365114741</v>
          </cell>
        </row>
        <row r="58">
          <cell r="B58">
            <v>23.002500000000001</v>
          </cell>
          <cell r="R58">
            <v>0.90202542866918978</v>
          </cell>
          <cell r="S58">
            <v>0.94474033298289906</v>
          </cell>
        </row>
        <row r="59">
          <cell r="B59">
            <v>23.5031</v>
          </cell>
          <cell r="R59">
            <v>0.923623435236259</v>
          </cell>
          <cell r="S59">
            <v>0.94188988599953571</v>
          </cell>
        </row>
        <row r="60">
          <cell r="B60">
            <v>24.002500000000001</v>
          </cell>
          <cell r="R60">
            <v>0.89916923808397076</v>
          </cell>
          <cell r="S60">
            <v>0.90701886049793456</v>
          </cell>
        </row>
        <row r="61">
          <cell r="B61">
            <v>24.502700000000001</v>
          </cell>
          <cell r="R61">
            <v>0.98388180966226269</v>
          </cell>
          <cell r="S61">
            <v>0.99427095832102808</v>
          </cell>
        </row>
        <row r="62">
          <cell r="B62">
            <v>25.002300000000002</v>
          </cell>
          <cell r="R62">
            <v>0.98818314350527681</v>
          </cell>
          <cell r="S62">
            <v>0.97278033324095592</v>
          </cell>
        </row>
        <row r="63">
          <cell r="B63">
            <v>25.502799999999997</v>
          </cell>
          <cell r="R63">
            <v>0.94684532531373489</v>
          </cell>
          <cell r="S63">
            <v>1.020243133808407</v>
          </cell>
        </row>
        <row r="64">
          <cell r="B64">
            <v>26.002300000000002</v>
          </cell>
          <cell r="R64">
            <v>0.91961879243334421</v>
          </cell>
          <cell r="S64">
            <v>0.92722003235666384</v>
          </cell>
        </row>
        <row r="65">
          <cell r="B65">
            <v>26.502799999999997</v>
          </cell>
          <cell r="R65">
            <v>0.99487722622109287</v>
          </cell>
          <cell r="S65">
            <v>1.0521193547129306</v>
          </cell>
        </row>
        <row r="66">
          <cell r="B66">
            <v>27.002799999999997</v>
          </cell>
          <cell r="R66">
            <v>0.9626549885875535</v>
          </cell>
          <cell r="S66">
            <v>0.96844356843055712</v>
          </cell>
        </row>
        <row r="67">
          <cell r="B67">
            <v>27.5029</v>
          </cell>
          <cell r="R67">
            <v>1.0117647064462758</v>
          </cell>
          <cell r="S67">
            <v>1.047687101570459</v>
          </cell>
        </row>
        <row r="68">
          <cell r="B68">
            <v>28.002300000000002</v>
          </cell>
          <cell r="R68">
            <v>0.98615653361540945</v>
          </cell>
          <cell r="S68">
            <v>0.97444622217384957</v>
          </cell>
        </row>
        <row r="69">
          <cell r="B69">
            <v>28.5031</v>
          </cell>
          <cell r="R69">
            <v>0.93402048262463888</v>
          </cell>
          <cell r="S69">
            <v>0.88604956428311277</v>
          </cell>
        </row>
        <row r="70">
          <cell r="B70">
            <v>29.002700000000001</v>
          </cell>
          <cell r="R70">
            <v>1.0231541980049699</v>
          </cell>
          <cell r="S70">
            <v>1.1126028695234309</v>
          </cell>
        </row>
        <row r="71">
          <cell r="B71">
            <v>29.5029</v>
          </cell>
          <cell r="R71">
            <v>1.0344151438006322</v>
          </cell>
          <cell r="S71">
            <v>1.0078339171233375</v>
          </cell>
        </row>
        <row r="72">
          <cell r="B72">
            <v>30.002399999999998</v>
          </cell>
          <cell r="R72">
            <v>1.0280593449353659</v>
          </cell>
          <cell r="S72">
            <v>1.1032055718889628</v>
          </cell>
        </row>
        <row r="73">
          <cell r="B73">
            <v>30.502599999999997</v>
          </cell>
          <cell r="R73">
            <v>0.97541029900851106</v>
          </cell>
          <cell r="S73">
            <v>0.89813482894853502</v>
          </cell>
        </row>
        <row r="74">
          <cell r="B74">
            <v>31.002700000000001</v>
          </cell>
          <cell r="R74">
            <v>1.0082057918947109</v>
          </cell>
          <cell r="S74">
            <v>0.99055823253069186</v>
          </cell>
        </row>
        <row r="75">
          <cell r="B75">
            <v>31.502700000000001</v>
          </cell>
          <cell r="R75">
            <v>0.97262734453630673</v>
          </cell>
          <cell r="S75">
            <v>0.94091807788541193</v>
          </cell>
        </row>
        <row r="76">
          <cell r="B76">
            <v>32.002700000000004</v>
          </cell>
          <cell r="R76">
            <v>1.0635311665456237</v>
          </cell>
          <cell r="S76">
            <v>1.0701200456416535</v>
          </cell>
        </row>
      </sheetData>
      <sheetData sheetId="5">
        <row r="1">
          <cell r="R1" t="str">
            <v>R(t) Region 1</v>
          </cell>
          <cell r="S1" t="str">
            <v>R(t) Region 2</v>
          </cell>
        </row>
        <row r="2">
          <cell r="B2">
            <v>-7.5110000000000001</v>
          </cell>
          <cell r="R2">
            <v>1.3299197894870884</v>
          </cell>
          <cell r="S2">
            <v>1.467710427524352</v>
          </cell>
        </row>
        <row r="3">
          <cell r="B3">
            <v>-7.0079000000000002</v>
          </cell>
          <cell r="R3">
            <v>1.3208290569416026</v>
          </cell>
          <cell r="S3">
            <v>1.5401169549252587</v>
          </cell>
        </row>
        <row r="4">
          <cell r="B4">
            <v>-6.5083000000000002</v>
          </cell>
          <cell r="R4">
            <v>1.304886580160755</v>
          </cell>
          <cell r="S4">
            <v>1.4673226928446719</v>
          </cell>
        </row>
        <row r="5">
          <cell r="B5">
            <v>-6.0081000000000007</v>
          </cell>
          <cell r="R5">
            <v>1.2537784773541529</v>
          </cell>
          <cell r="S5">
            <v>1.453351570428437</v>
          </cell>
        </row>
        <row r="6">
          <cell r="B6">
            <v>-5.5087000000000002</v>
          </cell>
          <cell r="R6">
            <v>1.3248380488848259</v>
          </cell>
          <cell r="S6">
            <v>1.4947659106511999</v>
          </cell>
        </row>
        <row r="7">
          <cell r="B7">
            <v>-5.008</v>
          </cell>
          <cell r="R7">
            <v>1.2830712494285876</v>
          </cell>
          <cell r="S7">
            <v>1.4494892145002389</v>
          </cell>
        </row>
        <row r="8">
          <cell r="B8">
            <v>-4.5085999999999995</v>
          </cell>
          <cell r="R8">
            <v>1.2873543076467318</v>
          </cell>
          <cell r="S8">
            <v>1.4864524892694195</v>
          </cell>
        </row>
        <row r="9">
          <cell r="B9">
            <v>-4.0077999999999996</v>
          </cell>
          <cell r="R9">
            <v>1.2851274833390569</v>
          </cell>
          <cell r="S9">
            <v>1.4756362345928862</v>
          </cell>
        </row>
        <row r="10">
          <cell r="B10">
            <v>-3.5082000000000004</v>
          </cell>
          <cell r="R10">
            <v>1.2906232529226087</v>
          </cell>
          <cell r="S10">
            <v>1.5219727566188894</v>
          </cell>
        </row>
        <row r="11">
          <cell r="B11">
            <v>-3.008</v>
          </cell>
          <cell r="R11">
            <v>1.3239259791680076</v>
          </cell>
          <cell r="S11">
            <v>1.5716016567603532</v>
          </cell>
        </row>
        <row r="12">
          <cell r="B12">
            <v>0</v>
          </cell>
          <cell r="R12">
            <v>0</v>
          </cell>
          <cell r="S12">
            <v>0</v>
          </cell>
        </row>
        <row r="13">
          <cell r="B13">
            <v>0.50260000000000016</v>
          </cell>
          <cell r="R13">
            <v>8.5505893735930719E-2</v>
          </cell>
          <cell r="S13">
            <v>0.15665206585074748</v>
          </cell>
        </row>
        <row r="14">
          <cell r="B14">
            <v>1.0032000000000005</v>
          </cell>
          <cell r="R14">
            <v>0.15086088511130832</v>
          </cell>
          <cell r="S14">
            <v>0.25408195824157415</v>
          </cell>
        </row>
        <row r="15">
          <cell r="B15">
            <v>1.5026000000000002</v>
          </cell>
          <cell r="R15">
            <v>0.18224279444701433</v>
          </cell>
          <cell r="S15">
            <v>0.28342239210906761</v>
          </cell>
        </row>
        <row r="16">
          <cell r="B16">
            <v>2.0027999999999997</v>
          </cell>
          <cell r="R16">
            <v>0.24186666846759727</v>
          </cell>
          <cell r="S16">
            <v>0.42448575496930563</v>
          </cell>
        </row>
        <row r="17">
          <cell r="B17">
            <v>2.5024000000000006</v>
          </cell>
          <cell r="R17">
            <v>0.27663423118633373</v>
          </cell>
          <cell r="S17">
            <v>0.37314261992753828</v>
          </cell>
        </row>
        <row r="18">
          <cell r="B18">
            <v>3.0032000000000005</v>
          </cell>
          <cell r="R18">
            <v>0.30758239413151278</v>
          </cell>
          <cell r="S18">
            <v>0.42323843691376817</v>
          </cell>
        </row>
        <row r="19">
          <cell r="B19">
            <v>3.5026000000000002</v>
          </cell>
          <cell r="R19">
            <v>0.36083684627766449</v>
          </cell>
          <cell r="S19">
            <v>0.50351652953511983</v>
          </cell>
        </row>
        <row r="20">
          <cell r="B20">
            <v>4.0026000000000002</v>
          </cell>
          <cell r="R20">
            <v>0.38866676578185305</v>
          </cell>
          <cell r="S20">
            <v>0.52017774373897951</v>
          </cell>
        </row>
        <row r="21">
          <cell r="B21">
            <v>4.5026999999999999</v>
          </cell>
          <cell r="R21">
            <v>0.43218902091247852</v>
          </cell>
          <cell r="S21">
            <v>0.51540648017005541</v>
          </cell>
        </row>
        <row r="22">
          <cell r="B22">
            <v>5.0026999999999999</v>
          </cell>
          <cell r="R22">
            <v>0.46022456690008734</v>
          </cell>
          <cell r="S22">
            <v>0.60427709828019749</v>
          </cell>
        </row>
        <row r="23">
          <cell r="B23">
            <v>5.5026999999999999</v>
          </cell>
          <cell r="R23">
            <v>0.49737913318914123</v>
          </cell>
          <cell r="S23">
            <v>0.63535618449277387</v>
          </cell>
        </row>
        <row r="24">
          <cell r="B24">
            <v>6.0032000000000005</v>
          </cell>
          <cell r="R24">
            <v>0.51400656422285695</v>
          </cell>
          <cell r="S24">
            <v>0.6357907587935524</v>
          </cell>
        </row>
        <row r="25">
          <cell r="B25">
            <v>6.5026000000000002</v>
          </cell>
          <cell r="R25">
            <v>0.52230451891126217</v>
          </cell>
          <cell r="S25">
            <v>0.60079480391105877</v>
          </cell>
        </row>
        <row r="26">
          <cell r="B26">
            <v>7.0027999999999997</v>
          </cell>
          <cell r="R26">
            <v>0.54454906183924701</v>
          </cell>
          <cell r="S26">
            <v>0.66684478434373218</v>
          </cell>
        </row>
        <row r="27">
          <cell r="B27">
            <v>7.5024000000000006</v>
          </cell>
          <cell r="R27">
            <v>0.58298831024195241</v>
          </cell>
          <cell r="S27">
            <v>0.64910157204390273</v>
          </cell>
        </row>
        <row r="28">
          <cell r="B28">
            <v>8.0031999999999996</v>
          </cell>
          <cell r="R28">
            <v>0.58287653180249532</v>
          </cell>
          <cell r="S28">
            <v>0.63855376158741217</v>
          </cell>
        </row>
        <row r="29">
          <cell r="B29">
            <v>8.502600000000001</v>
          </cell>
          <cell r="R29">
            <v>0.60963046667297338</v>
          </cell>
          <cell r="S29">
            <v>0.71349462529212471</v>
          </cell>
        </row>
        <row r="30">
          <cell r="B30">
            <v>9.0032999999999994</v>
          </cell>
          <cell r="R30">
            <v>0.60989005095486626</v>
          </cell>
          <cell r="S30">
            <v>0.66440538533982163</v>
          </cell>
        </row>
        <row r="31">
          <cell r="B31">
            <v>9.5027000000000008</v>
          </cell>
          <cell r="R31">
            <v>0.65192012326809434</v>
          </cell>
          <cell r="S31">
            <v>0.67784520029729467</v>
          </cell>
        </row>
        <row r="32">
          <cell r="B32">
            <v>10.0029</v>
          </cell>
          <cell r="R32">
            <v>0.65859926564406346</v>
          </cell>
          <cell r="S32">
            <v>0.74141662398155661</v>
          </cell>
        </row>
        <row r="33">
          <cell r="B33">
            <v>10.502400000000002</v>
          </cell>
          <cell r="R33">
            <v>0.67971845850784318</v>
          </cell>
          <cell r="S33">
            <v>0.72598418918102914</v>
          </cell>
        </row>
        <row r="34">
          <cell r="B34">
            <v>11.002600000000001</v>
          </cell>
          <cell r="R34">
            <v>0.67847925915472729</v>
          </cell>
          <cell r="S34">
            <v>0.73669222122407074</v>
          </cell>
        </row>
        <row r="35">
          <cell r="B35">
            <v>11.502700000000001</v>
          </cell>
          <cell r="R35">
            <v>0.69301763725760579</v>
          </cell>
          <cell r="S35">
            <v>0.72117923139459272</v>
          </cell>
        </row>
        <row r="36">
          <cell r="B36">
            <v>12.002700000000001</v>
          </cell>
          <cell r="R36">
            <v>0.7195695010224884</v>
          </cell>
          <cell r="S36">
            <v>0.79258904094430416</v>
          </cell>
        </row>
        <row r="37">
          <cell r="B37">
            <v>12.502700000000001</v>
          </cell>
          <cell r="R37">
            <v>0.70183882630399175</v>
          </cell>
          <cell r="S37">
            <v>0.76434526263464508</v>
          </cell>
        </row>
        <row r="38">
          <cell r="B38">
            <v>13.002800000000001</v>
          </cell>
          <cell r="R38">
            <v>0.74014281003927829</v>
          </cell>
          <cell r="S38">
            <v>0.78454367399999225</v>
          </cell>
        </row>
        <row r="39">
          <cell r="B39">
            <v>13.502800000000001</v>
          </cell>
          <cell r="R39">
            <v>0.75777225594272379</v>
          </cell>
          <cell r="S39">
            <v>0.79772492880869128</v>
          </cell>
        </row>
        <row r="40">
          <cell r="B40">
            <v>14.003</v>
          </cell>
          <cell r="R40">
            <v>0.75905270683819659</v>
          </cell>
          <cell r="S40">
            <v>0.77861691750937967</v>
          </cell>
        </row>
        <row r="41">
          <cell r="B41">
            <v>14.502600000000001</v>
          </cell>
          <cell r="R41">
            <v>0.76924365586950927</v>
          </cell>
          <cell r="S41">
            <v>0.78903273789921446</v>
          </cell>
        </row>
        <row r="42">
          <cell r="B42">
            <v>15.003</v>
          </cell>
          <cell r="R42">
            <v>0.77585988598748279</v>
          </cell>
          <cell r="S42">
            <v>0.73130703576560041</v>
          </cell>
        </row>
        <row r="43">
          <cell r="B43">
            <v>15.502400000000002</v>
          </cell>
          <cell r="R43">
            <v>0.77755139415739127</v>
          </cell>
          <cell r="S43">
            <v>0.77962611116020419</v>
          </cell>
        </row>
        <row r="44">
          <cell r="B44">
            <v>16.003299999999999</v>
          </cell>
          <cell r="R44">
            <v>0.79806845972244245</v>
          </cell>
          <cell r="S44">
            <v>0.81443096165289974</v>
          </cell>
        </row>
        <row r="45">
          <cell r="B45">
            <v>16.502800000000001</v>
          </cell>
          <cell r="R45">
            <v>0.80884083984931854</v>
          </cell>
          <cell r="S45">
            <v>0.81989956703075084</v>
          </cell>
        </row>
        <row r="46">
          <cell r="B46">
            <v>17.002700000000001</v>
          </cell>
          <cell r="R46">
            <v>0.83010064311719689</v>
          </cell>
          <cell r="S46">
            <v>0.86908898601470475</v>
          </cell>
        </row>
        <row r="47">
          <cell r="B47">
            <v>17.502700000000001</v>
          </cell>
          <cell r="R47">
            <v>0.8395969404590935</v>
          </cell>
          <cell r="S47">
            <v>0.87158261770492118</v>
          </cell>
        </row>
        <row r="48">
          <cell r="B48">
            <v>18.002700000000001</v>
          </cell>
          <cell r="R48">
            <v>0.86438384828679615</v>
          </cell>
          <cell r="S48">
            <v>0.87017862007383862</v>
          </cell>
        </row>
        <row r="49">
          <cell r="B49">
            <v>18.502800000000001</v>
          </cell>
          <cell r="R49">
            <v>0.87312570603530715</v>
          </cell>
          <cell r="S49">
            <v>0.87284666697107383</v>
          </cell>
        </row>
        <row r="50">
          <cell r="B50">
            <v>19.003</v>
          </cell>
          <cell r="R50">
            <v>0.84326551594198262</v>
          </cell>
          <cell r="S50">
            <v>0.81755750182591969</v>
          </cell>
        </row>
        <row r="51">
          <cell r="B51">
            <v>19.502800000000001</v>
          </cell>
          <cell r="R51">
            <v>0.92059252703521555</v>
          </cell>
          <cell r="S51">
            <v>0.94668532717755716</v>
          </cell>
        </row>
        <row r="52">
          <cell r="B52">
            <v>20.002600000000001</v>
          </cell>
          <cell r="R52">
            <v>0.86055236878296038</v>
          </cell>
          <cell r="S52">
            <v>0.8510693801079634</v>
          </cell>
        </row>
        <row r="53">
          <cell r="B53">
            <v>20.502700000000001</v>
          </cell>
          <cell r="R53">
            <v>0.89706253632091526</v>
          </cell>
          <cell r="S53">
            <v>0.89982575157316935</v>
          </cell>
        </row>
        <row r="54">
          <cell r="B54">
            <v>21.002700000000001</v>
          </cell>
          <cell r="R54">
            <v>0.89135836469877916</v>
          </cell>
          <cell r="S54">
            <v>0.87936558365883966</v>
          </cell>
        </row>
        <row r="55">
          <cell r="B55">
            <v>21.502700000000001</v>
          </cell>
          <cell r="R55">
            <v>0.89556029683328586</v>
          </cell>
          <cell r="S55">
            <v>0.89534746989558722</v>
          </cell>
        </row>
        <row r="56">
          <cell r="B56">
            <v>22.002700000000001</v>
          </cell>
          <cell r="R56">
            <v>0.88383104789273415</v>
          </cell>
          <cell r="S56">
            <v>0.87311938938439448</v>
          </cell>
        </row>
        <row r="57">
          <cell r="B57">
            <v>22.502800000000001</v>
          </cell>
          <cell r="R57">
            <v>0.91650954395478412</v>
          </cell>
          <cell r="S57">
            <v>0.93490514649537226</v>
          </cell>
        </row>
        <row r="58">
          <cell r="B58">
            <v>23.002800000000001</v>
          </cell>
          <cell r="R58">
            <v>0.91760620696629303</v>
          </cell>
          <cell r="S58">
            <v>0.91508622089801794</v>
          </cell>
        </row>
        <row r="59">
          <cell r="B59">
            <v>23.502800000000001</v>
          </cell>
          <cell r="R59">
            <v>0.90738416091643426</v>
          </cell>
          <cell r="S59">
            <v>0.90176295394911676</v>
          </cell>
        </row>
        <row r="60">
          <cell r="B60">
            <v>24.0029</v>
          </cell>
          <cell r="R60">
            <v>0.92329588547245889</v>
          </cell>
          <cell r="S60">
            <v>0.95387640027827314</v>
          </cell>
        </row>
        <row r="61">
          <cell r="B61">
            <v>24.5029</v>
          </cell>
          <cell r="R61">
            <v>0.92755941587427682</v>
          </cell>
          <cell r="S61">
            <v>0.89345341585964078</v>
          </cell>
        </row>
        <row r="62">
          <cell r="B62">
            <v>25.0031</v>
          </cell>
          <cell r="R62">
            <v>0.9382714689115299</v>
          </cell>
          <cell r="S62">
            <v>0.90498500629522671</v>
          </cell>
        </row>
        <row r="63">
          <cell r="B63">
            <v>25.502700000000001</v>
          </cell>
          <cell r="R63">
            <v>0.94486404462627049</v>
          </cell>
          <cell r="S63">
            <v>0.89963543995990258</v>
          </cell>
        </row>
        <row r="64">
          <cell r="B64">
            <v>26.0029</v>
          </cell>
          <cell r="R64">
            <v>0.93195075802921479</v>
          </cell>
          <cell r="S64">
            <v>0.93593229273228085</v>
          </cell>
        </row>
        <row r="65">
          <cell r="B65">
            <v>26.5029</v>
          </cell>
          <cell r="R65">
            <v>0.92356440916498306</v>
          </cell>
          <cell r="S65">
            <v>0.85450499070207275</v>
          </cell>
        </row>
        <row r="66">
          <cell r="B66">
            <v>27.0029</v>
          </cell>
          <cell r="R66">
            <v>0.99736387230030366</v>
          </cell>
          <cell r="S66">
            <v>1.04549570657105</v>
          </cell>
        </row>
        <row r="67">
          <cell r="B67">
            <v>27.5029</v>
          </cell>
          <cell r="R67">
            <v>0.98857883234793453</v>
          </cell>
          <cell r="S67">
            <v>1.019142571526318</v>
          </cell>
        </row>
        <row r="68">
          <cell r="B68">
            <v>28.003000000000004</v>
          </cell>
          <cell r="R68">
            <v>0.97721136178359858</v>
          </cell>
          <cell r="S68">
            <v>0.94755507011495765</v>
          </cell>
        </row>
        <row r="69">
          <cell r="B69">
            <v>28.502399999999998</v>
          </cell>
          <cell r="R69">
            <v>0.97633174724880556</v>
          </cell>
          <cell r="S69">
            <v>0.99398728746905995</v>
          </cell>
        </row>
        <row r="70">
          <cell r="B70">
            <v>29.003200000000003</v>
          </cell>
          <cell r="R70">
            <v>1.0146816743876741</v>
          </cell>
          <cell r="S70">
            <v>1.0272371928217774</v>
          </cell>
        </row>
        <row r="71">
          <cell r="B71">
            <v>29.502399999999998</v>
          </cell>
          <cell r="R71">
            <v>0.98647866911521931</v>
          </cell>
          <cell r="S71">
            <v>1.0054250349865133</v>
          </cell>
        </row>
        <row r="72">
          <cell r="B72">
            <v>30.003200000000003</v>
          </cell>
          <cell r="R72">
            <v>0.99299055135192804</v>
          </cell>
          <cell r="S72">
            <v>0.95907072416074068</v>
          </cell>
        </row>
        <row r="73">
          <cell r="B73">
            <v>30.502700000000001</v>
          </cell>
          <cell r="R73">
            <v>1.0011122622589455</v>
          </cell>
          <cell r="S73">
            <v>0.98097089449252284</v>
          </cell>
        </row>
        <row r="74">
          <cell r="B74">
            <v>31.002700000000001</v>
          </cell>
          <cell r="R74">
            <v>1.0433789772546969</v>
          </cell>
          <cell r="S74">
            <v>1.0095581807852478</v>
          </cell>
        </row>
        <row r="75">
          <cell r="B75">
            <v>31.502700000000001</v>
          </cell>
          <cell r="R75">
            <v>1.00885557248709</v>
          </cell>
          <cell r="S75">
            <v>0.99835366040969309</v>
          </cell>
        </row>
        <row r="76">
          <cell r="B76">
            <v>32.002699999999997</v>
          </cell>
          <cell r="R76">
            <v>1.0130164794638032</v>
          </cell>
          <cell r="S76">
            <v>1.0132036766621189</v>
          </cell>
        </row>
      </sheetData>
      <sheetData sheetId="6"/>
      <sheetData sheetId="7">
        <row r="1">
          <cell r="R1" t="str">
            <v>R(t) Region 1</v>
          </cell>
        </row>
      </sheetData>
      <sheetData sheetId="8"/>
      <sheetData sheetId="9">
        <row r="1">
          <cell r="R1" t="str">
            <v>R(t) Region 1</v>
          </cell>
          <cell r="S1" t="str">
            <v>R(t) Region 2</v>
          </cell>
        </row>
        <row r="2">
          <cell r="B2">
            <v>-12.8226</v>
          </cell>
          <cell r="R2">
            <v>1.4261204543590285</v>
          </cell>
          <cell r="S2">
            <v>1.1907053532136616</v>
          </cell>
        </row>
        <row r="3">
          <cell r="B3">
            <v>-12.319799999999999</v>
          </cell>
          <cell r="R3">
            <v>1.5443929362374984</v>
          </cell>
          <cell r="S3">
            <v>1.1032203501800708</v>
          </cell>
        </row>
        <row r="4">
          <cell r="B4">
            <v>-11.819599999999999</v>
          </cell>
          <cell r="R4">
            <v>1.5826649338470105</v>
          </cell>
          <cell r="S4">
            <v>1.3603537115633513</v>
          </cell>
        </row>
        <row r="5">
          <cell r="B5">
            <v>-11.32</v>
          </cell>
          <cell r="R5">
            <v>1.4084788210775496</v>
          </cell>
          <cell r="S5">
            <v>1.1767707803099019</v>
          </cell>
        </row>
        <row r="6">
          <cell r="B6">
            <v>-10.819799999999999</v>
          </cell>
          <cell r="R6">
            <v>1.3084470565468937</v>
          </cell>
          <cell r="S6">
            <v>0.81880383902046017</v>
          </cell>
        </row>
        <row r="7">
          <cell r="B7">
            <v>-10.319799999999999</v>
          </cell>
          <cell r="R7">
            <v>1.3088369625316931</v>
          </cell>
          <cell r="S7">
            <v>0.90885125552006463</v>
          </cell>
        </row>
        <row r="8">
          <cell r="B8">
            <v>-9.8196999999999992</v>
          </cell>
          <cell r="R8">
            <v>1.3155812447790118</v>
          </cell>
          <cell r="S8">
            <v>0.91247825451941855</v>
          </cell>
        </row>
        <row r="9">
          <cell r="B9">
            <v>-9.3201999999999998</v>
          </cell>
          <cell r="R9">
            <v>1.4279797617068488</v>
          </cell>
          <cell r="S9">
            <v>1.1689896726630538</v>
          </cell>
        </row>
        <row r="10">
          <cell r="B10">
            <v>-8.82</v>
          </cell>
          <cell r="R10">
            <v>1.4875970044366571</v>
          </cell>
          <cell r="S10">
            <v>1.3008317240128127</v>
          </cell>
        </row>
        <row r="11">
          <cell r="B11">
            <v>-8.3199000000000005</v>
          </cell>
          <cell r="R11">
            <v>1.3303110016484645</v>
          </cell>
          <cell r="S11">
            <v>1.2527698886343948</v>
          </cell>
        </row>
        <row r="12">
          <cell r="B12">
            <v>0</v>
          </cell>
          <cell r="R12">
            <v>0</v>
          </cell>
          <cell r="S12">
            <v>0</v>
          </cell>
        </row>
        <row r="13">
          <cell r="B13">
            <v>0.50309999999999988</v>
          </cell>
          <cell r="R13">
            <v>0.10203662218311255</v>
          </cell>
          <cell r="S13">
            <v>0.22429329834856213</v>
          </cell>
        </row>
        <row r="14">
          <cell r="B14">
            <v>1.0025000000000013</v>
          </cell>
          <cell r="R14">
            <v>0.32368650762209655</v>
          </cell>
          <cell r="S14">
            <v>0.17714130452994137</v>
          </cell>
        </row>
        <row r="15">
          <cell r="B15">
            <v>1.5027000000000008</v>
          </cell>
          <cell r="R15">
            <v>0.30629456535658545</v>
          </cell>
          <cell r="S15">
            <v>0.36668159143532997</v>
          </cell>
        </row>
        <row r="16">
          <cell r="B16">
            <v>2.0023</v>
          </cell>
          <cell r="R16">
            <v>0.42032999670171384</v>
          </cell>
          <cell r="S16">
            <v>0.23349660090612057</v>
          </cell>
        </row>
        <row r="17">
          <cell r="B17">
            <v>2.5030999999999999</v>
          </cell>
          <cell r="R17">
            <v>0.4483430145315459</v>
          </cell>
          <cell r="S17">
            <v>0.51237190821659317</v>
          </cell>
        </row>
        <row r="18">
          <cell r="B18">
            <v>3.0025000000000013</v>
          </cell>
          <cell r="R18">
            <v>0.65289467217128838</v>
          </cell>
          <cell r="S18">
            <v>0.67473244580626668</v>
          </cell>
        </row>
        <row r="19">
          <cell r="B19">
            <v>3.5032000000000014</v>
          </cell>
          <cell r="R19">
            <v>0.68233001097946555</v>
          </cell>
          <cell r="S19">
            <v>0.74226393355312048</v>
          </cell>
        </row>
        <row r="20">
          <cell r="B20">
            <v>4.002699999999999</v>
          </cell>
          <cell r="R20">
            <v>0.57608242361940765</v>
          </cell>
          <cell r="S20">
            <v>0.84965872451804136</v>
          </cell>
        </row>
        <row r="21">
          <cell r="B21">
            <v>4.5029000000000021</v>
          </cell>
          <cell r="R21">
            <v>0.68005001289775246</v>
          </cell>
          <cell r="S21">
            <v>0.76697073908587654</v>
          </cell>
        </row>
        <row r="22">
          <cell r="B22">
            <v>5.0024999999999995</v>
          </cell>
          <cell r="R22">
            <v>0.69642013175995332</v>
          </cell>
          <cell r="S22">
            <v>0.72032514735343067</v>
          </cell>
        </row>
        <row r="23">
          <cell r="B23">
            <v>5.502699999999999</v>
          </cell>
          <cell r="R23">
            <v>0.73010695098981337</v>
          </cell>
          <cell r="S23">
            <v>0.81581268518159633</v>
          </cell>
        </row>
        <row r="24">
          <cell r="B24">
            <v>6.0023</v>
          </cell>
          <cell r="R24">
            <v>0.81840803279733976</v>
          </cell>
          <cell r="S24">
            <v>0.7444310210215408</v>
          </cell>
        </row>
        <row r="25">
          <cell r="B25">
            <v>6.5031000000000017</v>
          </cell>
          <cell r="R25">
            <v>0.90312052748751626</v>
          </cell>
          <cell r="S25">
            <v>0.71472885827679067</v>
          </cell>
        </row>
        <row r="26">
          <cell r="B26">
            <v>7.0024999999999995</v>
          </cell>
          <cell r="R26">
            <v>0.84831964460883813</v>
          </cell>
          <cell r="S26">
            <v>0.78505497709639904</v>
          </cell>
        </row>
        <row r="27">
          <cell r="B27">
            <v>7.5025999999999993</v>
          </cell>
          <cell r="R27">
            <v>0.78767501686833796</v>
          </cell>
          <cell r="S27">
            <v>0.89283527093866255</v>
          </cell>
        </row>
        <row r="28">
          <cell r="B28">
            <v>8.0027999999999988</v>
          </cell>
          <cell r="R28">
            <v>0.86115620763700584</v>
          </cell>
          <cell r="S28">
            <v>0.8404533710459855</v>
          </cell>
        </row>
        <row r="29">
          <cell r="B29">
            <v>8.5030000000000019</v>
          </cell>
          <cell r="R29">
            <v>0.80635036855287323</v>
          </cell>
          <cell r="S29">
            <v>0.94284569833890397</v>
          </cell>
        </row>
        <row r="30">
          <cell r="B30">
            <v>9.0024999999999995</v>
          </cell>
          <cell r="R30">
            <v>0.81035637536225924</v>
          </cell>
          <cell r="S30">
            <v>0.77014735830077907</v>
          </cell>
        </row>
        <row r="31">
          <cell r="B31">
            <v>9.502699999999999</v>
          </cell>
          <cell r="R31">
            <v>0.78938274740238423</v>
          </cell>
          <cell r="S31">
            <v>0.84678859879282908</v>
          </cell>
        </row>
        <row r="32">
          <cell r="B32">
            <v>10.0023</v>
          </cell>
          <cell r="R32">
            <v>0.83478979827554545</v>
          </cell>
          <cell r="S32">
            <v>0.86604155086403489</v>
          </cell>
        </row>
        <row r="33">
          <cell r="B33">
            <v>10.503100000000002</v>
          </cell>
          <cell r="R33">
            <v>0.84875292676819325</v>
          </cell>
          <cell r="S33">
            <v>0.92659249496796314</v>
          </cell>
        </row>
        <row r="34">
          <cell r="B34">
            <v>11.0025</v>
          </cell>
          <cell r="R34">
            <v>0.96888523162088769</v>
          </cell>
          <cell r="S34">
            <v>0.88794502460321423</v>
          </cell>
        </row>
        <row r="35">
          <cell r="B35">
            <v>11.502599999999999</v>
          </cell>
          <cell r="R35">
            <v>0.785560717271923</v>
          </cell>
          <cell r="S35">
            <v>0.95543267996944281</v>
          </cell>
        </row>
        <row r="36">
          <cell r="B36">
            <v>12.002799999999999</v>
          </cell>
          <cell r="R36">
            <v>0.86544835445275992</v>
          </cell>
          <cell r="S36">
            <v>0.76557334466177374</v>
          </cell>
        </row>
        <row r="37">
          <cell r="B37">
            <v>12.503000000000002</v>
          </cell>
          <cell r="R37">
            <v>0.86010343962925861</v>
          </cell>
          <cell r="S37">
            <v>0.83470993289573359</v>
          </cell>
        </row>
        <row r="38">
          <cell r="B38">
            <v>13.0024</v>
          </cell>
          <cell r="R38">
            <v>0.84224861053546685</v>
          </cell>
          <cell r="S38">
            <v>0.92754857889290232</v>
          </cell>
        </row>
        <row r="39">
          <cell r="B39">
            <v>13.503000000000002</v>
          </cell>
          <cell r="R39">
            <v>0.93119804717122701</v>
          </cell>
          <cell r="S39">
            <v>0.78416301015207845</v>
          </cell>
        </row>
        <row r="40">
          <cell r="B40">
            <v>14.0024</v>
          </cell>
          <cell r="R40">
            <v>0.88856980592617252</v>
          </cell>
          <cell r="S40">
            <v>0.91323230825388835</v>
          </cell>
        </row>
        <row r="41">
          <cell r="B41">
            <v>14.502599999999999</v>
          </cell>
          <cell r="R41">
            <v>0.94756535702735278</v>
          </cell>
          <cell r="S41">
            <v>0.90269693445336374</v>
          </cell>
        </row>
        <row r="42">
          <cell r="B42">
            <v>15.002799999999999</v>
          </cell>
          <cell r="R42">
            <v>0.90909786195904851</v>
          </cell>
          <cell r="S42">
            <v>0.77268935944785777</v>
          </cell>
        </row>
        <row r="43">
          <cell r="B43">
            <v>15.502900000000002</v>
          </cell>
          <cell r="R43">
            <v>0.97577590714079199</v>
          </cell>
          <cell r="S43">
            <v>0.9438635942855651</v>
          </cell>
        </row>
        <row r="44">
          <cell r="B44">
            <v>16.002299999999998</v>
          </cell>
          <cell r="R44">
            <v>0.85537375934191695</v>
          </cell>
          <cell r="S44">
            <v>0.94531665574048929</v>
          </cell>
        </row>
        <row r="45">
          <cell r="B45">
            <v>16.503100000000003</v>
          </cell>
          <cell r="R45">
            <v>0.90028495328194369</v>
          </cell>
          <cell r="S45">
            <v>0.89418513906286645</v>
          </cell>
        </row>
        <row r="46">
          <cell r="B46">
            <v>17.002699999999997</v>
          </cell>
          <cell r="R46">
            <v>0.79832476085472737</v>
          </cell>
          <cell r="S46">
            <v>0.96474889634799388</v>
          </cell>
        </row>
        <row r="47">
          <cell r="B47">
            <v>17.502900000000004</v>
          </cell>
          <cell r="R47">
            <v>0.98674124795397822</v>
          </cell>
          <cell r="S47">
            <v>0.78185035761756572</v>
          </cell>
        </row>
        <row r="48">
          <cell r="B48">
            <v>18.002400000000002</v>
          </cell>
          <cell r="R48">
            <v>0.90047743051986184</v>
          </cell>
          <cell r="S48">
            <v>0.87693162411466874</v>
          </cell>
        </row>
        <row r="49">
          <cell r="B49">
            <v>18.502600000000001</v>
          </cell>
          <cell r="R49">
            <v>0.93361078416500176</v>
          </cell>
          <cell r="S49">
            <v>0.82966187647350254</v>
          </cell>
        </row>
        <row r="50">
          <cell r="B50">
            <v>19.002699999999997</v>
          </cell>
          <cell r="R50">
            <v>0.96377397036124379</v>
          </cell>
          <cell r="S50">
            <v>0.85632524849532843</v>
          </cell>
        </row>
        <row r="51">
          <cell r="B51">
            <v>19.502699999999997</v>
          </cell>
          <cell r="R51">
            <v>0.96083638861830134</v>
          </cell>
          <cell r="S51">
            <v>0.84707429528024003</v>
          </cell>
        </row>
        <row r="52">
          <cell r="B52">
            <v>20.002299999999998</v>
          </cell>
          <cell r="R52">
            <v>0.95185749615926318</v>
          </cell>
          <cell r="S52">
            <v>0.81612881078739574</v>
          </cell>
        </row>
        <row r="53">
          <cell r="B53">
            <v>20.503099999999996</v>
          </cell>
          <cell r="R53">
            <v>0.91278751821517445</v>
          </cell>
          <cell r="S53">
            <v>0.93940153768951629</v>
          </cell>
        </row>
        <row r="54">
          <cell r="B54">
            <v>21.002499999999998</v>
          </cell>
          <cell r="R54">
            <v>1.1031914418392232</v>
          </cell>
          <cell r="S54">
            <v>0.792137913924711</v>
          </cell>
        </row>
        <row r="55">
          <cell r="B55">
            <v>21.5032</v>
          </cell>
          <cell r="R55">
            <v>1.0309826781301268</v>
          </cell>
          <cell r="S55">
            <v>0.86940051837681298</v>
          </cell>
        </row>
        <row r="56">
          <cell r="B56">
            <v>22.002600000000001</v>
          </cell>
          <cell r="R56">
            <v>1.0653224378562578</v>
          </cell>
          <cell r="S56">
            <v>0.86285941609058958</v>
          </cell>
        </row>
        <row r="57">
          <cell r="B57">
            <v>22.502800000000001</v>
          </cell>
          <cell r="R57">
            <v>0.94042378917079616</v>
          </cell>
          <cell r="S57">
            <v>0.82334310626678653</v>
          </cell>
        </row>
        <row r="58">
          <cell r="B58">
            <v>23.002299999999998</v>
          </cell>
          <cell r="R58">
            <v>0.89108148002249798</v>
          </cell>
          <cell r="S58">
            <v>0.89896110002833063</v>
          </cell>
        </row>
        <row r="59">
          <cell r="B59">
            <v>23.5032</v>
          </cell>
          <cell r="R59">
            <v>0.95696754831779041</v>
          </cell>
          <cell r="S59">
            <v>0.90734426209314467</v>
          </cell>
        </row>
        <row r="60">
          <cell r="B60">
            <v>24.002600000000001</v>
          </cell>
          <cell r="R60">
            <v>0.9773908230819458</v>
          </cell>
          <cell r="S60">
            <v>0.82603484800422255</v>
          </cell>
        </row>
        <row r="61">
          <cell r="B61">
            <v>24.502600000000001</v>
          </cell>
          <cell r="R61">
            <v>0.9541524704378338</v>
          </cell>
          <cell r="S61">
            <v>0.86303358654878159</v>
          </cell>
        </row>
        <row r="62">
          <cell r="B62">
            <v>25.002600000000001</v>
          </cell>
          <cell r="R62">
            <v>0.90242291589836721</v>
          </cell>
          <cell r="S62">
            <v>0.87286562696769943</v>
          </cell>
        </row>
        <row r="63">
          <cell r="B63">
            <v>25.502699999999997</v>
          </cell>
          <cell r="R63">
            <v>0.95843735482140491</v>
          </cell>
          <cell r="S63">
            <v>0.79846330640710717</v>
          </cell>
        </row>
        <row r="64">
          <cell r="B64">
            <v>26.002699999999997</v>
          </cell>
          <cell r="R64">
            <v>0.90558018733903345</v>
          </cell>
          <cell r="S64">
            <v>0.91524991600125194</v>
          </cell>
        </row>
        <row r="65">
          <cell r="B65">
            <v>26.502899999999997</v>
          </cell>
          <cell r="R65">
            <v>0.93396903335449399</v>
          </cell>
          <cell r="S65">
            <v>0.89383216105287389</v>
          </cell>
        </row>
        <row r="66">
          <cell r="B66">
            <v>27.002499999999998</v>
          </cell>
          <cell r="R66">
            <v>1.1117245716636079</v>
          </cell>
          <cell r="S66">
            <v>0.83999221382312117</v>
          </cell>
        </row>
        <row r="67">
          <cell r="B67">
            <v>27.502699999999997</v>
          </cell>
          <cell r="R67">
            <v>1.003428645085138</v>
          </cell>
          <cell r="S67">
            <v>1.0519359274853961</v>
          </cell>
        </row>
        <row r="68">
          <cell r="B68">
            <v>28.002699999999997</v>
          </cell>
          <cell r="R68">
            <v>0.88873928632810872</v>
          </cell>
          <cell r="S68">
            <v>0.99632214694789045</v>
          </cell>
        </row>
        <row r="69">
          <cell r="B69">
            <v>28.502699999999997</v>
          </cell>
          <cell r="R69">
            <v>0.9850884794570951</v>
          </cell>
          <cell r="S69">
            <v>0.91020981529145495</v>
          </cell>
        </row>
        <row r="70">
          <cell r="B70">
            <v>29.002699999999997</v>
          </cell>
          <cell r="R70">
            <v>0.91357314338461948</v>
          </cell>
          <cell r="S70">
            <v>0.95888424300469377</v>
          </cell>
        </row>
        <row r="71">
          <cell r="B71">
            <v>29.502800000000001</v>
          </cell>
          <cell r="R71">
            <v>0.99194354572201338</v>
          </cell>
          <cell r="S71">
            <v>1.1161995895618773</v>
          </cell>
        </row>
        <row r="72">
          <cell r="B72">
            <v>30.002800000000001</v>
          </cell>
          <cell r="R72">
            <v>1.0385615748184176</v>
          </cell>
          <cell r="S72">
            <v>1.0847622852204619</v>
          </cell>
        </row>
        <row r="73">
          <cell r="B73">
            <v>30.503</v>
          </cell>
          <cell r="R73">
            <v>1.1424312137996551</v>
          </cell>
          <cell r="S73">
            <v>0.92976603949011594</v>
          </cell>
        </row>
        <row r="74">
          <cell r="B74">
            <v>31.002400000000002</v>
          </cell>
          <cell r="R74">
            <v>1.0772417021433147</v>
          </cell>
          <cell r="S74">
            <v>0.9031934037587046</v>
          </cell>
        </row>
        <row r="75">
          <cell r="B75">
            <v>31.503099999999996</v>
          </cell>
          <cell r="R75">
            <v>0.866147423232008</v>
          </cell>
          <cell r="S75">
            <v>1.1759440693285681</v>
          </cell>
        </row>
        <row r="76">
          <cell r="B76">
            <v>32.002499999999998</v>
          </cell>
          <cell r="R76">
            <v>0.98112041436603081</v>
          </cell>
          <cell r="S76">
            <v>1.0327902660877106</v>
          </cell>
        </row>
      </sheetData>
      <sheetData sheetId="10">
        <row r="1">
          <cell r="R1" t="str">
            <v>R(t) Region 1</v>
          </cell>
          <cell r="S1" t="str">
            <v>R(t) Region 2</v>
          </cell>
        </row>
        <row r="2">
          <cell r="B2">
            <v>-12.8108</v>
          </cell>
          <cell r="R2">
            <v>1.4372388228714574</v>
          </cell>
          <cell r="S2">
            <v>0.99212466981958491</v>
          </cell>
        </row>
        <row r="3">
          <cell r="B3">
            <v>-12.307700000000001</v>
          </cell>
          <cell r="R3">
            <v>1.3689532170733596</v>
          </cell>
          <cell r="S3">
            <v>0.9416791477399048</v>
          </cell>
        </row>
        <row r="4">
          <cell r="B4">
            <v>-11.8081</v>
          </cell>
          <cell r="R4">
            <v>1.3777236000862962</v>
          </cell>
          <cell r="S4">
            <v>1.0464161884804823</v>
          </cell>
        </row>
        <row r="5">
          <cell r="B5">
            <v>-11.307600000000001</v>
          </cell>
          <cell r="R5">
            <v>1.4200858672968661</v>
          </cell>
          <cell r="S5">
            <v>0.98394547268271382</v>
          </cell>
        </row>
        <row r="6">
          <cell r="B6">
            <v>-10.808199999999999</v>
          </cell>
          <cell r="R6">
            <v>1.2379598297293113</v>
          </cell>
          <cell r="S6">
            <v>0.81625782072193043</v>
          </cell>
        </row>
        <row r="7">
          <cell r="B7">
            <v>-10.308199999999999</v>
          </cell>
          <cell r="R7">
            <v>1.3299226691335293</v>
          </cell>
          <cell r="S7">
            <v>1.0281656871395086</v>
          </cell>
        </row>
        <row r="8">
          <cell r="B8">
            <v>-9.8081999999999994</v>
          </cell>
          <cell r="R8">
            <v>1.4182462249964793</v>
          </cell>
          <cell r="S8">
            <v>1.4288107683478954</v>
          </cell>
        </row>
        <row r="9">
          <cell r="B9">
            <v>-9.3080999999999996</v>
          </cell>
          <cell r="R9">
            <v>1.2237500252622222</v>
          </cell>
          <cell r="S9">
            <v>0.82046780323063173</v>
          </cell>
        </row>
        <row r="10">
          <cell r="B10">
            <v>-8.8080999999999996</v>
          </cell>
          <cell r="R10">
            <v>1.2619704838600541</v>
          </cell>
          <cell r="S10">
            <v>0.92543839693080787</v>
          </cell>
        </row>
        <row r="11">
          <cell r="B11">
            <v>-8.3080999999999996</v>
          </cell>
          <cell r="R11">
            <v>1.3462405973282405</v>
          </cell>
          <cell r="S11">
            <v>1.1876800741325841</v>
          </cell>
        </row>
        <row r="12">
          <cell r="B12">
            <v>0</v>
          </cell>
          <cell r="R12">
            <v>0</v>
          </cell>
          <cell r="S12">
            <v>0</v>
          </cell>
        </row>
        <row r="13">
          <cell r="B13">
            <v>0.5027999999999988</v>
          </cell>
          <cell r="R13">
            <v>0.21441040051545934</v>
          </cell>
          <cell r="S13">
            <v>0.20725196291862716</v>
          </cell>
        </row>
        <row r="14">
          <cell r="B14">
            <v>1.0027999999999988</v>
          </cell>
          <cell r="R14">
            <v>0.3269110980807845</v>
          </cell>
          <cell r="S14">
            <v>0.22003460520851695</v>
          </cell>
        </row>
        <row r="15">
          <cell r="B15">
            <v>1.5027999999999988</v>
          </cell>
          <cell r="R15">
            <v>0.33766767261814434</v>
          </cell>
          <cell r="S15">
            <v>0.25641903490932016</v>
          </cell>
        </row>
        <row r="16">
          <cell r="B16">
            <v>2.0029000000000003</v>
          </cell>
          <cell r="R16">
            <v>0.43530448782031178</v>
          </cell>
          <cell r="S16">
            <v>0.38995243160483328</v>
          </cell>
        </row>
        <row r="17">
          <cell r="B17">
            <v>2.5029000000000003</v>
          </cell>
          <cell r="R17">
            <v>0.49617557652311128</v>
          </cell>
          <cell r="S17">
            <v>0.36681498594218492</v>
          </cell>
        </row>
        <row r="18">
          <cell r="B18">
            <v>3.0024999999999995</v>
          </cell>
          <cell r="R18">
            <v>0.6360512321256877</v>
          </cell>
          <cell r="S18">
            <v>0.63335646526071931</v>
          </cell>
        </row>
        <row r="19">
          <cell r="B19">
            <v>3.5027000000000008</v>
          </cell>
          <cell r="R19">
            <v>0.68044810280441581</v>
          </cell>
          <cell r="S19">
            <v>0.68657289178999337</v>
          </cell>
        </row>
        <row r="20">
          <cell r="B20">
            <v>4.0027000000000008</v>
          </cell>
          <cell r="R20">
            <v>0.68550949387338544</v>
          </cell>
          <cell r="S20">
            <v>0.60042256675078054</v>
          </cell>
        </row>
        <row r="21">
          <cell r="B21">
            <v>4.5027000000000008</v>
          </cell>
          <cell r="R21">
            <v>0.69152812412740006</v>
          </cell>
          <cell r="S21">
            <v>0.66484724527254113</v>
          </cell>
        </row>
        <row r="22">
          <cell r="B22">
            <v>5.0028000000000006</v>
          </cell>
          <cell r="R22">
            <v>0.6782081731845554</v>
          </cell>
          <cell r="S22">
            <v>0.63235519432037113</v>
          </cell>
        </row>
        <row r="23">
          <cell r="B23">
            <v>5.5028000000000006</v>
          </cell>
          <cell r="R23">
            <v>0.77663952163190886</v>
          </cell>
          <cell r="S23">
            <v>0.66047893014965253</v>
          </cell>
        </row>
        <row r="24">
          <cell r="B24">
            <v>6.002399999999998</v>
          </cell>
          <cell r="R24">
            <v>0.86747810515351775</v>
          </cell>
          <cell r="S24">
            <v>0.67148079693252494</v>
          </cell>
        </row>
        <row r="25">
          <cell r="B25">
            <v>6.5031999999999996</v>
          </cell>
          <cell r="R25">
            <v>0.82085717882435116</v>
          </cell>
          <cell r="S25">
            <v>0.76928552712872778</v>
          </cell>
        </row>
        <row r="26">
          <cell r="B26">
            <v>7.002600000000001</v>
          </cell>
          <cell r="R26">
            <v>0.83308439453406014</v>
          </cell>
          <cell r="S26">
            <v>0.83737818586088586</v>
          </cell>
        </row>
        <row r="27">
          <cell r="B27">
            <v>7.502600000000001</v>
          </cell>
          <cell r="R27">
            <v>0.84860929247653871</v>
          </cell>
          <cell r="S27">
            <v>0.74504021416674948</v>
          </cell>
        </row>
        <row r="28">
          <cell r="B28">
            <v>8.002600000000001</v>
          </cell>
          <cell r="R28">
            <v>0.90399498034990022</v>
          </cell>
          <cell r="S28">
            <v>0.73719561865764571</v>
          </cell>
        </row>
        <row r="29">
          <cell r="B29">
            <v>8.5027000000000008</v>
          </cell>
          <cell r="R29">
            <v>0.81583451566909282</v>
          </cell>
          <cell r="S29">
            <v>0.74836352471119216</v>
          </cell>
        </row>
        <row r="30">
          <cell r="B30">
            <v>9.0029000000000003</v>
          </cell>
          <cell r="R30">
            <v>0.82332617094489169</v>
          </cell>
          <cell r="S30">
            <v>0.7029263077341068</v>
          </cell>
        </row>
        <row r="31">
          <cell r="B31">
            <v>9.5030999999999999</v>
          </cell>
          <cell r="R31">
            <v>0.9546851352032053</v>
          </cell>
          <cell r="S31">
            <v>0.87214611576637968</v>
          </cell>
        </row>
        <row r="32">
          <cell r="B32">
            <v>10.002500000000001</v>
          </cell>
          <cell r="R32">
            <v>0.97098031774028948</v>
          </cell>
          <cell r="S32">
            <v>0.7404927211811303</v>
          </cell>
        </row>
        <row r="33">
          <cell r="B33">
            <v>10.5031</v>
          </cell>
          <cell r="R33">
            <v>0.90975344777793032</v>
          </cell>
          <cell r="S33">
            <v>0.8179220356078446</v>
          </cell>
        </row>
        <row r="34">
          <cell r="B34">
            <v>11.002399999999998</v>
          </cell>
          <cell r="R34">
            <v>0.89423345971166479</v>
          </cell>
          <cell r="S34">
            <v>0.89093770068560563</v>
          </cell>
        </row>
        <row r="35">
          <cell r="B35">
            <v>11.503</v>
          </cell>
          <cell r="R35">
            <v>0.94018833048336603</v>
          </cell>
          <cell r="S35">
            <v>0.79753539378319038</v>
          </cell>
        </row>
        <row r="36">
          <cell r="B36">
            <v>12.002399999999998</v>
          </cell>
          <cell r="R36">
            <v>0.94079480800838344</v>
          </cell>
          <cell r="S36">
            <v>0.7317360852468725</v>
          </cell>
        </row>
        <row r="37">
          <cell r="B37">
            <v>12.502600000000001</v>
          </cell>
          <cell r="R37">
            <v>0.8855832440087944</v>
          </cell>
          <cell r="S37">
            <v>0.74604243807838944</v>
          </cell>
        </row>
        <row r="38">
          <cell r="B38">
            <v>13.002800000000001</v>
          </cell>
          <cell r="R38">
            <v>0.9230571102507753</v>
          </cell>
          <cell r="S38">
            <v>0.77340729239574357</v>
          </cell>
        </row>
        <row r="39">
          <cell r="B39">
            <v>13.502800000000001</v>
          </cell>
          <cell r="R39">
            <v>0.89733611661895329</v>
          </cell>
          <cell r="S39">
            <v>0.89969593576106766</v>
          </cell>
        </row>
        <row r="40">
          <cell r="B40">
            <v>14.0029</v>
          </cell>
          <cell r="R40">
            <v>0.94702123821888906</v>
          </cell>
          <cell r="S40">
            <v>0.794536470157862</v>
          </cell>
        </row>
        <row r="41">
          <cell r="B41">
            <v>14.5029</v>
          </cell>
          <cell r="R41">
            <v>0.98104637202787437</v>
          </cell>
          <cell r="S41">
            <v>0.70690807310768167</v>
          </cell>
        </row>
        <row r="42">
          <cell r="B42">
            <v>15.002500000000001</v>
          </cell>
          <cell r="R42">
            <v>0.89787258956517169</v>
          </cell>
          <cell r="S42">
            <v>0.78733828255668592</v>
          </cell>
        </row>
        <row r="43">
          <cell r="B43">
            <v>15.502700000000001</v>
          </cell>
          <cell r="R43">
            <v>0.89314841409485191</v>
          </cell>
          <cell r="S43">
            <v>0.71874829342599167</v>
          </cell>
        </row>
        <row r="44">
          <cell r="B44">
            <v>16.002700000000001</v>
          </cell>
          <cell r="R44">
            <v>0.81965351480146342</v>
          </cell>
          <cell r="S44">
            <v>0.76009113353610247</v>
          </cell>
        </row>
        <row r="45">
          <cell r="B45">
            <v>16.502700000000001</v>
          </cell>
          <cell r="R45">
            <v>0.8537442509890496</v>
          </cell>
          <cell r="S45">
            <v>0.69870433009990673</v>
          </cell>
        </row>
        <row r="46">
          <cell r="B46">
            <v>17.002299999999998</v>
          </cell>
          <cell r="R46">
            <v>0.94643973083587496</v>
          </cell>
          <cell r="S46">
            <v>0.70510782637606506</v>
          </cell>
        </row>
        <row r="47">
          <cell r="B47">
            <v>17.5031</v>
          </cell>
          <cell r="R47">
            <v>0.9147173028690031</v>
          </cell>
          <cell r="S47">
            <v>0.73004792218887804</v>
          </cell>
        </row>
        <row r="48">
          <cell r="B48">
            <v>18.002500000000001</v>
          </cell>
          <cell r="R48">
            <v>0.90390791680586502</v>
          </cell>
          <cell r="S48">
            <v>0.83328650698500517</v>
          </cell>
        </row>
        <row r="49">
          <cell r="B49">
            <v>18.5032</v>
          </cell>
          <cell r="R49">
            <v>0.94685460992043302</v>
          </cell>
          <cell r="S49">
            <v>0.74508530647594595</v>
          </cell>
        </row>
        <row r="50">
          <cell r="B50">
            <v>19.002800000000001</v>
          </cell>
          <cell r="R50">
            <v>0.94438510644996265</v>
          </cell>
          <cell r="S50">
            <v>0.85777406430515846</v>
          </cell>
        </row>
        <row r="51">
          <cell r="B51">
            <v>19.503</v>
          </cell>
          <cell r="R51">
            <v>0.97503752357912565</v>
          </cell>
          <cell r="S51">
            <v>0.81973718617242497</v>
          </cell>
        </row>
        <row r="52">
          <cell r="B52">
            <v>20.002400000000002</v>
          </cell>
          <cell r="R52">
            <v>0.99431826688885994</v>
          </cell>
          <cell r="S52">
            <v>0.84939778940533306</v>
          </cell>
        </row>
        <row r="53">
          <cell r="B53">
            <v>20.503</v>
          </cell>
          <cell r="R53">
            <v>0.91953740088862757</v>
          </cell>
          <cell r="S53">
            <v>0.85102310581938834</v>
          </cell>
        </row>
        <row r="54">
          <cell r="B54">
            <v>21.002400000000002</v>
          </cell>
          <cell r="R54">
            <v>0.93126003195076312</v>
          </cell>
          <cell r="S54">
            <v>0.83203953987436485</v>
          </cell>
        </row>
        <row r="55">
          <cell r="B55">
            <v>21.503099999999996</v>
          </cell>
          <cell r="R55">
            <v>1.0223667565973216</v>
          </cell>
          <cell r="S55">
            <v>1.0768081183616158</v>
          </cell>
        </row>
        <row r="56">
          <cell r="B56">
            <v>22.002499999999998</v>
          </cell>
          <cell r="R56">
            <v>1.0355504640687372</v>
          </cell>
          <cell r="S56">
            <v>1.0995247486602218</v>
          </cell>
        </row>
        <row r="57">
          <cell r="B57">
            <v>22.502699999999997</v>
          </cell>
          <cell r="R57">
            <v>1.0372805105199709</v>
          </cell>
          <cell r="S57">
            <v>0.95794415874962491</v>
          </cell>
        </row>
        <row r="58">
          <cell r="B58">
            <v>23.002899999999997</v>
          </cell>
          <cell r="R58">
            <v>1.1045210016046583</v>
          </cell>
          <cell r="S58">
            <v>0.85140812076906036</v>
          </cell>
        </row>
        <row r="59">
          <cell r="B59">
            <v>23.503099999999996</v>
          </cell>
          <cell r="R59">
            <v>0.98690029439482185</v>
          </cell>
          <cell r="S59">
            <v>0.98043761730563583</v>
          </cell>
        </row>
        <row r="60">
          <cell r="B60">
            <v>24.002499999999998</v>
          </cell>
          <cell r="R60">
            <v>1.042100797995279</v>
          </cell>
          <cell r="S60">
            <v>0.9795957868493006</v>
          </cell>
        </row>
        <row r="61">
          <cell r="B61">
            <v>24.503099999999996</v>
          </cell>
          <cell r="R61">
            <v>0.95345910705811066</v>
          </cell>
          <cell r="S61">
            <v>0.93281292255273751</v>
          </cell>
        </row>
        <row r="62">
          <cell r="B62">
            <v>25.002499999999998</v>
          </cell>
          <cell r="R62">
            <v>0.99672770791396625</v>
          </cell>
          <cell r="S62">
            <v>0.9306294686019273</v>
          </cell>
        </row>
        <row r="63">
          <cell r="B63">
            <v>25.502699999999997</v>
          </cell>
          <cell r="R63">
            <v>1.0258538288758214</v>
          </cell>
          <cell r="S63">
            <v>1.0066090336212541</v>
          </cell>
        </row>
        <row r="64">
          <cell r="B64">
            <v>26.002299999999998</v>
          </cell>
          <cell r="R64">
            <v>1.0519470068269094</v>
          </cell>
          <cell r="S64">
            <v>1.127867762312784</v>
          </cell>
        </row>
        <row r="65">
          <cell r="B65">
            <v>26.503099999999996</v>
          </cell>
          <cell r="R65">
            <v>1.0049181878602513</v>
          </cell>
          <cell r="S65">
            <v>0.86468527383088101</v>
          </cell>
        </row>
        <row r="66">
          <cell r="B66">
            <v>27.002499999999998</v>
          </cell>
          <cell r="R66">
            <v>0.89396491170126036</v>
          </cell>
          <cell r="S66">
            <v>0.88680658850674476</v>
          </cell>
        </row>
        <row r="67">
          <cell r="B67">
            <v>27.5032</v>
          </cell>
          <cell r="R67">
            <v>1.0089853328830642</v>
          </cell>
          <cell r="S67">
            <v>1.080175131151228</v>
          </cell>
        </row>
        <row r="68">
          <cell r="B68">
            <v>28.002600000000001</v>
          </cell>
          <cell r="R68">
            <v>0.9478433328382122</v>
          </cell>
          <cell r="S68">
            <v>0.95706117966513238</v>
          </cell>
        </row>
        <row r="69">
          <cell r="B69">
            <v>28.502800000000001</v>
          </cell>
          <cell r="R69">
            <v>1.0499465979702534</v>
          </cell>
          <cell r="S69">
            <v>1.0687470824717855</v>
          </cell>
        </row>
        <row r="70">
          <cell r="B70">
            <v>29.002400000000002</v>
          </cell>
          <cell r="R70">
            <v>1.0824786448258137</v>
          </cell>
          <cell r="S70">
            <v>0.8544069403035186</v>
          </cell>
        </row>
        <row r="71">
          <cell r="B71">
            <v>29.5032</v>
          </cell>
          <cell r="R71">
            <v>0.98185283597204864</v>
          </cell>
          <cell r="S71">
            <v>1.0370023169603662</v>
          </cell>
        </row>
        <row r="72">
          <cell r="B72">
            <v>30.002600000000001</v>
          </cell>
          <cell r="R72">
            <v>0.99017367875160944</v>
          </cell>
          <cell r="S72">
            <v>1.0668093069677906</v>
          </cell>
        </row>
        <row r="73">
          <cell r="B73">
            <v>30.502600000000001</v>
          </cell>
          <cell r="R73">
            <v>1.0283561629470783</v>
          </cell>
          <cell r="S73">
            <v>0.98346219841019222</v>
          </cell>
        </row>
        <row r="74">
          <cell r="B74">
            <v>31.002699999999997</v>
          </cell>
          <cell r="R74">
            <v>1.0430114906749353</v>
          </cell>
          <cell r="S74">
            <v>1.0796865005421987</v>
          </cell>
        </row>
        <row r="75">
          <cell r="B75">
            <v>31.502699999999997</v>
          </cell>
          <cell r="R75">
            <v>1.0039524778914901</v>
          </cell>
          <cell r="S75">
            <v>1.0117462831761572</v>
          </cell>
        </row>
        <row r="76">
          <cell r="B76">
            <v>32.002699999999997</v>
          </cell>
          <cell r="R76">
            <v>0.96943453354423259</v>
          </cell>
          <cell r="S76">
            <v>0.97409647184488546</v>
          </cell>
        </row>
      </sheetData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S_40kDa_1"/>
      <sheetName val="FS_40kDa_2"/>
      <sheetName val="FS_40kDa_3"/>
      <sheetName val="FS_250kDa_1"/>
      <sheetName val="FS_250kDa_2"/>
      <sheetName val="FS_250kDa_3"/>
      <sheetName val="FS_250kDa_4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R1" t="str">
            <v>R(t) Region 1</v>
          </cell>
          <cell r="S1" t="str">
            <v>R(t) Region 2</v>
          </cell>
        </row>
        <row r="2">
          <cell r="B2">
            <v>-7.5107999999999997</v>
          </cell>
          <cell r="R2">
            <v>3.2557079575848409</v>
          </cell>
          <cell r="S2">
            <v>1.5254489945980785</v>
          </cell>
        </row>
        <row r="3">
          <cell r="B3">
            <v>-7.0076999999999998</v>
          </cell>
          <cell r="R3">
            <v>3.4419408570854597</v>
          </cell>
          <cell r="S3">
            <v>1.5712947379063835</v>
          </cell>
        </row>
        <row r="4">
          <cell r="B4">
            <v>-6.5080999999999998</v>
          </cell>
          <cell r="R4">
            <v>3.1899971944536727</v>
          </cell>
          <cell r="S4">
            <v>1.6089342044735164</v>
          </cell>
        </row>
        <row r="5">
          <cell r="B5">
            <v>-6.0078999999999994</v>
          </cell>
          <cell r="R5">
            <v>3.2192090507333981</v>
          </cell>
          <cell r="S5">
            <v>1.5818786888873819</v>
          </cell>
        </row>
        <row r="6">
          <cell r="B6">
            <v>-5.5079999999999991</v>
          </cell>
          <cell r="R6">
            <v>3.1438050993383699</v>
          </cell>
          <cell r="S6">
            <v>1.6216327948603066</v>
          </cell>
        </row>
        <row r="7">
          <cell r="B7">
            <v>-5.0077999999999996</v>
          </cell>
          <cell r="R7">
            <v>3.1167831176616785</v>
          </cell>
          <cell r="S7">
            <v>1.5819373708393796</v>
          </cell>
        </row>
        <row r="8">
          <cell r="B8">
            <v>-4.5079999999999991</v>
          </cell>
          <cell r="R8">
            <v>3.1765604748284586</v>
          </cell>
          <cell r="S8">
            <v>1.6453657777613409</v>
          </cell>
        </row>
        <row r="9">
          <cell r="B9">
            <v>-4.0077999999999996</v>
          </cell>
          <cell r="R9">
            <v>3.1529748038661314</v>
          </cell>
          <cell r="S9">
            <v>1.6098091209612015</v>
          </cell>
        </row>
        <row r="10">
          <cell r="B10">
            <v>-3.5081999999999995</v>
          </cell>
          <cell r="R10">
            <v>3.127597854845225</v>
          </cell>
          <cell r="S10">
            <v>1.7327286041517604</v>
          </cell>
        </row>
        <row r="11">
          <cell r="B11">
            <v>-3.008</v>
          </cell>
          <cell r="R11">
            <v>3.0291644692529291</v>
          </cell>
          <cell r="S11">
            <v>1.5388690994694203</v>
          </cell>
        </row>
        <row r="12">
          <cell r="B12">
            <v>0</v>
          </cell>
          <cell r="R12">
            <v>0</v>
          </cell>
          <cell r="S12">
            <v>0</v>
          </cell>
        </row>
        <row r="13">
          <cell r="B13">
            <v>0.50260000000000105</v>
          </cell>
          <cell r="R13">
            <v>0.27743117061706296</v>
          </cell>
          <cell r="S13">
            <v>0.1685592352016563</v>
          </cell>
        </row>
        <row r="14">
          <cell r="B14">
            <v>1.0031999999999996</v>
          </cell>
          <cell r="R14">
            <v>0.38640428254148512</v>
          </cell>
          <cell r="S14">
            <v>0.25200193422494704</v>
          </cell>
        </row>
        <row r="15">
          <cell r="B15">
            <v>1.502600000000001</v>
          </cell>
          <cell r="R15">
            <v>0.42663480452154984</v>
          </cell>
          <cell r="S15">
            <v>0.21859397030014474</v>
          </cell>
        </row>
        <row r="16">
          <cell r="B16">
            <v>2.0028000000000006</v>
          </cell>
          <cell r="R16">
            <v>0.45643866912944586</v>
          </cell>
          <cell r="S16">
            <v>0.30997808150074441</v>
          </cell>
        </row>
        <row r="17">
          <cell r="B17">
            <v>2.5023999999999997</v>
          </cell>
          <cell r="R17">
            <v>0.48919092900358369</v>
          </cell>
          <cell r="S17">
            <v>0.33100780428251225</v>
          </cell>
        </row>
        <row r="18">
          <cell r="B18">
            <v>3.0031999999999996</v>
          </cell>
          <cell r="R18">
            <v>0.50002006190857862</v>
          </cell>
          <cell r="S18">
            <v>0.30916919105566482</v>
          </cell>
        </row>
        <row r="19">
          <cell r="B19">
            <v>3.502600000000001</v>
          </cell>
          <cell r="R19">
            <v>0.61953855125537016</v>
          </cell>
          <cell r="S19">
            <v>0.43122463488755686</v>
          </cell>
        </row>
        <row r="20">
          <cell r="B20">
            <v>4.002600000000001</v>
          </cell>
          <cell r="R20">
            <v>0.64975571210659255</v>
          </cell>
          <cell r="S20">
            <v>0.44480586805005934</v>
          </cell>
        </row>
        <row r="21">
          <cell r="B21">
            <v>4.5027000000000008</v>
          </cell>
          <cell r="R21">
            <v>0.64108052419671568</v>
          </cell>
          <cell r="S21">
            <v>0.45053485408074778</v>
          </cell>
        </row>
        <row r="22">
          <cell r="B22">
            <v>5.0027000000000008</v>
          </cell>
          <cell r="R22">
            <v>0.71500017527354398</v>
          </cell>
          <cell r="S22">
            <v>0.49613143440166851</v>
          </cell>
        </row>
        <row r="23">
          <cell r="B23">
            <v>5.5027000000000008</v>
          </cell>
          <cell r="R23">
            <v>0.70727325321454126</v>
          </cell>
          <cell r="S23">
            <v>0.49272202012660704</v>
          </cell>
        </row>
        <row r="24">
          <cell r="B24">
            <v>6.0029000000000003</v>
          </cell>
          <cell r="R24">
            <v>0.79821006764727875</v>
          </cell>
          <cell r="S24">
            <v>0.56523213777697845</v>
          </cell>
        </row>
        <row r="25">
          <cell r="B25">
            <v>6.5024999999999995</v>
          </cell>
          <cell r="R25">
            <v>0.91901434072175636</v>
          </cell>
          <cell r="S25">
            <v>0.62212956809333542</v>
          </cell>
        </row>
        <row r="26">
          <cell r="B26">
            <v>7.0027000000000008</v>
          </cell>
          <cell r="R26">
            <v>0.93599479773964867</v>
          </cell>
          <cell r="S26">
            <v>0.69295358564185094</v>
          </cell>
        </row>
        <row r="27">
          <cell r="B27">
            <v>7.5027000000000008</v>
          </cell>
          <cell r="R27">
            <v>0.97307975670568625</v>
          </cell>
          <cell r="S27">
            <v>0.69167227838906542</v>
          </cell>
        </row>
        <row r="28">
          <cell r="B28">
            <v>8.0028000000000006</v>
          </cell>
          <cell r="R28">
            <v>0.91672340864606616</v>
          </cell>
          <cell r="S28">
            <v>0.67567668860274133</v>
          </cell>
        </row>
        <row r="29">
          <cell r="B29">
            <v>8.5028000000000006</v>
          </cell>
          <cell r="R29">
            <v>0.95075031798116605</v>
          </cell>
          <cell r="S29">
            <v>0.73614414142571538</v>
          </cell>
        </row>
        <row r="30">
          <cell r="B30">
            <v>9.0028000000000006</v>
          </cell>
          <cell r="R30">
            <v>1.0002922932984371</v>
          </cell>
          <cell r="S30">
            <v>0.69250490174719903</v>
          </cell>
        </row>
        <row r="31">
          <cell r="B31">
            <v>9.5028000000000006</v>
          </cell>
          <cell r="R31">
            <v>0.92384689129084485</v>
          </cell>
          <cell r="S31">
            <v>0.74484033374485159</v>
          </cell>
        </row>
        <row r="32">
          <cell r="B32">
            <v>10.003</v>
          </cell>
          <cell r="R32">
            <v>0.87652912706250363</v>
          </cell>
          <cell r="S32">
            <v>0.716393596555568</v>
          </cell>
        </row>
        <row r="33">
          <cell r="B33">
            <v>10.502500000000001</v>
          </cell>
          <cell r="R33">
            <v>0.9336532847603487</v>
          </cell>
          <cell r="S33">
            <v>0.74763024423171198</v>
          </cell>
        </row>
        <row r="34">
          <cell r="B34">
            <v>11.0031</v>
          </cell>
          <cell r="R34">
            <v>0.99849720129859754</v>
          </cell>
          <cell r="S34">
            <v>0.84883509564385973</v>
          </cell>
        </row>
        <row r="35">
          <cell r="B35">
            <v>11.502500000000001</v>
          </cell>
          <cell r="R35">
            <v>1.0041465332197717</v>
          </cell>
          <cell r="S35">
            <v>0.80000916924967302</v>
          </cell>
        </row>
        <row r="36">
          <cell r="B36">
            <v>12.002700000000001</v>
          </cell>
          <cell r="R36">
            <v>0.90731715263741997</v>
          </cell>
          <cell r="S36">
            <v>0.84540183031529847</v>
          </cell>
        </row>
        <row r="37">
          <cell r="B37">
            <v>12.5029</v>
          </cell>
          <cell r="R37">
            <v>1.0319931746952944</v>
          </cell>
          <cell r="S37">
            <v>0.89541153648982996</v>
          </cell>
        </row>
        <row r="38">
          <cell r="B38">
            <v>13.0029</v>
          </cell>
          <cell r="R38">
            <v>1.0062487896797465</v>
          </cell>
          <cell r="S38">
            <v>0.83755781818840114</v>
          </cell>
        </row>
        <row r="39">
          <cell r="B39">
            <v>13.502300000000002</v>
          </cell>
          <cell r="R39">
            <v>0.93965199675119537</v>
          </cell>
          <cell r="S39">
            <v>0.877369909842726</v>
          </cell>
        </row>
        <row r="40">
          <cell r="B40">
            <v>14.002800000000001</v>
          </cell>
          <cell r="R40">
            <v>0.91855429681707879</v>
          </cell>
          <cell r="S40">
            <v>0.8586337587149192</v>
          </cell>
        </row>
        <row r="41">
          <cell r="B41">
            <v>14.502800000000001</v>
          </cell>
          <cell r="R41">
            <v>0.9512742063815488</v>
          </cell>
          <cell r="S41">
            <v>0.80171984816618458</v>
          </cell>
        </row>
        <row r="42">
          <cell r="B42">
            <v>15.0029</v>
          </cell>
          <cell r="R42">
            <v>0.92099862220542617</v>
          </cell>
          <cell r="S42">
            <v>0.85626606464831545</v>
          </cell>
        </row>
        <row r="43">
          <cell r="B43">
            <v>15.5029</v>
          </cell>
          <cell r="R43">
            <v>0.9188649195605747</v>
          </cell>
          <cell r="S43">
            <v>0.83487548586992677</v>
          </cell>
        </row>
        <row r="44">
          <cell r="B44">
            <v>16.0031</v>
          </cell>
          <cell r="R44">
            <v>0.9506940717994814</v>
          </cell>
          <cell r="S44">
            <v>0.82870228462520068</v>
          </cell>
        </row>
        <row r="45">
          <cell r="B45">
            <v>16.502700000000001</v>
          </cell>
          <cell r="R45">
            <v>0.93614665479323456</v>
          </cell>
          <cell r="S45">
            <v>0.85515612818347697</v>
          </cell>
        </row>
        <row r="46">
          <cell r="B46">
            <v>17.0031</v>
          </cell>
          <cell r="R46">
            <v>1.0358293401191196</v>
          </cell>
          <cell r="S46">
            <v>0.97149123200360354</v>
          </cell>
        </row>
        <row r="47">
          <cell r="B47">
            <v>17.502500000000001</v>
          </cell>
          <cell r="R47">
            <v>1.0270430752013877</v>
          </cell>
          <cell r="S47">
            <v>0.9774730593066161</v>
          </cell>
        </row>
        <row r="48">
          <cell r="B48">
            <v>18.0032</v>
          </cell>
          <cell r="R48">
            <v>0.92987714730804005</v>
          </cell>
          <cell r="S48">
            <v>0.87620436562773496</v>
          </cell>
        </row>
        <row r="49">
          <cell r="B49">
            <v>18.502600000000001</v>
          </cell>
          <cell r="R49">
            <v>0.94401226244766379</v>
          </cell>
          <cell r="S49">
            <v>0.87833584299553769</v>
          </cell>
        </row>
        <row r="50">
          <cell r="B50">
            <v>19.002800000000001</v>
          </cell>
          <cell r="R50">
            <v>0.96930148206494493</v>
          </cell>
          <cell r="S50">
            <v>0.91259104540029934</v>
          </cell>
        </row>
        <row r="51">
          <cell r="B51">
            <v>19.502600000000001</v>
          </cell>
          <cell r="R51">
            <v>0.99646845075742663</v>
          </cell>
          <cell r="S51">
            <v>0.92375281356978778</v>
          </cell>
        </row>
        <row r="52">
          <cell r="B52">
            <v>20.002800000000001</v>
          </cell>
          <cell r="R52">
            <v>1.0258210466552689</v>
          </cell>
          <cell r="S52">
            <v>0.925471060759397</v>
          </cell>
        </row>
        <row r="53">
          <cell r="B53">
            <v>20.502400000000002</v>
          </cell>
          <cell r="R53">
            <v>1.0051168389247955</v>
          </cell>
          <cell r="S53">
            <v>0.94523925317205471</v>
          </cell>
        </row>
        <row r="54">
          <cell r="B54">
            <v>21.0029</v>
          </cell>
          <cell r="R54">
            <v>0.98190303467998286</v>
          </cell>
          <cell r="S54">
            <v>0.94330352884818269</v>
          </cell>
        </row>
        <row r="55">
          <cell r="B55">
            <v>21.5029</v>
          </cell>
          <cell r="R55">
            <v>0.99934851140133063</v>
          </cell>
          <cell r="S55">
            <v>0.9546483977816933</v>
          </cell>
        </row>
        <row r="56">
          <cell r="B56">
            <v>22.0029</v>
          </cell>
          <cell r="R56">
            <v>0.98437344626591172</v>
          </cell>
          <cell r="S56">
            <v>0.87893155286341829</v>
          </cell>
        </row>
        <row r="57">
          <cell r="B57">
            <v>22.502300000000002</v>
          </cell>
          <cell r="R57">
            <v>0.93864293659435727</v>
          </cell>
          <cell r="S57">
            <v>0.92531876821447046</v>
          </cell>
        </row>
        <row r="58">
          <cell r="B58">
            <v>23.0032</v>
          </cell>
          <cell r="R58">
            <v>0.9357832504213075</v>
          </cell>
          <cell r="S58">
            <v>0.94831628619814901</v>
          </cell>
        </row>
        <row r="59">
          <cell r="B59">
            <v>23.502700000000001</v>
          </cell>
          <cell r="R59">
            <v>0.98959952527356743</v>
          </cell>
          <cell r="S59">
            <v>0.90790789602077659</v>
          </cell>
        </row>
        <row r="60">
          <cell r="B60">
            <v>24.0029</v>
          </cell>
          <cell r="R60">
            <v>1.0301637203460776</v>
          </cell>
          <cell r="S60">
            <v>0.96478030551323202</v>
          </cell>
        </row>
        <row r="61">
          <cell r="B61">
            <v>24.502399999999998</v>
          </cell>
          <cell r="R61">
            <v>1.0583651027406349</v>
          </cell>
          <cell r="S61">
            <v>0.91147035434602186</v>
          </cell>
        </row>
        <row r="62">
          <cell r="B62">
            <v>25.003000000000004</v>
          </cell>
          <cell r="R62">
            <v>0.99185927499753779</v>
          </cell>
          <cell r="S62">
            <v>0.9829321666864036</v>
          </cell>
        </row>
        <row r="63">
          <cell r="B63">
            <v>25.502399999999998</v>
          </cell>
          <cell r="R63">
            <v>0.95729282959258355</v>
          </cell>
          <cell r="S63">
            <v>0.90923105236090673</v>
          </cell>
        </row>
        <row r="64">
          <cell r="B64">
            <v>26.003200000000003</v>
          </cell>
          <cell r="R64">
            <v>0.95139315773630284</v>
          </cell>
          <cell r="S64">
            <v>0.87127201604429005</v>
          </cell>
        </row>
        <row r="65">
          <cell r="B65">
            <v>26.502799999999997</v>
          </cell>
          <cell r="R65">
            <v>0.96756745251968268</v>
          </cell>
          <cell r="S65">
            <v>0.85891437836766182</v>
          </cell>
        </row>
        <row r="66">
          <cell r="B66">
            <v>27.002700000000001</v>
          </cell>
          <cell r="R66">
            <v>0.98341075821414536</v>
          </cell>
          <cell r="S66">
            <v>0.95089545754930915</v>
          </cell>
        </row>
        <row r="67">
          <cell r="B67">
            <v>27.502700000000001</v>
          </cell>
          <cell r="R67">
            <v>0.98297037717477398</v>
          </cell>
          <cell r="S67">
            <v>0.98133199262313686</v>
          </cell>
        </row>
        <row r="68">
          <cell r="B68">
            <v>28.002700000000001</v>
          </cell>
          <cell r="R68">
            <v>1.0525376243816678</v>
          </cell>
          <cell r="S68">
            <v>0.94316128528468313</v>
          </cell>
        </row>
        <row r="69">
          <cell r="B69">
            <v>28.502700000000001</v>
          </cell>
          <cell r="R69">
            <v>0.99723728259575961</v>
          </cell>
          <cell r="S69">
            <v>0.97240982626882</v>
          </cell>
        </row>
        <row r="70">
          <cell r="B70">
            <v>29.002799999999997</v>
          </cell>
          <cell r="R70">
            <v>1.0041265662910346</v>
          </cell>
          <cell r="S70">
            <v>1.0170749534501644</v>
          </cell>
        </row>
        <row r="71">
          <cell r="B71">
            <v>29.502799999999997</v>
          </cell>
          <cell r="R71">
            <v>1.0578149657534226</v>
          </cell>
          <cell r="S71">
            <v>1.1116969821134777</v>
          </cell>
        </row>
        <row r="72">
          <cell r="B72">
            <v>30.002799999999997</v>
          </cell>
          <cell r="R72">
            <v>0.98030645293619045</v>
          </cell>
          <cell r="S72">
            <v>0.94685917387497709</v>
          </cell>
        </row>
        <row r="73">
          <cell r="B73">
            <v>30.502799999999997</v>
          </cell>
          <cell r="R73">
            <v>0.92304575677104495</v>
          </cell>
          <cell r="S73">
            <v>0.95598990079257407</v>
          </cell>
        </row>
        <row r="74">
          <cell r="B74">
            <v>31.0029</v>
          </cell>
          <cell r="R74">
            <v>1.0357944688905003</v>
          </cell>
          <cell r="S74">
            <v>1.0114345411249723</v>
          </cell>
        </row>
        <row r="75">
          <cell r="B75">
            <v>31.5029</v>
          </cell>
          <cell r="R75">
            <v>1.0064776134531663</v>
          </cell>
          <cell r="S75">
            <v>1.0735790847081492</v>
          </cell>
        </row>
        <row r="76">
          <cell r="B76">
            <v>32.002899999999997</v>
          </cell>
          <cell r="R76">
            <v>0.97627813353829818</v>
          </cell>
          <cell r="S76">
            <v>1.0355668022097348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74E70-1448-421B-B55B-4AF5BD236FFD}">
  <dimension ref="A1:S76"/>
  <sheetViews>
    <sheetView topLeftCell="B10" workbookViewId="0">
      <selection activeCell="E20" sqref="E20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2" t="s">
        <v>11</v>
      </c>
      <c r="M1" s="2" t="s">
        <v>12</v>
      </c>
      <c r="R1" t="s">
        <v>13</v>
      </c>
      <c r="S1" t="s">
        <v>14</v>
      </c>
    </row>
    <row r="2" spans="1:19" x14ac:dyDescent="0.3">
      <c r="A2">
        <v>0</v>
      </c>
      <c r="B2">
        <f>A2-$A$12</f>
        <v>-12.8108</v>
      </c>
      <c r="C2">
        <v>2518.0790000000002</v>
      </c>
      <c r="D2">
        <v>208.661</v>
      </c>
      <c r="E2">
        <v>177.1</v>
      </c>
      <c r="F2">
        <f>AVERAGE(C2:C11)</f>
        <v>2421.8745000000004</v>
      </c>
      <c r="G2">
        <f>AVERAGE(D2:D11)</f>
        <v>207.29649999999998</v>
      </c>
      <c r="H2">
        <f>AVERAGE(E2:E11)</f>
        <v>175.19989999999999</v>
      </c>
      <c r="I2">
        <f>C2/$F$2</f>
        <v>1.0397231565880065</v>
      </c>
      <c r="J2">
        <f>D2/$G$2</f>
        <v>1.0065823590846927</v>
      </c>
      <c r="K2" s="3">
        <f>E2/$H$2</f>
        <v>1.0108453258249577</v>
      </c>
      <c r="L2" s="2">
        <f>I2/K2</f>
        <v>1.028568001478843</v>
      </c>
      <c r="M2" s="2">
        <f>J2/K2</f>
        <v>0.99578277048787267</v>
      </c>
      <c r="R2">
        <f>(L2-$L$12)/($N$12-$L$12)</f>
        <v>1.4372388228714574</v>
      </c>
      <c r="S2">
        <f>(M2-$M$12)/($O$12-$M$12)</f>
        <v>0.99212466981958491</v>
      </c>
    </row>
    <row r="3" spans="1:19" x14ac:dyDescent="0.3">
      <c r="A3">
        <v>0.50309999999999999</v>
      </c>
      <c r="B3">
        <f t="shared" ref="B3:B66" si="0">A3-$A$12</f>
        <v>-12.307700000000001</v>
      </c>
      <c r="C3">
        <v>2489.46</v>
      </c>
      <c r="D3">
        <v>208.37299999999999</v>
      </c>
      <c r="E3">
        <v>178.61699999999999</v>
      </c>
      <c r="I3">
        <f t="shared" ref="I3:I66" si="1">C3/$F$2</f>
        <v>1.0279062767290377</v>
      </c>
      <c r="J3">
        <f t="shared" ref="J3:J66" si="2">D3/$G$2</f>
        <v>1.0051930447450874</v>
      </c>
      <c r="K3" s="3">
        <f t="shared" ref="K3:K66" si="3">E3/$H$2</f>
        <v>1.0195040065662138</v>
      </c>
      <c r="L3" s="2">
        <f t="shared" ref="L3:L66" si="4">I3/K3</f>
        <v>1.0082415273590966</v>
      </c>
      <c r="M3" s="2">
        <f t="shared" ref="M3:M66" si="5">J3/K3</f>
        <v>0.98596281944067388</v>
      </c>
      <c r="R3">
        <f t="shared" ref="R3:R66" si="6">(L3-$L$12)/($N$12-$L$12)</f>
        <v>1.3689532170733596</v>
      </c>
      <c r="S3">
        <f t="shared" ref="S3:S66" si="7">(M3-$M$12)/($O$12-$M$12)</f>
        <v>0.9416791477399048</v>
      </c>
    </row>
    <row r="4" spans="1:19" x14ac:dyDescent="0.3">
      <c r="A4">
        <v>1.0026999999999999</v>
      </c>
      <c r="B4">
        <f t="shared" si="0"/>
        <v>-11.8081</v>
      </c>
      <c r="C4">
        <v>2447.9209999999998</v>
      </c>
      <c r="D4">
        <v>208.59299999999999</v>
      </c>
      <c r="E4">
        <v>175.18299999999999</v>
      </c>
      <c r="I4">
        <f t="shared" si="1"/>
        <v>1.0107546860912897</v>
      </c>
      <c r="J4">
        <f t="shared" si="2"/>
        <v>1.0062543265322859</v>
      </c>
      <c r="K4" s="3">
        <f t="shared" si="3"/>
        <v>0.99990353875772764</v>
      </c>
      <c r="L4" s="2">
        <f t="shared" si="4"/>
        <v>1.0108521941496911</v>
      </c>
      <c r="M4" s="2">
        <f t="shared" si="5"/>
        <v>1.0063514004385348</v>
      </c>
      <c r="R4">
        <f t="shared" si="6"/>
        <v>1.3777236000862962</v>
      </c>
      <c r="S4">
        <f t="shared" si="7"/>
        <v>1.0464161884804823</v>
      </c>
    </row>
    <row r="5" spans="1:19" x14ac:dyDescent="0.3">
      <c r="A5">
        <v>1.5032000000000001</v>
      </c>
      <c r="B5">
        <f t="shared" si="0"/>
        <v>-11.307600000000001</v>
      </c>
      <c r="C5">
        <v>2437.4290000000001</v>
      </c>
      <c r="D5">
        <v>202.661</v>
      </c>
      <c r="E5">
        <v>172.28299999999999</v>
      </c>
      <c r="I5">
        <f t="shared" si="1"/>
        <v>1.0064225045517428</v>
      </c>
      <c r="J5">
        <f t="shared" si="2"/>
        <v>0.97763831034291471</v>
      </c>
      <c r="K5" s="3">
        <f t="shared" si="3"/>
        <v>0.98335101789441659</v>
      </c>
      <c r="L5" s="2">
        <f t="shared" si="4"/>
        <v>1.0234621068545062</v>
      </c>
      <c r="M5" s="2">
        <f t="shared" si="5"/>
        <v>0.99419057137528155</v>
      </c>
      <c r="R5">
        <f t="shared" si="6"/>
        <v>1.4200858672968661</v>
      </c>
      <c r="S5">
        <f t="shared" si="7"/>
        <v>0.98394547268271382</v>
      </c>
    </row>
    <row r="6" spans="1:19" x14ac:dyDescent="0.3">
      <c r="A6">
        <v>2.0026000000000002</v>
      </c>
      <c r="B6">
        <f t="shared" si="0"/>
        <v>-10.808199999999999</v>
      </c>
      <c r="C6">
        <v>2412.8249999999998</v>
      </c>
      <c r="D6">
        <v>204.881</v>
      </c>
      <c r="E6">
        <v>180.083</v>
      </c>
      <c r="I6">
        <f t="shared" si="1"/>
        <v>0.99626343148664365</v>
      </c>
      <c r="J6">
        <f t="shared" si="2"/>
        <v>0.98834760837737257</v>
      </c>
      <c r="K6" s="3">
        <f t="shared" si="3"/>
        <v>1.0278715912509084</v>
      </c>
      <c r="L6" s="2">
        <f t="shared" si="4"/>
        <v>0.96924892172007793</v>
      </c>
      <c r="M6" s="2">
        <f t="shared" si="5"/>
        <v>0.96154774272393728</v>
      </c>
      <c r="R6">
        <f t="shared" si="6"/>
        <v>1.2379598297293113</v>
      </c>
      <c r="S6">
        <f t="shared" si="7"/>
        <v>0.81625782072193043</v>
      </c>
    </row>
    <row r="7" spans="1:19" x14ac:dyDescent="0.3">
      <c r="A7">
        <v>2.5026000000000002</v>
      </c>
      <c r="B7">
        <f t="shared" si="0"/>
        <v>-10.308199999999999</v>
      </c>
      <c r="C7">
        <v>2378.3330000000001</v>
      </c>
      <c r="D7">
        <v>204.83099999999999</v>
      </c>
      <c r="E7">
        <v>172.63300000000001</v>
      </c>
      <c r="I7">
        <f t="shared" si="1"/>
        <v>0.98202157048187255</v>
      </c>
      <c r="J7">
        <f t="shared" si="2"/>
        <v>0.98810640797119109</v>
      </c>
      <c r="K7" s="3">
        <f t="shared" si="3"/>
        <v>0.98534873592964389</v>
      </c>
      <c r="L7" s="2">
        <f t="shared" si="4"/>
        <v>0.99662336254520867</v>
      </c>
      <c r="M7" s="2">
        <f t="shared" si="5"/>
        <v>1.0027986761853867</v>
      </c>
      <c r="R7">
        <f t="shared" si="6"/>
        <v>1.3299226691335293</v>
      </c>
      <c r="S7">
        <f t="shared" si="7"/>
        <v>1.0281656871395086</v>
      </c>
    </row>
    <row r="8" spans="1:19" x14ac:dyDescent="0.3">
      <c r="A8">
        <v>3.0026000000000002</v>
      </c>
      <c r="B8">
        <f t="shared" si="0"/>
        <v>-9.8081999999999994</v>
      </c>
      <c r="C8">
        <v>2388.0479999999998</v>
      </c>
      <c r="D8">
        <v>215.96600000000001</v>
      </c>
      <c r="E8">
        <v>168.88300000000001</v>
      </c>
      <c r="I8">
        <f t="shared" si="1"/>
        <v>0.98603292614873295</v>
      </c>
      <c r="J8">
        <f t="shared" si="2"/>
        <v>1.0418217384278077</v>
      </c>
      <c r="K8" s="3">
        <f t="shared" si="3"/>
        <v>0.9639446141236383</v>
      </c>
      <c r="L8" s="2">
        <f t="shared" si="4"/>
        <v>1.0229145032831333</v>
      </c>
      <c r="M8" s="2">
        <f t="shared" si="5"/>
        <v>1.0807900403852255</v>
      </c>
      <c r="R8">
        <f t="shared" si="6"/>
        <v>1.4182462249964793</v>
      </c>
      <c r="S8">
        <f t="shared" si="7"/>
        <v>1.4288107683478954</v>
      </c>
    </row>
    <row r="9" spans="1:19" x14ac:dyDescent="0.3">
      <c r="A9">
        <v>3.5026999999999999</v>
      </c>
      <c r="B9">
        <f t="shared" si="0"/>
        <v>-9.3080999999999996</v>
      </c>
      <c r="C9">
        <v>2396.0790000000002</v>
      </c>
      <c r="D9">
        <v>204.52500000000001</v>
      </c>
      <c r="E9">
        <v>179.61699999999999</v>
      </c>
      <c r="I9">
        <f t="shared" si="1"/>
        <v>0.98934895263978373</v>
      </c>
      <c r="J9">
        <f t="shared" si="2"/>
        <v>0.98663026148536048</v>
      </c>
      <c r="K9" s="3">
        <f t="shared" si="3"/>
        <v>1.0252117723811487</v>
      </c>
      <c r="L9" s="2">
        <f t="shared" si="4"/>
        <v>0.96501911048283195</v>
      </c>
      <c r="M9" s="2">
        <f t="shared" si="5"/>
        <v>0.96236727675670453</v>
      </c>
      <c r="R9">
        <f t="shared" si="6"/>
        <v>1.2237500252622222</v>
      </c>
      <c r="S9">
        <f t="shared" si="7"/>
        <v>0.82046780323063173</v>
      </c>
    </row>
    <row r="10" spans="1:19" x14ac:dyDescent="0.3">
      <c r="A10">
        <v>4.0026999999999999</v>
      </c>
      <c r="B10">
        <f t="shared" si="0"/>
        <v>-8.8080999999999996</v>
      </c>
      <c r="C10">
        <v>2397.3330000000001</v>
      </c>
      <c r="D10">
        <v>206.542</v>
      </c>
      <c r="E10">
        <v>177.61699999999999</v>
      </c>
      <c r="I10">
        <f t="shared" si="1"/>
        <v>0.98986673339184161</v>
      </c>
      <c r="J10">
        <f t="shared" si="2"/>
        <v>0.99636028587072156</v>
      </c>
      <c r="K10" s="3">
        <f t="shared" si="3"/>
        <v>1.0137962407512791</v>
      </c>
      <c r="L10" s="2">
        <f t="shared" si="4"/>
        <v>0.97639613721421536</v>
      </c>
      <c r="M10" s="2">
        <f t="shared" si="5"/>
        <v>0.98280132221871674</v>
      </c>
      <c r="R10">
        <f t="shared" si="6"/>
        <v>1.2619704838600541</v>
      </c>
      <c r="S10">
        <f t="shared" si="7"/>
        <v>0.92543839693080787</v>
      </c>
    </row>
    <row r="11" spans="1:19" x14ac:dyDescent="0.3">
      <c r="A11">
        <v>4.5026999999999999</v>
      </c>
      <c r="B11">
        <f t="shared" si="0"/>
        <v>-8.3080999999999996</v>
      </c>
      <c r="C11">
        <v>2353.2379999999998</v>
      </c>
      <c r="D11">
        <v>207.93199999999999</v>
      </c>
      <c r="E11">
        <v>169.983</v>
      </c>
      <c r="I11">
        <f t="shared" si="1"/>
        <v>0.97165976189104741</v>
      </c>
      <c r="J11">
        <f t="shared" si="2"/>
        <v>1.0030656571625667</v>
      </c>
      <c r="K11" s="3">
        <f t="shared" si="3"/>
        <v>0.97022315652006663</v>
      </c>
      <c r="L11" s="2">
        <f t="shared" si="4"/>
        <v>1.0014806958186131</v>
      </c>
      <c r="M11" s="2">
        <f t="shared" si="5"/>
        <v>1.0338504605067327</v>
      </c>
      <c r="R11">
        <f t="shared" si="6"/>
        <v>1.3462405973282405</v>
      </c>
      <c r="S11">
        <f t="shared" si="7"/>
        <v>1.1876800741325841</v>
      </c>
    </row>
    <row r="12" spans="1:19" x14ac:dyDescent="0.3">
      <c r="A12" s="4">
        <v>12.8108</v>
      </c>
      <c r="B12" s="4">
        <f t="shared" si="0"/>
        <v>0</v>
      </c>
      <c r="C12" s="4">
        <v>1452.444</v>
      </c>
      <c r="D12" s="4">
        <v>166.102</v>
      </c>
      <c r="E12" s="4">
        <v>174.9</v>
      </c>
      <c r="F12" s="4"/>
      <c r="G12" s="4"/>
      <c r="H12" s="4"/>
      <c r="I12" s="4">
        <f t="shared" si="1"/>
        <v>0.59971893671616749</v>
      </c>
      <c r="J12" s="4">
        <f t="shared" si="2"/>
        <v>0.80127739735113723</v>
      </c>
      <c r="K12" s="4">
        <f t="shared" si="3"/>
        <v>0.99828824103210112</v>
      </c>
      <c r="L12" s="4">
        <f t="shared" si="4"/>
        <v>0.60074727124516214</v>
      </c>
      <c r="M12" s="4">
        <f t="shared" si="5"/>
        <v>0.80265134298558893</v>
      </c>
      <c r="N12" s="4">
        <f>AVERAGE(L66:L76)</f>
        <v>0.89841577520258964</v>
      </c>
      <c r="O12" s="4">
        <f>AVERAGE(M66:M76)</f>
        <v>0.99731581749906328</v>
      </c>
      <c r="P12" s="5">
        <f>(N12-L12)/(1-L12)</f>
        <v>0.74556410643898585</v>
      </c>
      <c r="Q12" s="5">
        <f>(O12-M12)/(1-M12)</f>
        <v>0.98639877999909209</v>
      </c>
      <c r="R12">
        <f t="shared" si="6"/>
        <v>0</v>
      </c>
      <c r="S12">
        <f t="shared" si="7"/>
        <v>0</v>
      </c>
    </row>
    <row r="13" spans="1:19" x14ac:dyDescent="0.3">
      <c r="A13">
        <v>13.313599999999999</v>
      </c>
      <c r="B13">
        <f t="shared" si="0"/>
        <v>0.5027999999999988</v>
      </c>
      <c r="C13">
        <v>1563.73</v>
      </c>
      <c r="D13">
        <v>169.78</v>
      </c>
      <c r="E13">
        <v>170.21700000000001</v>
      </c>
      <c r="I13">
        <f t="shared" si="1"/>
        <v>0.64566929458978972</v>
      </c>
      <c r="J13">
        <f t="shared" si="2"/>
        <v>0.8190200992298472</v>
      </c>
      <c r="K13" s="3">
        <f t="shared" si="3"/>
        <v>0.97155877372076138</v>
      </c>
      <c r="L13" s="2">
        <f t="shared" si="4"/>
        <v>0.66457049439951177</v>
      </c>
      <c r="M13" s="2">
        <f t="shared" si="5"/>
        <v>0.84299593743902956</v>
      </c>
      <c r="R13">
        <f t="shared" si="6"/>
        <v>0.21441040051545934</v>
      </c>
      <c r="S13">
        <f t="shared" si="7"/>
        <v>0.20725196291862716</v>
      </c>
    </row>
    <row r="14" spans="1:19" x14ac:dyDescent="0.3">
      <c r="A14">
        <v>13.813599999999999</v>
      </c>
      <c r="B14">
        <f t="shared" si="0"/>
        <v>1.0027999999999988</v>
      </c>
      <c r="C14">
        <v>1638.6669999999999</v>
      </c>
      <c r="D14">
        <v>169.881</v>
      </c>
      <c r="E14">
        <v>169.81700000000001</v>
      </c>
      <c r="I14">
        <f t="shared" si="1"/>
        <v>0.67661103001001899</v>
      </c>
      <c r="J14">
        <f t="shared" si="2"/>
        <v>0.81950732405033377</v>
      </c>
      <c r="K14" s="3">
        <f t="shared" si="3"/>
        <v>0.96927566739478743</v>
      </c>
      <c r="L14" s="2">
        <f t="shared" si="4"/>
        <v>0.69805840873794911</v>
      </c>
      <c r="M14" s="2">
        <f t="shared" si="5"/>
        <v>0.84548426378328467</v>
      </c>
      <c r="R14">
        <f t="shared" si="6"/>
        <v>0.3269110980807845</v>
      </c>
      <c r="S14">
        <f t="shared" si="7"/>
        <v>0.22003460520851695</v>
      </c>
    </row>
    <row r="15" spans="1:19" x14ac:dyDescent="0.3">
      <c r="A15">
        <v>14.313599999999999</v>
      </c>
      <c r="B15">
        <f t="shared" si="0"/>
        <v>1.5027999999999988</v>
      </c>
      <c r="C15">
        <v>1684.7940000000001</v>
      </c>
      <c r="D15">
        <v>175.322</v>
      </c>
      <c r="E15">
        <v>173.8</v>
      </c>
      <c r="I15">
        <f t="shared" si="1"/>
        <v>0.69565702103886884</v>
      </c>
      <c r="J15">
        <f t="shared" si="2"/>
        <v>0.84575475225100283</v>
      </c>
      <c r="K15" s="3">
        <f t="shared" si="3"/>
        <v>0.9920096986356729</v>
      </c>
      <c r="L15" s="2">
        <f t="shared" si="4"/>
        <v>0.70126030218819158</v>
      </c>
      <c r="M15" s="2">
        <f t="shared" si="5"/>
        <v>0.85256701967146398</v>
      </c>
      <c r="R15">
        <f t="shared" si="6"/>
        <v>0.33766767261814434</v>
      </c>
      <c r="S15">
        <f t="shared" si="7"/>
        <v>0.25641903490932016</v>
      </c>
    </row>
    <row r="16" spans="1:19" x14ac:dyDescent="0.3">
      <c r="A16">
        <v>14.813700000000001</v>
      </c>
      <c r="B16">
        <f t="shared" si="0"/>
        <v>2.0029000000000003</v>
      </c>
      <c r="C16">
        <v>1736.6189999999999</v>
      </c>
      <c r="D16">
        <v>178.81399999999999</v>
      </c>
      <c r="E16">
        <v>172.017</v>
      </c>
      <c r="I16">
        <f t="shared" si="1"/>
        <v>0.71705573513408716</v>
      </c>
      <c r="J16">
        <f t="shared" si="2"/>
        <v>0.86260018861871768</v>
      </c>
      <c r="K16" s="3">
        <f t="shared" si="3"/>
        <v>0.98183275218764399</v>
      </c>
      <c r="L16" s="2">
        <f t="shared" si="4"/>
        <v>0.73032370690058857</v>
      </c>
      <c r="M16" s="2">
        <f t="shared" si="5"/>
        <v>0.87856122816919535</v>
      </c>
      <c r="R16">
        <f t="shared" si="6"/>
        <v>0.43530448782031178</v>
      </c>
      <c r="S16">
        <f t="shared" si="7"/>
        <v>0.38995243160483328</v>
      </c>
    </row>
    <row r="17" spans="1:19" x14ac:dyDescent="0.3">
      <c r="A17">
        <v>15.313700000000001</v>
      </c>
      <c r="B17" s="6">
        <f t="shared" si="0"/>
        <v>2.5029000000000003</v>
      </c>
      <c r="C17">
        <v>1780.222</v>
      </c>
      <c r="D17">
        <v>177.94900000000001</v>
      </c>
      <c r="E17">
        <v>173.06700000000001</v>
      </c>
      <c r="I17">
        <f t="shared" si="1"/>
        <v>0.73505955820584412</v>
      </c>
      <c r="J17">
        <f t="shared" si="2"/>
        <v>0.85842742159177809</v>
      </c>
      <c r="K17" s="3">
        <f t="shared" si="3"/>
        <v>0.98782590629332567</v>
      </c>
      <c r="L17" s="2">
        <f t="shared" si="4"/>
        <v>0.74411852688096547</v>
      </c>
      <c r="M17" s="2">
        <f t="shared" si="5"/>
        <v>0.86900679170574024</v>
      </c>
      <c r="R17" s="4">
        <f t="shared" si="6"/>
        <v>0.48164738200286134</v>
      </c>
      <c r="S17">
        <f t="shared" si="7"/>
        <v>0.34087086966429664</v>
      </c>
    </row>
    <row r="18" spans="1:19" x14ac:dyDescent="0.3">
      <c r="A18">
        <v>15.8133</v>
      </c>
      <c r="B18" s="6">
        <f t="shared" si="0"/>
        <v>3.0024999999999995</v>
      </c>
      <c r="C18">
        <v>1812.81</v>
      </c>
      <c r="D18">
        <v>181.84700000000001</v>
      </c>
      <c r="E18">
        <v>175.983</v>
      </c>
      <c r="I18">
        <f t="shared" si="1"/>
        <v>0.74851525130637431</v>
      </c>
      <c r="J18">
        <f t="shared" si="2"/>
        <v>0.87723140525768661</v>
      </c>
      <c r="K18" s="3">
        <f t="shared" si="3"/>
        <v>1.0044697514096756</v>
      </c>
      <c r="L18" s="2">
        <f t="shared" si="4"/>
        <v>0.74518446200685085</v>
      </c>
      <c r="M18" s="2">
        <f t="shared" si="5"/>
        <v>0.87332784688297249</v>
      </c>
      <c r="R18">
        <f t="shared" si="6"/>
        <v>0.48522832896807278</v>
      </c>
      <c r="S18" s="4">
        <f t="shared" si="7"/>
        <v>0.36306832088405244</v>
      </c>
    </row>
    <row r="19" spans="1:19" x14ac:dyDescent="0.3">
      <c r="A19">
        <v>16.313500000000001</v>
      </c>
      <c r="B19">
        <f t="shared" si="0"/>
        <v>3.5027000000000008</v>
      </c>
      <c r="C19">
        <v>1824.444</v>
      </c>
      <c r="D19">
        <v>182.017</v>
      </c>
      <c r="E19">
        <v>164.3</v>
      </c>
      <c r="I19">
        <f t="shared" si="1"/>
        <v>0.75331896842714174</v>
      </c>
      <c r="J19">
        <f t="shared" si="2"/>
        <v>0.87805148663870358</v>
      </c>
      <c r="K19" s="3">
        <f t="shared" si="3"/>
        <v>0.93778592339379208</v>
      </c>
      <c r="L19" s="2">
        <f t="shared" si="4"/>
        <v>0.80329524002762243</v>
      </c>
      <c r="M19" s="2">
        <f t="shared" si="5"/>
        <v>0.93630269418108447</v>
      </c>
      <c r="R19">
        <f t="shared" si="6"/>
        <v>0.68044810280441581</v>
      </c>
      <c r="S19">
        <f t="shared" si="7"/>
        <v>0.68657289178999337</v>
      </c>
    </row>
    <row r="20" spans="1:19" x14ac:dyDescent="0.3">
      <c r="A20">
        <v>16.813500000000001</v>
      </c>
      <c r="B20">
        <f t="shared" si="0"/>
        <v>4.0027000000000008</v>
      </c>
      <c r="C20">
        <v>1871.2539999999999</v>
      </c>
      <c r="D20">
        <v>183</v>
      </c>
      <c r="E20">
        <v>168.2</v>
      </c>
      <c r="I20">
        <f t="shared" si="1"/>
        <v>0.77264697241743929</v>
      </c>
      <c r="J20">
        <f t="shared" si="2"/>
        <v>0.88279348662423152</v>
      </c>
      <c r="K20" s="3">
        <f t="shared" si="3"/>
        <v>0.96004621007203772</v>
      </c>
      <c r="L20" s="2">
        <f t="shared" si="4"/>
        <v>0.8048018567350661</v>
      </c>
      <c r="M20" s="2">
        <f t="shared" si="5"/>
        <v>0.91953228642816109</v>
      </c>
      <c r="R20">
        <f t="shared" si="6"/>
        <v>0.68550949387338544</v>
      </c>
      <c r="S20">
        <f t="shared" si="7"/>
        <v>0.60042256675078054</v>
      </c>
    </row>
    <row r="21" spans="1:19" x14ac:dyDescent="0.3">
      <c r="A21">
        <v>17.313500000000001</v>
      </c>
      <c r="B21">
        <f t="shared" si="0"/>
        <v>4.5027000000000008</v>
      </c>
      <c r="C21">
        <v>1896.7940000000001</v>
      </c>
      <c r="D21">
        <v>187.61</v>
      </c>
      <c r="E21">
        <v>170.11699999999999</v>
      </c>
      <c r="I21">
        <f t="shared" si="1"/>
        <v>0.78319252298168207</v>
      </c>
      <c r="J21">
        <f t="shared" si="2"/>
        <v>0.90503216407416442</v>
      </c>
      <c r="K21" s="3">
        <f t="shared" si="3"/>
        <v>0.97098799713926776</v>
      </c>
      <c r="L21" s="2">
        <f t="shared" si="4"/>
        <v>0.80659341339865154</v>
      </c>
      <c r="M21" s="2">
        <f t="shared" si="5"/>
        <v>0.93207348261829914</v>
      </c>
      <c r="R21">
        <f t="shared" si="6"/>
        <v>0.69152812412740006</v>
      </c>
      <c r="S21">
        <f t="shared" si="7"/>
        <v>0.66484724527254113</v>
      </c>
    </row>
    <row r="22" spans="1:19" x14ac:dyDescent="0.3">
      <c r="A22">
        <v>17.813600000000001</v>
      </c>
      <c r="B22">
        <f t="shared" si="0"/>
        <v>5.0028000000000006</v>
      </c>
      <c r="C22">
        <v>1895.048</v>
      </c>
      <c r="D22">
        <v>187.08500000000001</v>
      </c>
      <c r="E22">
        <v>170.8</v>
      </c>
      <c r="I22">
        <f t="shared" si="1"/>
        <v>0.78247159380058695</v>
      </c>
      <c r="J22">
        <f t="shared" si="2"/>
        <v>0.90249955980925889</v>
      </c>
      <c r="K22" s="3">
        <f t="shared" si="3"/>
        <v>0.97488640119086845</v>
      </c>
      <c r="L22" s="2">
        <f t="shared" si="4"/>
        <v>0.80262848352870864</v>
      </c>
      <c r="M22" s="2">
        <f t="shared" si="5"/>
        <v>0.92574843459382994</v>
      </c>
      <c r="R22">
        <f t="shared" si="6"/>
        <v>0.6782081731845554</v>
      </c>
      <c r="S22">
        <f t="shared" si="7"/>
        <v>0.63235519432037113</v>
      </c>
    </row>
    <row r="23" spans="1:19" x14ac:dyDescent="0.3">
      <c r="A23">
        <v>18.313600000000001</v>
      </c>
      <c r="B23">
        <f t="shared" si="0"/>
        <v>5.5028000000000006</v>
      </c>
      <c r="C23">
        <v>1917.6510000000001</v>
      </c>
      <c r="D23">
        <v>183.72900000000001</v>
      </c>
      <c r="E23">
        <v>166.75</v>
      </c>
      <c r="I23">
        <f t="shared" si="1"/>
        <v>0.79180444734027289</v>
      </c>
      <c r="J23">
        <f t="shared" si="2"/>
        <v>0.88631018854635768</v>
      </c>
      <c r="K23" s="3">
        <f t="shared" si="3"/>
        <v>0.95176994964038231</v>
      </c>
      <c r="L23" s="2">
        <f t="shared" si="4"/>
        <v>0.8319283957635446</v>
      </c>
      <c r="M23" s="2">
        <f t="shared" si="5"/>
        <v>0.93122312685039277</v>
      </c>
      <c r="R23">
        <f t="shared" si="6"/>
        <v>0.77663952163190886</v>
      </c>
      <c r="S23">
        <f t="shared" si="7"/>
        <v>0.66047893014965253</v>
      </c>
    </row>
    <row r="24" spans="1:19" x14ac:dyDescent="0.3">
      <c r="A24">
        <v>18.813199999999998</v>
      </c>
      <c r="B24">
        <f t="shared" si="0"/>
        <v>6.002399999999998</v>
      </c>
      <c r="C24">
        <v>1934.0630000000001</v>
      </c>
      <c r="D24">
        <v>179.881</v>
      </c>
      <c r="E24">
        <v>162.88300000000001</v>
      </c>
      <c r="I24">
        <f t="shared" si="1"/>
        <v>0.79858101648124202</v>
      </c>
      <c r="J24">
        <f t="shared" si="2"/>
        <v>0.86774740528663064</v>
      </c>
      <c r="K24" s="3">
        <f t="shared" si="3"/>
        <v>0.92969801923402939</v>
      </c>
      <c r="L24" s="2">
        <f t="shared" si="4"/>
        <v>0.85896818102203376</v>
      </c>
      <c r="M24" s="2">
        <f t="shared" si="5"/>
        <v>0.93336479946634787</v>
      </c>
      <c r="R24">
        <f t="shared" si="6"/>
        <v>0.86747810515351775</v>
      </c>
      <c r="S24">
        <f t="shared" si="7"/>
        <v>0.67148079693252494</v>
      </c>
    </row>
    <row r="25" spans="1:19" x14ac:dyDescent="0.3">
      <c r="A25">
        <v>19.314</v>
      </c>
      <c r="B25">
        <f t="shared" si="0"/>
        <v>6.5031999999999996</v>
      </c>
      <c r="C25">
        <v>1907.3019999999999</v>
      </c>
      <c r="D25">
        <v>183.983</v>
      </c>
      <c r="E25">
        <v>163.267</v>
      </c>
      <c r="I25">
        <f t="shared" si="1"/>
        <v>0.78753131097420603</v>
      </c>
      <c r="J25">
        <f t="shared" si="2"/>
        <v>0.88753548660975956</v>
      </c>
      <c r="K25" s="3">
        <f t="shared" si="3"/>
        <v>0.9318898013069643</v>
      </c>
      <c r="L25" s="2">
        <f t="shared" si="4"/>
        <v>0.84509059962852129</v>
      </c>
      <c r="M25" s="2">
        <f t="shared" si="5"/>
        <v>0.95240390587492385</v>
      </c>
      <c r="R25">
        <f t="shared" si="6"/>
        <v>0.82085717882435116</v>
      </c>
      <c r="S25">
        <f t="shared" si="7"/>
        <v>0.76928552712872778</v>
      </c>
    </row>
    <row r="26" spans="1:19" x14ac:dyDescent="0.3">
      <c r="A26">
        <v>19.813400000000001</v>
      </c>
      <c r="B26">
        <f t="shared" si="0"/>
        <v>7.002600000000001</v>
      </c>
      <c r="C26">
        <v>1934.4760000000001</v>
      </c>
      <c r="D26">
        <v>188.39</v>
      </c>
      <c r="E26">
        <v>164.88300000000001</v>
      </c>
      <c r="I26">
        <f t="shared" si="1"/>
        <v>0.79875154554870609</v>
      </c>
      <c r="J26">
        <f t="shared" si="2"/>
        <v>0.90879489041059547</v>
      </c>
      <c r="K26" s="3">
        <f t="shared" si="3"/>
        <v>0.94111355086389903</v>
      </c>
      <c r="L26" s="2">
        <f t="shared" si="4"/>
        <v>0.84873025663639512</v>
      </c>
      <c r="M26" s="2">
        <f t="shared" si="5"/>
        <v>0.96565912750524474</v>
      </c>
      <c r="R26">
        <f t="shared" si="6"/>
        <v>0.83308439453406014</v>
      </c>
      <c r="S26">
        <f t="shared" si="7"/>
        <v>0.83737818586088586</v>
      </c>
    </row>
    <row r="27" spans="1:19" x14ac:dyDescent="0.3">
      <c r="A27">
        <v>20.313400000000001</v>
      </c>
      <c r="B27">
        <f t="shared" si="0"/>
        <v>7.502600000000001</v>
      </c>
      <c r="C27">
        <v>1923.587</v>
      </c>
      <c r="D27">
        <v>182.84700000000001</v>
      </c>
      <c r="E27">
        <v>163.06700000000001</v>
      </c>
      <c r="I27">
        <f t="shared" si="1"/>
        <v>0.79425544139467164</v>
      </c>
      <c r="J27">
        <f t="shared" si="2"/>
        <v>0.88205541338131621</v>
      </c>
      <c r="K27" s="3">
        <f t="shared" si="3"/>
        <v>0.93074824814397739</v>
      </c>
      <c r="L27" s="2">
        <f t="shared" si="4"/>
        <v>0.85335152978102446</v>
      </c>
      <c r="M27" s="2">
        <f t="shared" si="5"/>
        <v>0.9476842047677656</v>
      </c>
      <c r="R27">
        <f t="shared" si="6"/>
        <v>0.84860929247653871</v>
      </c>
      <c r="S27">
        <f t="shared" si="7"/>
        <v>0.74504021416674948</v>
      </c>
    </row>
    <row r="28" spans="1:19" x14ac:dyDescent="0.3">
      <c r="A28">
        <v>20.813400000000001</v>
      </c>
      <c r="B28">
        <f t="shared" si="0"/>
        <v>8.002600000000001</v>
      </c>
      <c r="C28">
        <v>1967.556</v>
      </c>
      <c r="D28">
        <v>183.18600000000001</v>
      </c>
      <c r="E28">
        <v>163.63300000000001</v>
      </c>
      <c r="I28">
        <f t="shared" si="1"/>
        <v>0.8124103870782734</v>
      </c>
      <c r="J28">
        <f t="shared" si="2"/>
        <v>0.88369075213522674</v>
      </c>
      <c r="K28" s="3">
        <f t="shared" si="3"/>
        <v>0.93397884359523053</v>
      </c>
      <c r="L28" s="2">
        <f t="shared" si="4"/>
        <v>0.86983810463094102</v>
      </c>
      <c r="M28" s="2">
        <f t="shared" si="5"/>
        <v>0.94615714070521517</v>
      </c>
      <c r="R28">
        <f t="shared" si="6"/>
        <v>0.90399498034990022</v>
      </c>
      <c r="S28">
        <f t="shared" si="7"/>
        <v>0.73719561865764571</v>
      </c>
    </row>
    <row r="29" spans="1:19" x14ac:dyDescent="0.3">
      <c r="A29">
        <v>21.313500000000001</v>
      </c>
      <c r="B29">
        <f t="shared" si="0"/>
        <v>8.5027000000000008</v>
      </c>
      <c r="C29">
        <v>1964.952</v>
      </c>
      <c r="D29">
        <v>189.06800000000001</v>
      </c>
      <c r="E29">
        <v>168.5</v>
      </c>
      <c r="I29">
        <f t="shared" si="1"/>
        <v>0.81133518685629658</v>
      </c>
      <c r="J29">
        <f t="shared" si="2"/>
        <v>0.91206556791841653</v>
      </c>
      <c r="K29" s="3">
        <f t="shared" si="3"/>
        <v>0.96175853981651827</v>
      </c>
      <c r="L29" s="2">
        <f t="shared" si="4"/>
        <v>0.84359551100121344</v>
      </c>
      <c r="M29" s="2">
        <f t="shared" si="5"/>
        <v>0.94833113526854462</v>
      </c>
      <c r="R29">
        <f t="shared" si="6"/>
        <v>0.81583451566909282</v>
      </c>
      <c r="S29">
        <f t="shared" si="7"/>
        <v>0.74836352471119216</v>
      </c>
    </row>
    <row r="30" spans="1:19" x14ac:dyDescent="0.3">
      <c r="A30">
        <v>21.813700000000001</v>
      </c>
      <c r="B30">
        <f t="shared" si="0"/>
        <v>9.0029000000000003</v>
      </c>
      <c r="C30">
        <v>1972.2860000000001</v>
      </c>
      <c r="D30">
        <v>187.50800000000001</v>
      </c>
      <c r="E30">
        <v>168.68299999999999</v>
      </c>
      <c r="I30">
        <f t="shared" si="1"/>
        <v>0.81436341973954463</v>
      </c>
      <c r="J30">
        <f t="shared" si="2"/>
        <v>0.90454011524555422</v>
      </c>
      <c r="K30" s="3">
        <f t="shared" si="3"/>
        <v>0.96280306096065127</v>
      </c>
      <c r="L30" s="2">
        <f t="shared" si="4"/>
        <v>0.84582554081932526</v>
      </c>
      <c r="M30" s="2">
        <f t="shared" si="5"/>
        <v>0.9394861233023456</v>
      </c>
      <c r="R30">
        <f t="shared" si="6"/>
        <v>0.82332617094489169</v>
      </c>
      <c r="S30">
        <f t="shared" si="7"/>
        <v>0.7029263077341068</v>
      </c>
    </row>
    <row r="31" spans="1:19" x14ac:dyDescent="0.3">
      <c r="A31">
        <v>22.3139</v>
      </c>
      <c r="B31">
        <f t="shared" si="0"/>
        <v>9.5030999999999999</v>
      </c>
      <c r="C31">
        <v>1987.6189999999999</v>
      </c>
      <c r="D31">
        <v>186.94900000000001</v>
      </c>
      <c r="E31">
        <v>162.483</v>
      </c>
      <c r="I31">
        <f t="shared" si="1"/>
        <v>0.82069446620788966</v>
      </c>
      <c r="J31">
        <f t="shared" si="2"/>
        <v>0.90184349470444525</v>
      </c>
      <c r="K31" s="3">
        <f t="shared" si="3"/>
        <v>0.92741491290805544</v>
      </c>
      <c r="L31" s="2">
        <f t="shared" si="4"/>
        <v>0.88492696719149466</v>
      </c>
      <c r="M31" s="2">
        <f t="shared" si="5"/>
        <v>0.972427208310219</v>
      </c>
      <c r="R31">
        <f t="shared" si="6"/>
        <v>0.9546851352032053</v>
      </c>
      <c r="S31">
        <f t="shared" si="7"/>
        <v>0.87214611576637968</v>
      </c>
    </row>
    <row r="32" spans="1:19" x14ac:dyDescent="0.3">
      <c r="A32">
        <v>22.813300000000002</v>
      </c>
      <c r="B32">
        <f t="shared" si="0"/>
        <v>10.002500000000001</v>
      </c>
      <c r="C32">
        <v>1995.857</v>
      </c>
      <c r="D32">
        <v>181.78</v>
      </c>
      <c r="E32">
        <v>162.267</v>
      </c>
      <c r="I32">
        <f t="shared" si="1"/>
        <v>0.8240959636843278</v>
      </c>
      <c r="J32">
        <f t="shared" si="2"/>
        <v>0.87690819671340337</v>
      </c>
      <c r="K32" s="3">
        <f t="shared" si="3"/>
        <v>0.92618203549202949</v>
      </c>
      <c r="L32" s="2">
        <f t="shared" si="4"/>
        <v>0.88977752979902169</v>
      </c>
      <c r="M32" s="2">
        <f t="shared" si="5"/>
        <v>0.94679896943536634</v>
      </c>
      <c r="R32">
        <f t="shared" si="6"/>
        <v>0.97098031774028948</v>
      </c>
      <c r="S32">
        <f t="shared" si="7"/>
        <v>0.7404927211811303</v>
      </c>
    </row>
    <row r="33" spans="1:19" x14ac:dyDescent="0.3">
      <c r="A33">
        <v>23.3139</v>
      </c>
      <c r="B33">
        <f t="shared" si="0"/>
        <v>10.5031</v>
      </c>
      <c r="C33">
        <v>1985.6980000000001</v>
      </c>
      <c r="D33">
        <v>187.57599999999999</v>
      </c>
      <c r="E33">
        <v>164.81700000000001</v>
      </c>
      <c r="I33">
        <f t="shared" si="1"/>
        <v>0.81990127894736076</v>
      </c>
      <c r="J33">
        <f t="shared" si="2"/>
        <v>0.90486814779796099</v>
      </c>
      <c r="K33" s="3">
        <f t="shared" si="3"/>
        <v>0.94073683832011334</v>
      </c>
      <c r="L33" s="2">
        <f t="shared" si="4"/>
        <v>0.87155221901533031</v>
      </c>
      <c r="M33" s="2">
        <f t="shared" si="5"/>
        <v>0.96187170624018126</v>
      </c>
      <c r="R33">
        <f t="shared" si="6"/>
        <v>0.90975344777793032</v>
      </c>
      <c r="S33">
        <f t="shared" si="7"/>
        <v>0.8179220356078446</v>
      </c>
    </row>
    <row r="34" spans="1:19" x14ac:dyDescent="0.3">
      <c r="A34">
        <v>23.813199999999998</v>
      </c>
      <c r="B34">
        <f t="shared" si="0"/>
        <v>11.002399999999998</v>
      </c>
      <c r="C34">
        <v>1996.54</v>
      </c>
      <c r="D34">
        <v>192.40700000000001</v>
      </c>
      <c r="E34">
        <v>166.6</v>
      </c>
      <c r="I34">
        <f t="shared" si="1"/>
        <v>0.82437797664577572</v>
      </c>
      <c r="J34">
        <f t="shared" si="2"/>
        <v>0.92817293104321597</v>
      </c>
      <c r="K34" s="3">
        <f t="shared" si="3"/>
        <v>0.95091378476814203</v>
      </c>
      <c r="L34" s="2">
        <f t="shared" si="4"/>
        <v>0.86693240738620791</v>
      </c>
      <c r="M34" s="2">
        <f t="shared" si="5"/>
        <v>0.97608526231379544</v>
      </c>
      <c r="R34">
        <f t="shared" si="6"/>
        <v>0.89423345971166479</v>
      </c>
      <c r="S34">
        <f t="shared" si="7"/>
        <v>0.89093770068560563</v>
      </c>
    </row>
    <row r="35" spans="1:19" x14ac:dyDescent="0.3">
      <c r="A35">
        <v>24.313800000000001</v>
      </c>
      <c r="B35">
        <f t="shared" si="0"/>
        <v>11.503</v>
      </c>
      <c r="C35">
        <v>1988.079</v>
      </c>
      <c r="D35">
        <v>185.102</v>
      </c>
      <c r="E35">
        <v>163.31700000000001</v>
      </c>
      <c r="I35">
        <f t="shared" si="1"/>
        <v>0.8208844017309731</v>
      </c>
      <c r="J35">
        <f t="shared" si="2"/>
        <v>0.89293355170010114</v>
      </c>
      <c r="K35" s="3">
        <f t="shared" si="3"/>
        <v>0.93217518959771106</v>
      </c>
      <c r="L35" s="2">
        <f t="shared" si="4"/>
        <v>0.88061172501837714</v>
      </c>
      <c r="M35" s="2">
        <f t="shared" si="5"/>
        <v>0.95790315132229054</v>
      </c>
      <c r="R35">
        <f t="shared" si="6"/>
        <v>0.94018833048336603</v>
      </c>
      <c r="S35">
        <f t="shared" si="7"/>
        <v>0.79753539378319038</v>
      </c>
    </row>
    <row r="36" spans="1:19" x14ac:dyDescent="0.3">
      <c r="A36">
        <v>24.813199999999998</v>
      </c>
      <c r="B36">
        <f t="shared" si="0"/>
        <v>12.002399999999998</v>
      </c>
      <c r="C36">
        <v>2000.857</v>
      </c>
      <c r="D36">
        <v>183.76300000000001</v>
      </c>
      <c r="E36">
        <v>164.333</v>
      </c>
      <c r="I36">
        <f t="shared" si="1"/>
        <v>0.82616048023958288</v>
      </c>
      <c r="J36">
        <f t="shared" si="2"/>
        <v>0.88647420482256101</v>
      </c>
      <c r="K36" s="3">
        <f t="shared" si="3"/>
        <v>0.93797427966568481</v>
      </c>
      <c r="L36" s="2">
        <f t="shared" si="4"/>
        <v>0.88079225427593288</v>
      </c>
      <c r="M36" s="2">
        <f t="shared" si="5"/>
        <v>0.94509436350271825</v>
      </c>
      <c r="R36">
        <f t="shared" si="6"/>
        <v>0.94079480800838344</v>
      </c>
      <c r="S36">
        <f t="shared" si="7"/>
        <v>0.7317360852468725</v>
      </c>
    </row>
    <row r="37" spans="1:19" x14ac:dyDescent="0.3">
      <c r="A37">
        <v>25.313400000000001</v>
      </c>
      <c r="B37">
        <f t="shared" si="0"/>
        <v>12.502600000000001</v>
      </c>
      <c r="C37">
        <v>2006.143</v>
      </c>
      <c r="D37">
        <v>188.30500000000001</v>
      </c>
      <c r="E37">
        <v>167.9</v>
      </c>
      <c r="I37">
        <f t="shared" si="1"/>
        <v>0.8283430871417985</v>
      </c>
      <c r="J37">
        <f t="shared" si="2"/>
        <v>0.90838484972008704</v>
      </c>
      <c r="K37" s="3">
        <f t="shared" si="3"/>
        <v>0.9583338803275574</v>
      </c>
      <c r="L37" s="2">
        <f t="shared" si="4"/>
        <v>0.86435751061902544</v>
      </c>
      <c r="M37" s="2">
        <f t="shared" si="5"/>
        <v>0.94787930215886984</v>
      </c>
      <c r="R37">
        <f t="shared" si="6"/>
        <v>0.8855832440087944</v>
      </c>
      <c r="S37">
        <f t="shared" si="7"/>
        <v>0.74604243807838944</v>
      </c>
    </row>
    <row r="38" spans="1:19" x14ac:dyDescent="0.3">
      <c r="A38">
        <v>25.813600000000001</v>
      </c>
      <c r="B38">
        <f t="shared" si="0"/>
        <v>13.002800000000001</v>
      </c>
      <c r="C38">
        <v>1977.5709999999999</v>
      </c>
      <c r="D38">
        <v>184.28800000000001</v>
      </c>
      <c r="E38">
        <v>163.4</v>
      </c>
      <c r="I38">
        <f t="shared" si="1"/>
        <v>0.81654561373844914</v>
      </c>
      <c r="J38">
        <f t="shared" si="2"/>
        <v>0.88900680908746665</v>
      </c>
      <c r="K38" s="3">
        <f t="shared" si="3"/>
        <v>0.93264893416035066</v>
      </c>
      <c r="L38" s="2">
        <f t="shared" si="4"/>
        <v>0.87551230032077665</v>
      </c>
      <c r="M38" s="2">
        <f t="shared" si="5"/>
        <v>0.95320626714469536</v>
      </c>
      <c r="R38">
        <f t="shared" si="6"/>
        <v>0.9230571102507753</v>
      </c>
      <c r="S38">
        <f t="shared" si="7"/>
        <v>0.77340729239574357</v>
      </c>
    </row>
    <row r="39" spans="1:19" x14ac:dyDescent="0.3">
      <c r="A39">
        <v>26.313600000000001</v>
      </c>
      <c r="B39">
        <f t="shared" si="0"/>
        <v>13.502800000000001</v>
      </c>
      <c r="C39">
        <v>1987.27</v>
      </c>
      <c r="D39">
        <v>191.64400000000001</v>
      </c>
      <c r="E39">
        <v>165.65</v>
      </c>
      <c r="I39">
        <f t="shared" si="1"/>
        <v>0.82055036295233286</v>
      </c>
      <c r="J39">
        <f t="shared" si="2"/>
        <v>0.92449221284488659</v>
      </c>
      <c r="K39" s="3">
        <f t="shared" si="3"/>
        <v>0.94549140724395397</v>
      </c>
      <c r="L39" s="2">
        <f t="shared" si="4"/>
        <v>0.86785597062609365</v>
      </c>
      <c r="M39" s="2">
        <f t="shared" si="5"/>
        <v>0.97779017954242575</v>
      </c>
      <c r="R39">
        <f t="shared" si="6"/>
        <v>0.89733611661895329</v>
      </c>
      <c r="S39">
        <f t="shared" si="7"/>
        <v>0.89969593576106766</v>
      </c>
    </row>
    <row r="40" spans="1:19" x14ac:dyDescent="0.3">
      <c r="A40">
        <v>26.813700000000001</v>
      </c>
      <c r="B40">
        <f t="shared" si="0"/>
        <v>14.0029</v>
      </c>
      <c r="C40">
        <v>2011.778</v>
      </c>
      <c r="D40">
        <v>186.76300000000001</v>
      </c>
      <c r="E40">
        <v>164.88300000000001</v>
      </c>
      <c r="I40">
        <f t="shared" si="1"/>
        <v>0.83066979729957091</v>
      </c>
      <c r="J40">
        <f t="shared" si="2"/>
        <v>0.90094622919345002</v>
      </c>
      <c r="K40" s="3">
        <f t="shared" si="3"/>
        <v>0.94111355086389903</v>
      </c>
      <c r="L40" s="2">
        <f t="shared" si="4"/>
        <v>0.8826456664416894</v>
      </c>
      <c r="M40" s="2">
        <f t="shared" si="5"/>
        <v>0.95731936743065993</v>
      </c>
      <c r="R40">
        <f t="shared" si="6"/>
        <v>0.94702123821888906</v>
      </c>
      <c r="S40">
        <f t="shared" si="7"/>
        <v>0.794536470157862</v>
      </c>
    </row>
    <row r="41" spans="1:19" x14ac:dyDescent="0.3">
      <c r="A41">
        <v>27.313700000000001</v>
      </c>
      <c r="B41">
        <f t="shared" si="0"/>
        <v>14.5029</v>
      </c>
      <c r="C41">
        <v>2026.8409999999999</v>
      </c>
      <c r="D41">
        <v>182.71199999999999</v>
      </c>
      <c r="E41">
        <v>164.233</v>
      </c>
      <c r="I41">
        <f t="shared" si="1"/>
        <v>0.8368893598739322</v>
      </c>
      <c r="J41">
        <f t="shared" si="2"/>
        <v>0.8814041722846262</v>
      </c>
      <c r="K41" s="3">
        <f t="shared" si="3"/>
        <v>0.9374035030841914</v>
      </c>
      <c r="L41" s="2">
        <f t="shared" si="4"/>
        <v>0.89277387711956135</v>
      </c>
      <c r="M41" s="2">
        <f t="shared" si="5"/>
        <v>0.94026123156642849</v>
      </c>
      <c r="R41">
        <f t="shared" si="6"/>
        <v>0.98104637202787437</v>
      </c>
      <c r="S41">
        <f t="shared" si="7"/>
        <v>0.70690807310768167</v>
      </c>
    </row>
    <row r="42" spans="1:19" x14ac:dyDescent="0.3">
      <c r="A42">
        <v>27.813300000000002</v>
      </c>
      <c r="B42">
        <f t="shared" si="0"/>
        <v>15.002500000000001</v>
      </c>
      <c r="C42">
        <v>2032.0319999999999</v>
      </c>
      <c r="D42">
        <v>191.542</v>
      </c>
      <c r="E42">
        <v>169.35</v>
      </c>
      <c r="I42">
        <f t="shared" si="1"/>
        <v>0.83903274096159797</v>
      </c>
      <c r="J42">
        <f t="shared" si="2"/>
        <v>0.92400016401627627</v>
      </c>
      <c r="K42" s="3">
        <f t="shared" si="3"/>
        <v>0.96661014075921281</v>
      </c>
      <c r="L42" s="2">
        <f t="shared" si="4"/>
        <v>0.86801566172540812</v>
      </c>
      <c r="M42" s="2">
        <f t="shared" si="5"/>
        <v>0.95591813602382758</v>
      </c>
      <c r="R42">
        <f t="shared" si="6"/>
        <v>0.89787258956517169</v>
      </c>
      <c r="S42">
        <f t="shared" si="7"/>
        <v>0.78733828255668592</v>
      </c>
    </row>
    <row r="43" spans="1:19" x14ac:dyDescent="0.3">
      <c r="A43">
        <v>28.313500000000001</v>
      </c>
      <c r="B43">
        <f t="shared" si="0"/>
        <v>15.502700000000001</v>
      </c>
      <c r="C43">
        <v>2009.9680000000001</v>
      </c>
      <c r="D43">
        <v>187.119</v>
      </c>
      <c r="E43">
        <v>167.78299999999999</v>
      </c>
      <c r="I43">
        <f t="shared" si="1"/>
        <v>0.82992244230656864</v>
      </c>
      <c r="J43">
        <f t="shared" si="2"/>
        <v>0.90266357608546222</v>
      </c>
      <c r="K43" s="3">
        <f t="shared" si="3"/>
        <v>0.95766607172720986</v>
      </c>
      <c r="L43" s="2">
        <f t="shared" si="4"/>
        <v>0.86660942348072567</v>
      </c>
      <c r="M43" s="2">
        <f t="shared" si="5"/>
        <v>0.94256610183281608</v>
      </c>
      <c r="R43">
        <f t="shared" si="6"/>
        <v>0.89314841409485191</v>
      </c>
      <c r="S43">
        <f t="shared" si="7"/>
        <v>0.71874829342599167</v>
      </c>
    </row>
    <row r="44" spans="1:19" x14ac:dyDescent="0.3">
      <c r="A44">
        <v>28.813500000000001</v>
      </c>
      <c r="B44">
        <f t="shared" si="0"/>
        <v>16.002700000000001</v>
      </c>
      <c r="C44">
        <v>2006.3330000000001</v>
      </c>
      <c r="D44">
        <v>193.25399999999999</v>
      </c>
      <c r="E44">
        <v>171.81700000000001</v>
      </c>
      <c r="I44">
        <f t="shared" si="1"/>
        <v>0.82842153877089819</v>
      </c>
      <c r="J44">
        <f t="shared" si="2"/>
        <v>0.93225886592393026</v>
      </c>
      <c r="K44" s="3">
        <f t="shared" si="3"/>
        <v>0.98069119902465707</v>
      </c>
      <c r="L44" s="2">
        <f t="shared" si="4"/>
        <v>0.8447323067595609</v>
      </c>
      <c r="M44" s="2">
        <f t="shared" si="5"/>
        <v>0.95061408407774539</v>
      </c>
      <c r="R44">
        <f t="shared" si="6"/>
        <v>0.81965351480146342</v>
      </c>
      <c r="S44">
        <f t="shared" si="7"/>
        <v>0.76009113353610247</v>
      </c>
    </row>
    <row r="45" spans="1:19" x14ac:dyDescent="0.3">
      <c r="A45">
        <v>29.313500000000001</v>
      </c>
      <c r="B45">
        <f t="shared" si="0"/>
        <v>16.502700000000001</v>
      </c>
      <c r="C45">
        <v>2003.444</v>
      </c>
      <c r="D45">
        <v>188.28800000000001</v>
      </c>
      <c r="E45">
        <v>169.53299999999999</v>
      </c>
      <c r="I45">
        <f t="shared" si="1"/>
        <v>0.82722866110527182</v>
      </c>
      <c r="J45">
        <f t="shared" si="2"/>
        <v>0.90830284158198538</v>
      </c>
      <c r="K45" s="3">
        <f t="shared" si="3"/>
        <v>0.96765466190334581</v>
      </c>
      <c r="L45" s="2">
        <f t="shared" si="4"/>
        <v>0.85488004519932703</v>
      </c>
      <c r="M45" s="2">
        <f t="shared" si="5"/>
        <v>0.9386642542447764</v>
      </c>
      <c r="R45">
        <f t="shared" si="6"/>
        <v>0.8537442509890496</v>
      </c>
      <c r="S45">
        <f t="shared" si="7"/>
        <v>0.69870433009990673</v>
      </c>
    </row>
    <row r="46" spans="1:19" x14ac:dyDescent="0.3">
      <c r="A46">
        <v>29.813099999999999</v>
      </c>
      <c r="B46">
        <f t="shared" si="0"/>
        <v>17.002299999999998</v>
      </c>
      <c r="C46">
        <v>2014.2380000000001</v>
      </c>
      <c r="D46">
        <v>183.62700000000001</v>
      </c>
      <c r="E46">
        <v>165.11699999999999</v>
      </c>
      <c r="I46">
        <f t="shared" si="1"/>
        <v>0.83168553944475643</v>
      </c>
      <c r="J46">
        <f t="shared" si="2"/>
        <v>0.88581813971774737</v>
      </c>
      <c r="K46" s="3">
        <f t="shared" si="3"/>
        <v>0.94244916806459367</v>
      </c>
      <c r="L46" s="2">
        <f t="shared" si="4"/>
        <v>0.88247257000894741</v>
      </c>
      <c r="M46" s="2">
        <f t="shared" si="5"/>
        <v>0.93991078748242374</v>
      </c>
      <c r="R46">
        <f t="shared" si="6"/>
        <v>0.94643973083587496</v>
      </c>
      <c r="S46">
        <f t="shared" si="7"/>
        <v>0.70510782637606506</v>
      </c>
    </row>
    <row r="47" spans="1:19" x14ac:dyDescent="0.3">
      <c r="A47">
        <v>30.3139</v>
      </c>
      <c r="B47">
        <f t="shared" si="0"/>
        <v>17.5031</v>
      </c>
      <c r="C47">
        <v>2023.2539999999999</v>
      </c>
      <c r="D47">
        <v>187.40700000000001</v>
      </c>
      <c r="E47">
        <v>167.65</v>
      </c>
      <c r="I47">
        <f t="shared" si="1"/>
        <v>0.83540827569719223</v>
      </c>
      <c r="J47">
        <f t="shared" si="2"/>
        <v>0.90405289042506765</v>
      </c>
      <c r="K47" s="3">
        <f t="shared" si="3"/>
        <v>0.95690693887382372</v>
      </c>
      <c r="L47" s="2">
        <f t="shared" si="4"/>
        <v>0.87302980233415139</v>
      </c>
      <c r="M47" s="2">
        <f t="shared" si="5"/>
        <v>0.94476573812814069</v>
      </c>
      <c r="R47">
        <f t="shared" si="6"/>
        <v>0.9147173028690031</v>
      </c>
      <c r="S47">
        <f t="shared" si="7"/>
        <v>0.73004792218887804</v>
      </c>
    </row>
    <row r="48" spans="1:19" x14ac:dyDescent="0.3">
      <c r="A48">
        <v>30.813300000000002</v>
      </c>
      <c r="B48">
        <f t="shared" si="0"/>
        <v>18.002500000000001</v>
      </c>
      <c r="C48">
        <v>2012.19</v>
      </c>
      <c r="D48">
        <v>191.05099999999999</v>
      </c>
      <c r="E48">
        <v>167.35</v>
      </c>
      <c r="I48">
        <f t="shared" si="1"/>
        <v>0.83083991346372399</v>
      </c>
      <c r="J48">
        <f t="shared" si="2"/>
        <v>0.92163157602757406</v>
      </c>
      <c r="K48" s="3">
        <f t="shared" si="3"/>
        <v>0.95519460912934318</v>
      </c>
      <c r="L48" s="2">
        <f t="shared" si="4"/>
        <v>0.86981218855603881</v>
      </c>
      <c r="M48" s="2">
        <f t="shared" si="5"/>
        <v>0.96486262298699355</v>
      </c>
      <c r="R48">
        <f t="shared" si="6"/>
        <v>0.90390791680586502</v>
      </c>
      <c r="S48">
        <f t="shared" si="7"/>
        <v>0.83328650698500517</v>
      </c>
    </row>
    <row r="49" spans="1:19" x14ac:dyDescent="0.3">
      <c r="A49">
        <v>31.314</v>
      </c>
      <c r="B49">
        <f t="shared" si="0"/>
        <v>18.5032</v>
      </c>
      <c r="C49">
        <v>2038.921</v>
      </c>
      <c r="D49">
        <v>187.39</v>
      </c>
      <c r="E49">
        <v>167.11699999999999</v>
      </c>
      <c r="I49">
        <f t="shared" si="1"/>
        <v>0.84187723187142838</v>
      </c>
      <c r="J49">
        <f t="shared" si="2"/>
        <v>0.90397088228696576</v>
      </c>
      <c r="K49" s="3">
        <f t="shared" si="3"/>
        <v>0.9538646996944633</v>
      </c>
      <c r="L49" s="2">
        <f t="shared" si="4"/>
        <v>0.88259606644537103</v>
      </c>
      <c r="M49" s="2">
        <f t="shared" si="5"/>
        <v>0.94769298263843993</v>
      </c>
      <c r="R49">
        <f t="shared" si="6"/>
        <v>0.94685460992043302</v>
      </c>
      <c r="S49">
        <f t="shared" si="7"/>
        <v>0.74508530647594595</v>
      </c>
    </row>
    <row r="50" spans="1:19" x14ac:dyDescent="0.3">
      <c r="A50">
        <v>31.813600000000001</v>
      </c>
      <c r="B50">
        <f t="shared" si="0"/>
        <v>19.002800000000001</v>
      </c>
      <c r="C50">
        <v>1988.2539999999999</v>
      </c>
      <c r="D50">
        <v>187.119</v>
      </c>
      <c r="E50">
        <v>163.1</v>
      </c>
      <c r="I50">
        <f t="shared" si="1"/>
        <v>0.820956659810407</v>
      </c>
      <c r="J50">
        <f t="shared" si="2"/>
        <v>0.90266357608546222</v>
      </c>
      <c r="K50" s="3">
        <f t="shared" si="3"/>
        <v>0.93093660441587012</v>
      </c>
      <c r="L50" s="2">
        <f t="shared" si="4"/>
        <v>0.88186097304179845</v>
      </c>
      <c r="M50" s="2">
        <f t="shared" si="5"/>
        <v>0.96962948046483977</v>
      </c>
      <c r="R50">
        <f t="shared" si="6"/>
        <v>0.94438510644996265</v>
      </c>
      <c r="S50">
        <f t="shared" si="7"/>
        <v>0.85777406430515846</v>
      </c>
    </row>
    <row r="51" spans="1:19" x14ac:dyDescent="0.3">
      <c r="A51">
        <v>32.313800000000001</v>
      </c>
      <c r="B51">
        <f t="shared" si="0"/>
        <v>19.503</v>
      </c>
      <c r="C51">
        <v>2012.73</v>
      </c>
      <c r="D51">
        <v>186.05099999999999</v>
      </c>
      <c r="E51">
        <v>163.417</v>
      </c>
      <c r="I51">
        <f t="shared" si="1"/>
        <v>0.83106288125169148</v>
      </c>
      <c r="J51">
        <f t="shared" si="2"/>
        <v>0.89751153540942563</v>
      </c>
      <c r="K51" s="3">
        <f t="shared" si="3"/>
        <v>0.93274596617920458</v>
      </c>
      <c r="L51" s="2">
        <f t="shared" si="4"/>
        <v>0.89098523219131542</v>
      </c>
      <c r="M51" s="2">
        <f t="shared" si="5"/>
        <v>0.96222505157099814</v>
      </c>
      <c r="R51">
        <f t="shared" si="6"/>
        <v>0.97503752357912565</v>
      </c>
      <c r="S51">
        <f t="shared" si="7"/>
        <v>0.81973718617242497</v>
      </c>
    </row>
    <row r="52" spans="1:19" x14ac:dyDescent="0.3">
      <c r="A52">
        <v>32.813200000000002</v>
      </c>
      <c r="B52">
        <f t="shared" si="0"/>
        <v>20.002400000000002</v>
      </c>
      <c r="C52">
        <v>2035.81</v>
      </c>
      <c r="D52">
        <v>188.102</v>
      </c>
      <c r="E52">
        <v>164.233</v>
      </c>
      <c r="I52">
        <f t="shared" si="1"/>
        <v>0.84059268967074874</v>
      </c>
      <c r="J52">
        <f t="shared" si="2"/>
        <v>0.90740557607099026</v>
      </c>
      <c r="K52" s="3">
        <f t="shared" si="3"/>
        <v>0.9374035030841914</v>
      </c>
      <c r="L52" s="2">
        <f t="shared" si="4"/>
        <v>0.89672450220751121</v>
      </c>
      <c r="M52" s="2">
        <f t="shared" si="5"/>
        <v>0.96799891731308485</v>
      </c>
      <c r="R52">
        <f t="shared" si="6"/>
        <v>0.99431826688885994</v>
      </c>
      <c r="S52">
        <f t="shared" si="7"/>
        <v>0.84939778940533306</v>
      </c>
    </row>
    <row r="53" spans="1:19" x14ac:dyDescent="0.3">
      <c r="A53">
        <v>33.313800000000001</v>
      </c>
      <c r="B53">
        <f t="shared" si="0"/>
        <v>20.503</v>
      </c>
      <c r="C53">
        <v>2008.048</v>
      </c>
      <c r="D53">
        <v>190.322</v>
      </c>
      <c r="E53">
        <v>166.11699999999999</v>
      </c>
      <c r="I53">
        <f t="shared" si="1"/>
        <v>0.82912966794935072</v>
      </c>
      <c r="J53">
        <f t="shared" si="2"/>
        <v>0.91811487410544812</v>
      </c>
      <c r="K53" s="3">
        <f t="shared" si="3"/>
        <v>0.94815693387952849</v>
      </c>
      <c r="L53" s="2">
        <f t="shared" si="4"/>
        <v>0.87446459370058116</v>
      </c>
      <c r="M53" s="2">
        <f t="shared" si="5"/>
        <v>0.96831530867874505</v>
      </c>
      <c r="R53">
        <f t="shared" si="6"/>
        <v>0.91953740088862757</v>
      </c>
      <c r="S53">
        <f t="shared" si="7"/>
        <v>0.85102310581938834</v>
      </c>
    </row>
    <row r="54" spans="1:19" x14ac:dyDescent="0.3">
      <c r="A54">
        <v>33.813200000000002</v>
      </c>
      <c r="B54">
        <f t="shared" si="0"/>
        <v>21.002400000000002</v>
      </c>
      <c r="C54">
        <v>2019.095</v>
      </c>
      <c r="D54">
        <v>189.881</v>
      </c>
      <c r="E54">
        <v>166.36699999999999</v>
      </c>
      <c r="I54">
        <f t="shared" si="1"/>
        <v>0.83369101082653119</v>
      </c>
      <c r="J54">
        <f t="shared" si="2"/>
        <v>0.91598748652292739</v>
      </c>
      <c r="K54" s="3">
        <f t="shared" si="3"/>
        <v>0.94958387533326216</v>
      </c>
      <c r="L54" s="2">
        <f t="shared" si="4"/>
        <v>0.87795405175129193</v>
      </c>
      <c r="M54" s="2">
        <f t="shared" si="5"/>
        <v>0.96461988278966515</v>
      </c>
      <c r="R54">
        <f t="shared" si="6"/>
        <v>0.93126003195076312</v>
      </c>
      <c r="S54">
        <f t="shared" si="7"/>
        <v>0.83203953987436485</v>
      </c>
    </row>
    <row r="55" spans="1:19" x14ac:dyDescent="0.3">
      <c r="A55">
        <v>34.313899999999997</v>
      </c>
      <c r="B55">
        <f t="shared" si="0"/>
        <v>21.503099999999996</v>
      </c>
      <c r="C55">
        <v>2007.222</v>
      </c>
      <c r="D55">
        <v>192.15299999999999</v>
      </c>
      <c r="E55">
        <v>160.43299999999999</v>
      </c>
      <c r="I55">
        <f t="shared" si="1"/>
        <v>0.82878860981442259</v>
      </c>
      <c r="J55">
        <f t="shared" si="2"/>
        <v>0.92694763297981397</v>
      </c>
      <c r="K55" s="3">
        <f t="shared" si="3"/>
        <v>0.91571399298743894</v>
      </c>
      <c r="L55" s="2">
        <f t="shared" si="4"/>
        <v>0.90507365417729424</v>
      </c>
      <c r="M55" s="2">
        <f t="shared" si="5"/>
        <v>1.012267629498296</v>
      </c>
      <c r="R55">
        <f t="shared" si="6"/>
        <v>1.0223667565973216</v>
      </c>
      <c r="S55">
        <f t="shared" si="7"/>
        <v>1.0768081183616158</v>
      </c>
    </row>
    <row r="56" spans="1:19" x14ac:dyDescent="0.3">
      <c r="A56">
        <v>34.813299999999998</v>
      </c>
      <c r="B56">
        <f t="shared" si="0"/>
        <v>22.002499999999998</v>
      </c>
      <c r="C56">
        <v>2010.6980000000001</v>
      </c>
      <c r="D56">
        <v>192.49199999999999</v>
      </c>
      <c r="E56">
        <v>160.017</v>
      </c>
      <c r="I56">
        <f t="shared" si="1"/>
        <v>0.83022386172363594</v>
      </c>
      <c r="J56">
        <f t="shared" si="2"/>
        <v>0.92858297173372439</v>
      </c>
      <c r="K56" s="3">
        <f t="shared" si="3"/>
        <v>0.91333956240842606</v>
      </c>
      <c r="L56" s="2">
        <f t="shared" si="4"/>
        <v>0.90899802865692292</v>
      </c>
      <c r="M56" s="2">
        <f t="shared" si="5"/>
        <v>1.016689750398091</v>
      </c>
      <c r="R56">
        <f t="shared" si="6"/>
        <v>1.0355504640687372</v>
      </c>
      <c r="S56">
        <f t="shared" si="7"/>
        <v>1.0995247486602218</v>
      </c>
    </row>
    <row r="57" spans="1:19" x14ac:dyDescent="0.3">
      <c r="A57">
        <v>35.313499999999998</v>
      </c>
      <c r="B57">
        <f t="shared" si="0"/>
        <v>22.502699999999997</v>
      </c>
      <c r="C57">
        <v>2031.1110000000001</v>
      </c>
      <c r="D57">
        <v>189.06800000000001</v>
      </c>
      <c r="E57">
        <v>161.55000000000001</v>
      </c>
      <c r="I57">
        <f t="shared" si="1"/>
        <v>0.8386524570121201</v>
      </c>
      <c r="J57">
        <f t="shared" si="2"/>
        <v>0.91206556791841653</v>
      </c>
      <c r="K57" s="3">
        <f t="shared" si="3"/>
        <v>0.9220895674027213</v>
      </c>
      <c r="L57" s="2">
        <f t="shared" si="4"/>
        <v>0.90951300899583853</v>
      </c>
      <c r="M57" s="2">
        <f t="shared" si="5"/>
        <v>0.98912903926183693</v>
      </c>
      <c r="R57">
        <f t="shared" si="6"/>
        <v>1.0372805105199709</v>
      </c>
      <c r="S57">
        <f t="shared" si="7"/>
        <v>0.95794415874962491</v>
      </c>
    </row>
    <row r="58" spans="1:19" x14ac:dyDescent="0.3">
      <c r="A58">
        <v>35.813699999999997</v>
      </c>
      <c r="B58">
        <f t="shared" si="0"/>
        <v>23.002899999999997</v>
      </c>
      <c r="C58">
        <v>2009.635</v>
      </c>
      <c r="D58">
        <v>179.203</v>
      </c>
      <c r="E58">
        <v>156.4</v>
      </c>
      <c r="I58">
        <f t="shared" si="1"/>
        <v>0.82978494550398862</v>
      </c>
      <c r="J58">
        <f t="shared" si="2"/>
        <v>0.86447672777880968</v>
      </c>
      <c r="K58" s="3">
        <f t="shared" si="3"/>
        <v>0.89269457345580683</v>
      </c>
      <c r="L58" s="2">
        <f t="shared" si="4"/>
        <v>0.92952838538238014</v>
      </c>
      <c r="M58" s="2">
        <f t="shared" si="5"/>
        <v>0.96839025741160278</v>
      </c>
      <c r="R58">
        <f t="shared" si="6"/>
        <v>1.1045210016046583</v>
      </c>
      <c r="S58">
        <f t="shared" si="7"/>
        <v>0.85140812076906036</v>
      </c>
    </row>
    <row r="59" spans="1:19" x14ac:dyDescent="0.3">
      <c r="A59">
        <v>36.313899999999997</v>
      </c>
      <c r="B59">
        <f t="shared" si="0"/>
        <v>23.503099999999996</v>
      </c>
      <c r="C59">
        <v>1986.492</v>
      </c>
      <c r="D59">
        <v>188.84700000000001</v>
      </c>
      <c r="E59">
        <v>160.65</v>
      </c>
      <c r="I59">
        <f t="shared" si="1"/>
        <v>0.8202291241763352</v>
      </c>
      <c r="J59">
        <f t="shared" si="2"/>
        <v>0.91099946212309435</v>
      </c>
      <c r="K59" s="3">
        <f t="shared" si="3"/>
        <v>0.91695257816927989</v>
      </c>
      <c r="L59" s="2">
        <f t="shared" si="4"/>
        <v>0.89451640543281352</v>
      </c>
      <c r="M59" s="2">
        <f t="shared" si="5"/>
        <v>0.99350771655163339</v>
      </c>
      <c r="R59">
        <f t="shared" si="6"/>
        <v>0.98690029439482185</v>
      </c>
      <c r="S59">
        <f t="shared" si="7"/>
        <v>0.98043761730563583</v>
      </c>
    </row>
    <row r="60" spans="1:19" x14ac:dyDescent="0.3">
      <c r="A60">
        <v>36.813299999999998</v>
      </c>
      <c r="B60">
        <f t="shared" si="0"/>
        <v>24.002499999999998</v>
      </c>
      <c r="C60">
        <v>2020.048</v>
      </c>
      <c r="D60">
        <v>188.542</v>
      </c>
      <c r="E60">
        <v>160.417</v>
      </c>
      <c r="I60">
        <f t="shared" si="1"/>
        <v>0.83408450768196274</v>
      </c>
      <c r="J60">
        <f t="shared" si="2"/>
        <v>0.90952813964538726</v>
      </c>
      <c r="K60" s="3">
        <f t="shared" si="3"/>
        <v>0.91562266873440001</v>
      </c>
      <c r="L60" s="2">
        <f t="shared" si="4"/>
        <v>0.9109478567572582</v>
      </c>
      <c r="M60" s="2">
        <f t="shared" si="5"/>
        <v>0.99334384206822146</v>
      </c>
      <c r="R60">
        <f t="shared" si="6"/>
        <v>1.042100797995279</v>
      </c>
      <c r="S60">
        <f t="shared" si="7"/>
        <v>0.9795957868493006</v>
      </c>
    </row>
    <row r="61" spans="1:19" x14ac:dyDescent="0.3">
      <c r="A61">
        <v>37.313899999999997</v>
      </c>
      <c r="B61">
        <f t="shared" si="0"/>
        <v>24.503099999999996</v>
      </c>
      <c r="C61">
        <v>1991.079</v>
      </c>
      <c r="D61">
        <v>189.62700000000001</v>
      </c>
      <c r="E61">
        <v>162.833</v>
      </c>
      <c r="I61">
        <f t="shared" si="1"/>
        <v>0.8221231116641261</v>
      </c>
      <c r="J61">
        <f t="shared" si="2"/>
        <v>0.9147621884595255</v>
      </c>
      <c r="K61" s="3">
        <f t="shared" si="3"/>
        <v>0.92941263094328253</v>
      </c>
      <c r="L61" s="2">
        <f t="shared" si="4"/>
        <v>0.88456201722773464</v>
      </c>
      <c r="M61" s="2">
        <f t="shared" si="5"/>
        <v>0.98423688037369583</v>
      </c>
      <c r="R61">
        <f t="shared" si="6"/>
        <v>0.95345910705811066</v>
      </c>
      <c r="S61">
        <f t="shared" si="7"/>
        <v>0.93281292255273751</v>
      </c>
    </row>
    <row r="62" spans="1:19" x14ac:dyDescent="0.3">
      <c r="A62">
        <v>37.813299999999998</v>
      </c>
      <c r="B62">
        <f t="shared" si="0"/>
        <v>25.002499999999998</v>
      </c>
      <c r="C62">
        <v>1996.921</v>
      </c>
      <c r="D62">
        <v>187.37299999999999</v>
      </c>
      <c r="E62">
        <v>160.96700000000001</v>
      </c>
      <c r="I62">
        <f t="shared" si="1"/>
        <v>0.8245352928072861</v>
      </c>
      <c r="J62">
        <f t="shared" si="2"/>
        <v>0.9038888741488641</v>
      </c>
      <c r="K62" s="3">
        <f t="shared" si="3"/>
        <v>0.91876193993261424</v>
      </c>
      <c r="L62" s="2">
        <f t="shared" si="4"/>
        <v>0.89744171691282826</v>
      </c>
      <c r="M62" s="2">
        <f t="shared" si="5"/>
        <v>0.98381183945773698</v>
      </c>
      <c r="R62">
        <f t="shared" si="6"/>
        <v>0.99672770791396625</v>
      </c>
      <c r="S62">
        <f t="shared" si="7"/>
        <v>0.9306294686019273</v>
      </c>
    </row>
    <row r="63" spans="1:19" x14ac:dyDescent="0.3">
      <c r="A63">
        <v>38.313499999999998</v>
      </c>
      <c r="B63">
        <f t="shared" si="0"/>
        <v>25.502699999999997</v>
      </c>
      <c r="C63">
        <v>2009.5239999999999</v>
      </c>
      <c r="D63">
        <v>189.559</v>
      </c>
      <c r="E63">
        <v>160.43299999999999</v>
      </c>
      <c r="I63">
        <f t="shared" si="1"/>
        <v>0.82973911323646188</v>
      </c>
      <c r="J63">
        <f t="shared" si="2"/>
        <v>0.91443415590711863</v>
      </c>
      <c r="K63" s="3">
        <f t="shared" si="3"/>
        <v>0.91571399298743894</v>
      </c>
      <c r="L63" s="2">
        <f t="shared" si="4"/>
        <v>0.90611164576562675</v>
      </c>
      <c r="M63" s="2">
        <f t="shared" si="5"/>
        <v>0.99860236155598658</v>
      </c>
      <c r="R63">
        <f t="shared" si="6"/>
        <v>1.0258538288758214</v>
      </c>
      <c r="S63">
        <f t="shared" si="7"/>
        <v>1.0066090336212541</v>
      </c>
    </row>
    <row r="64" spans="1:19" x14ac:dyDescent="0.3">
      <c r="A64">
        <v>38.813099999999999</v>
      </c>
      <c r="B64">
        <f t="shared" si="0"/>
        <v>26.002299999999998</v>
      </c>
      <c r="C64">
        <v>1998.54</v>
      </c>
      <c r="D64">
        <v>191.339</v>
      </c>
      <c r="E64">
        <v>158.19999999999999</v>
      </c>
      <c r="I64">
        <f t="shared" si="1"/>
        <v>0.82520378326787769</v>
      </c>
      <c r="J64">
        <f t="shared" si="2"/>
        <v>0.92302089036717949</v>
      </c>
      <c r="K64" s="3">
        <f t="shared" si="3"/>
        <v>0.90296855192268943</v>
      </c>
      <c r="L64" s="2">
        <f t="shared" si="4"/>
        <v>0.91387876300982207</v>
      </c>
      <c r="M64" s="2">
        <f t="shared" si="5"/>
        <v>1.0222071282568952</v>
      </c>
      <c r="R64">
        <f t="shared" si="6"/>
        <v>1.0519470068269094</v>
      </c>
      <c r="S64">
        <f t="shared" si="7"/>
        <v>1.127867762312784</v>
      </c>
    </row>
    <row r="65" spans="1:19" x14ac:dyDescent="0.3">
      <c r="A65">
        <v>39.313899999999997</v>
      </c>
      <c r="B65">
        <f t="shared" si="0"/>
        <v>26.503099999999996</v>
      </c>
      <c r="C65">
        <v>2013.952</v>
      </c>
      <c r="D65">
        <v>186</v>
      </c>
      <c r="E65">
        <v>161.9</v>
      </c>
      <c r="I65">
        <f t="shared" si="1"/>
        <v>0.83156744909779579</v>
      </c>
      <c r="J65">
        <f t="shared" si="2"/>
        <v>0.89726551099512064</v>
      </c>
      <c r="K65" s="3">
        <f t="shared" si="3"/>
        <v>0.92408728543794838</v>
      </c>
      <c r="L65" s="2">
        <f t="shared" si="4"/>
        <v>0.89987976482513221</v>
      </c>
      <c r="M65" s="2">
        <f t="shared" si="5"/>
        <v>0.97097484743541707</v>
      </c>
      <c r="R65">
        <f t="shared" si="6"/>
        <v>1.0049181878602513</v>
      </c>
      <c r="S65">
        <f t="shared" si="7"/>
        <v>0.86468527383088101</v>
      </c>
    </row>
    <row r="66" spans="1:19" x14ac:dyDescent="0.3">
      <c r="A66">
        <v>39.813299999999998</v>
      </c>
      <c r="B66">
        <f t="shared" si="0"/>
        <v>27.002499999999998</v>
      </c>
      <c r="C66">
        <v>2011.73</v>
      </c>
      <c r="D66">
        <v>193.72900000000001</v>
      </c>
      <c r="E66">
        <v>167.88300000000001</v>
      </c>
      <c r="I66">
        <f t="shared" si="1"/>
        <v>0.83064997794064044</v>
      </c>
      <c r="J66">
        <f t="shared" si="2"/>
        <v>0.93455026978265443</v>
      </c>
      <c r="K66" s="3">
        <f t="shared" si="3"/>
        <v>0.95823684830870348</v>
      </c>
      <c r="L66" s="2">
        <f t="shared" si="4"/>
        <v>0.8668524691017101</v>
      </c>
      <c r="M66" s="2">
        <f t="shared" si="5"/>
        <v>0.97528108153234128</v>
      </c>
      <c r="R66">
        <f t="shared" si="6"/>
        <v>0.89396491170126036</v>
      </c>
      <c r="S66">
        <f t="shared" si="7"/>
        <v>0.88680658850674476</v>
      </c>
    </row>
    <row r="67" spans="1:19" x14ac:dyDescent="0.3">
      <c r="A67">
        <v>40.314</v>
      </c>
      <c r="B67">
        <f t="shared" ref="B67:B76" si="8">A67-$A$12</f>
        <v>27.5032</v>
      </c>
      <c r="C67">
        <v>1988.635</v>
      </c>
      <c r="D67">
        <v>191.339</v>
      </c>
      <c r="E67">
        <v>159.65</v>
      </c>
      <c r="I67">
        <f t="shared" ref="I67:I76" si="9">C67/$F$2</f>
        <v>0.82111397597191749</v>
      </c>
      <c r="J67">
        <f t="shared" ref="J67:J76" si="10">D67/$G$2</f>
        <v>0.92302089036717949</v>
      </c>
      <c r="K67" s="3">
        <f t="shared" ref="K67:K76" si="11">E67/$H$2</f>
        <v>0.91124481235434507</v>
      </c>
      <c r="L67" s="2">
        <f t="shared" ref="L67:L76" si="12">I67/K67</f>
        <v>0.90109042579945087</v>
      </c>
      <c r="M67" s="2">
        <f t="shared" ref="M67:M76" si="13">J67/K67</f>
        <v>1.012923067273666</v>
      </c>
      <c r="R67">
        <f t="shared" ref="R67:R76" si="14">(L67-$L$12)/($N$12-$L$12)</f>
        <v>1.0089853328830642</v>
      </c>
      <c r="S67">
        <f t="shared" ref="S67:S76" si="15">(M67-$M$12)/($O$12-$M$12)</f>
        <v>1.080175131151228</v>
      </c>
    </row>
    <row r="68" spans="1:19" x14ac:dyDescent="0.3">
      <c r="A68">
        <v>40.813400000000001</v>
      </c>
      <c r="B68">
        <f t="shared" si="8"/>
        <v>28.002600000000001</v>
      </c>
      <c r="C68">
        <v>2004</v>
      </c>
      <c r="D68">
        <v>192.136</v>
      </c>
      <c r="E68">
        <v>164.2</v>
      </c>
      <c r="I68">
        <f t="shared" si="9"/>
        <v>0.82745823534621621</v>
      </c>
      <c r="J68">
        <f t="shared" si="10"/>
        <v>0.92686562484171231</v>
      </c>
      <c r="K68" s="3">
        <f t="shared" si="11"/>
        <v>0.93721514681229845</v>
      </c>
      <c r="L68" s="2">
        <f t="shared" si="12"/>
        <v>0.88289037811713478</v>
      </c>
      <c r="M68" s="2">
        <f t="shared" si="13"/>
        <v>0.98895715460234779</v>
      </c>
      <c r="R68">
        <f t="shared" si="14"/>
        <v>0.9478433328382122</v>
      </c>
      <c r="S68">
        <f t="shared" si="15"/>
        <v>0.95706117966513238</v>
      </c>
    </row>
    <row r="69" spans="1:19" x14ac:dyDescent="0.3">
      <c r="A69">
        <v>41.313600000000001</v>
      </c>
      <c r="B69">
        <f t="shared" si="8"/>
        <v>28.502800000000001</v>
      </c>
      <c r="C69">
        <v>2006.921</v>
      </c>
      <c r="D69">
        <v>190.102</v>
      </c>
      <c r="E69">
        <v>158.96700000000001</v>
      </c>
      <c r="I69">
        <f t="shared" si="9"/>
        <v>0.82866432591779626</v>
      </c>
      <c r="J69">
        <f t="shared" si="10"/>
        <v>0.91705359231824957</v>
      </c>
      <c r="K69" s="3">
        <f t="shared" si="11"/>
        <v>0.9073464083027446</v>
      </c>
      <c r="L69" s="2">
        <f t="shared" si="12"/>
        <v>0.91328330429815807</v>
      </c>
      <c r="M69" s="2">
        <f t="shared" si="13"/>
        <v>1.0106984321827679</v>
      </c>
      <c r="R69">
        <f t="shared" si="14"/>
        <v>1.0499465979702534</v>
      </c>
      <c r="S69">
        <f t="shared" si="15"/>
        <v>1.0687470824717855</v>
      </c>
    </row>
    <row r="70" spans="1:19" x14ac:dyDescent="0.3">
      <c r="A70">
        <v>41.813200000000002</v>
      </c>
      <c r="B70">
        <f t="shared" si="8"/>
        <v>29.002400000000002</v>
      </c>
      <c r="C70">
        <v>2009.905</v>
      </c>
      <c r="D70">
        <v>180.61</v>
      </c>
      <c r="E70">
        <v>157.53299999999999</v>
      </c>
      <c r="I70">
        <f t="shared" si="9"/>
        <v>0.82989642939797237</v>
      </c>
      <c r="J70">
        <f t="shared" si="10"/>
        <v>0.87126410720875669</v>
      </c>
      <c r="K70" s="3">
        <f t="shared" si="11"/>
        <v>0.89916147212412789</v>
      </c>
      <c r="L70" s="2">
        <f t="shared" si="12"/>
        <v>0.92296707001632561</v>
      </c>
      <c r="M70" s="2">
        <f t="shared" si="13"/>
        <v>0.96897402104043884</v>
      </c>
      <c r="R70">
        <f t="shared" si="14"/>
        <v>1.0824786448258137</v>
      </c>
      <c r="S70">
        <f t="shared" si="15"/>
        <v>0.8544069403035186</v>
      </c>
    </row>
    <row r="71" spans="1:19" x14ac:dyDescent="0.3">
      <c r="A71">
        <v>42.314</v>
      </c>
      <c r="B71">
        <f t="shared" si="8"/>
        <v>29.5032</v>
      </c>
      <c r="C71">
        <v>1987.4760000000001</v>
      </c>
      <c r="D71">
        <v>191.35599999999999</v>
      </c>
      <c r="E71">
        <v>161</v>
      </c>
      <c r="I71">
        <f t="shared" si="9"/>
        <v>0.82063542103440945</v>
      </c>
      <c r="J71">
        <f t="shared" si="10"/>
        <v>0.92310289850528116</v>
      </c>
      <c r="K71" s="3">
        <f t="shared" si="11"/>
        <v>0.91895029620450708</v>
      </c>
      <c r="L71" s="2">
        <f t="shared" si="12"/>
        <v>0.89301393603531931</v>
      </c>
      <c r="M71" s="2">
        <f t="shared" si="13"/>
        <v>1.004518854085934</v>
      </c>
      <c r="R71">
        <f t="shared" si="14"/>
        <v>0.98185283597204864</v>
      </c>
      <c r="S71">
        <f t="shared" si="15"/>
        <v>1.0370023169603662</v>
      </c>
    </row>
    <row r="72" spans="1:19" x14ac:dyDescent="0.3">
      <c r="A72">
        <v>42.813400000000001</v>
      </c>
      <c r="B72">
        <f t="shared" si="8"/>
        <v>30.002600000000001</v>
      </c>
      <c r="C72">
        <v>1992.778</v>
      </c>
      <c r="D72">
        <v>192.441</v>
      </c>
      <c r="E72">
        <v>160.983</v>
      </c>
      <c r="I72">
        <f t="shared" si="9"/>
        <v>0.82282463438960185</v>
      </c>
      <c r="J72">
        <f t="shared" si="10"/>
        <v>0.9283369473194194</v>
      </c>
      <c r="K72" s="3">
        <f t="shared" si="11"/>
        <v>0.91885326418565316</v>
      </c>
      <c r="L72" s="2">
        <f t="shared" si="12"/>
        <v>0.89549078885717615</v>
      </c>
      <c r="M72" s="2">
        <f t="shared" si="13"/>
        <v>1.0103212161325577</v>
      </c>
      <c r="R72">
        <f t="shared" si="14"/>
        <v>0.99017367875160944</v>
      </c>
      <c r="S72">
        <f t="shared" si="15"/>
        <v>1.0668093069677906</v>
      </c>
    </row>
    <row r="73" spans="1:19" x14ac:dyDescent="0.3">
      <c r="A73">
        <v>43.313400000000001</v>
      </c>
      <c r="B73">
        <f t="shared" si="8"/>
        <v>30.502600000000001</v>
      </c>
      <c r="C73">
        <v>1983.81</v>
      </c>
      <c r="D73">
        <v>186.136</v>
      </c>
      <c r="E73">
        <v>158.25</v>
      </c>
      <c r="I73">
        <f t="shared" si="9"/>
        <v>0.81912171749609641</v>
      </c>
      <c r="J73">
        <f t="shared" si="10"/>
        <v>0.89792157609993417</v>
      </c>
      <c r="K73" s="3">
        <f t="shared" si="11"/>
        <v>0.9032539402134363</v>
      </c>
      <c r="L73" s="2">
        <f t="shared" si="12"/>
        <v>0.90685651180501947</v>
      </c>
      <c r="M73" s="2">
        <f t="shared" si="13"/>
        <v>0.99409649504297526</v>
      </c>
      <c r="R73">
        <f t="shared" si="14"/>
        <v>1.0283561629470783</v>
      </c>
      <c r="S73">
        <f t="shared" si="15"/>
        <v>0.98346219841019222</v>
      </c>
    </row>
    <row r="74" spans="1:19" x14ac:dyDescent="0.3">
      <c r="A74">
        <v>43.813499999999998</v>
      </c>
      <c r="B74">
        <f t="shared" si="8"/>
        <v>31.002699999999997</v>
      </c>
      <c r="C74">
        <v>1991.048</v>
      </c>
      <c r="D74">
        <v>189.42400000000001</v>
      </c>
      <c r="E74">
        <v>158.06700000000001</v>
      </c>
      <c r="I74">
        <f t="shared" si="9"/>
        <v>0.82211031166148363</v>
      </c>
      <c r="J74">
        <f t="shared" si="10"/>
        <v>0.91378291481042861</v>
      </c>
      <c r="K74" s="3">
        <f t="shared" si="11"/>
        <v>0.90220941906930319</v>
      </c>
      <c r="L74" s="2">
        <f t="shared" si="12"/>
        <v>0.91121894128477643</v>
      </c>
      <c r="M74" s="2">
        <f t="shared" si="13"/>
        <v>1.0128279482529281</v>
      </c>
      <c r="R74">
        <f t="shared" si="14"/>
        <v>1.0430114906749353</v>
      </c>
      <c r="S74">
        <f t="shared" si="15"/>
        <v>1.0796865005421987</v>
      </c>
    </row>
    <row r="75" spans="1:19" x14ac:dyDescent="0.3">
      <c r="A75">
        <v>44.313499999999998</v>
      </c>
      <c r="B75">
        <f t="shared" si="8"/>
        <v>31.502699999999997</v>
      </c>
      <c r="C75">
        <v>1999.8409999999999</v>
      </c>
      <c r="D75">
        <v>190.203</v>
      </c>
      <c r="E75">
        <v>160.81700000000001</v>
      </c>
      <c r="I75">
        <f t="shared" si="9"/>
        <v>0.82574097047555506</v>
      </c>
      <c r="J75">
        <f t="shared" si="10"/>
        <v>0.91754081713873614</v>
      </c>
      <c r="K75" s="3">
        <f t="shared" si="11"/>
        <v>0.91790577506037396</v>
      </c>
      <c r="L75" s="2">
        <f t="shared" si="12"/>
        <v>0.89959230338347429</v>
      </c>
      <c r="M75" s="2">
        <f t="shared" si="13"/>
        <v>0.99960240154103641</v>
      </c>
      <c r="R75">
        <f t="shared" si="14"/>
        <v>1.0039524778914901</v>
      </c>
      <c r="S75">
        <f t="shared" si="15"/>
        <v>1.0117462831761572</v>
      </c>
    </row>
    <row r="76" spans="1:19" x14ac:dyDescent="0.3">
      <c r="A76">
        <v>44.813499999999998</v>
      </c>
      <c r="B76">
        <f t="shared" si="8"/>
        <v>32.002699999999997</v>
      </c>
      <c r="C76">
        <v>1973.508</v>
      </c>
      <c r="D76">
        <v>188.47499999999999</v>
      </c>
      <c r="E76">
        <v>160.53299999999999</v>
      </c>
      <c r="I76">
        <f t="shared" si="9"/>
        <v>0.81486798758564893</v>
      </c>
      <c r="J76">
        <f t="shared" si="10"/>
        <v>0.90920493110110401</v>
      </c>
      <c r="K76" s="3">
        <f t="shared" si="11"/>
        <v>0.91628476956893246</v>
      </c>
      <c r="L76" s="2">
        <f t="shared" si="12"/>
        <v>0.88931739852994041</v>
      </c>
      <c r="M76" s="2">
        <f t="shared" si="13"/>
        <v>0.99227332080270292</v>
      </c>
      <c r="R76">
        <f t="shared" si="14"/>
        <v>0.96943453354423259</v>
      </c>
      <c r="S76">
        <f t="shared" si="15"/>
        <v>0.97409647184488546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75B57-CB6F-4440-881E-A22B02E1C939}">
  <dimension ref="A1:S76"/>
  <sheetViews>
    <sheetView topLeftCell="B1" workbookViewId="0">
      <selection activeCell="F22" sqref="F22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15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2" t="s">
        <v>11</v>
      </c>
      <c r="M1" s="2" t="s">
        <v>12</v>
      </c>
      <c r="R1" t="s">
        <v>13</v>
      </c>
      <c r="S1" t="s">
        <v>14</v>
      </c>
    </row>
    <row r="2" spans="1:19" x14ac:dyDescent="0.3">
      <c r="A2">
        <v>0</v>
      </c>
      <c r="B2">
        <f>A2-$A$12</f>
        <v>-12.8226</v>
      </c>
      <c r="C2">
        <v>2469.556</v>
      </c>
      <c r="D2">
        <v>142.339</v>
      </c>
      <c r="E2">
        <v>140.679</v>
      </c>
      <c r="F2">
        <f>AVERAGE(C2:C11)</f>
        <v>2398.3492000000001</v>
      </c>
      <c r="G2">
        <f>AVERAGE(D2:D11)</f>
        <v>137.53039999999999</v>
      </c>
      <c r="H2">
        <f>AVERAGE(E2:E11)</f>
        <v>137.08769999999998</v>
      </c>
      <c r="I2">
        <f>C2/$F$2</f>
        <v>1.0296899217178215</v>
      </c>
      <c r="J2">
        <f>D2/$G$2</f>
        <v>1.0349639061618379</v>
      </c>
      <c r="K2" s="3">
        <f>E2/$H$2</f>
        <v>1.0261970986456117</v>
      </c>
      <c r="L2" s="2">
        <f>I2/K2</f>
        <v>1.0034036571306035</v>
      </c>
      <c r="M2" s="2">
        <f>J2/K2</f>
        <v>1.0085430055569216</v>
      </c>
      <c r="R2">
        <f>(L2-$L$12)/($N$12-$L$12)</f>
        <v>1.4261204543590285</v>
      </c>
      <c r="S2">
        <f>(M2-$M$12)/($O$12-$M$12)</f>
        <v>1.1907053532136616</v>
      </c>
    </row>
    <row r="3" spans="1:19" x14ac:dyDescent="0.3">
      <c r="A3">
        <v>0.50280000000000002</v>
      </c>
      <c r="B3">
        <f t="shared" ref="B3:B66" si="0">A3-$A$12</f>
        <v>-12.319799999999999</v>
      </c>
      <c r="C3">
        <v>2468.587</v>
      </c>
      <c r="D3">
        <v>136.72900000000001</v>
      </c>
      <c r="E3">
        <v>136.5</v>
      </c>
      <c r="I3">
        <f t="shared" ref="I3:I66" si="1">C3/$F$2</f>
        <v>1.0292858938139617</v>
      </c>
      <c r="J3">
        <f t="shared" ref="J3:J66" si="2">D3/$G$2</f>
        <v>0.99417292467701701</v>
      </c>
      <c r="K3" s="3">
        <f t="shared" ref="K3:K66" si="3">E3/$H$2</f>
        <v>0.99571296330743031</v>
      </c>
      <c r="L3" s="2">
        <f t="shared" ref="L3:L66" si="4">I3/K3</f>
        <v>1.0337174785743606</v>
      </c>
      <c r="M3" s="2">
        <f t="shared" ref="M3:M66" si="5">J3/K3</f>
        <v>0.99845333074172515</v>
      </c>
      <c r="R3">
        <f t="shared" ref="R3:R66" si="6">(L3-$L$12)/($N$12-$L$12)</f>
        <v>1.5443929362374984</v>
      </c>
      <c r="S3">
        <f t="shared" ref="S3:S66" si="7">(M3-$M$12)/($O$12-$M$12)</f>
        <v>1.1032203501800708</v>
      </c>
    </row>
    <row r="4" spans="1:19" x14ac:dyDescent="0.3">
      <c r="A4">
        <v>1.0029999999999999</v>
      </c>
      <c r="B4">
        <f t="shared" si="0"/>
        <v>-11.819599999999999</v>
      </c>
      <c r="C4">
        <v>2451.9209999999998</v>
      </c>
      <c r="D4">
        <v>138.52500000000001</v>
      </c>
      <c r="E4">
        <v>134.304</v>
      </c>
      <c r="I4">
        <f t="shared" si="1"/>
        <v>1.0223369474303408</v>
      </c>
      <c r="J4">
        <f t="shared" si="2"/>
        <v>1.0072318556479152</v>
      </c>
      <c r="K4" s="3">
        <f t="shared" si="3"/>
        <v>0.97969402068894595</v>
      </c>
      <c r="L4" s="2">
        <f t="shared" si="4"/>
        <v>1.0435267806487245</v>
      </c>
      <c r="M4" s="2">
        <f t="shared" si="5"/>
        <v>1.0281086077667432</v>
      </c>
      <c r="R4">
        <f t="shared" si="6"/>
        <v>1.5826649338470105</v>
      </c>
      <c r="S4">
        <f t="shared" si="7"/>
        <v>1.3603537115633513</v>
      </c>
    </row>
    <row r="5" spans="1:19" x14ac:dyDescent="0.3">
      <c r="A5">
        <v>1.5025999999999999</v>
      </c>
      <c r="B5">
        <f t="shared" si="0"/>
        <v>-11.32</v>
      </c>
      <c r="C5">
        <v>2440.9520000000002</v>
      </c>
      <c r="D5">
        <v>141.102</v>
      </c>
      <c r="E5">
        <v>139.679</v>
      </c>
      <c r="I5">
        <f t="shared" si="1"/>
        <v>1.0177633849149241</v>
      </c>
      <c r="J5">
        <f t="shared" si="2"/>
        <v>1.0259695311000332</v>
      </c>
      <c r="K5" s="3">
        <f t="shared" si="3"/>
        <v>1.0189024981818209</v>
      </c>
      <c r="L5" s="2">
        <f t="shared" si="4"/>
        <v>0.998882019360116</v>
      </c>
      <c r="M5" s="2">
        <f t="shared" si="5"/>
        <v>1.0069359265786697</v>
      </c>
      <c r="R5">
        <f t="shared" si="6"/>
        <v>1.4084788210775496</v>
      </c>
      <c r="S5">
        <f t="shared" si="7"/>
        <v>1.1767707803099019</v>
      </c>
    </row>
    <row r="6" spans="1:19" x14ac:dyDescent="0.3">
      <c r="A6">
        <v>2.0028000000000001</v>
      </c>
      <c r="B6">
        <f t="shared" si="0"/>
        <v>-10.819799999999999</v>
      </c>
      <c r="C6">
        <v>2382.556</v>
      </c>
      <c r="D6">
        <v>135.559</v>
      </c>
      <c r="E6">
        <v>139.929</v>
      </c>
      <c r="I6">
        <f t="shared" si="1"/>
        <v>0.99341497059727579</v>
      </c>
      <c r="J6">
        <f t="shared" si="2"/>
        <v>0.98566571463472807</v>
      </c>
      <c r="K6" s="3">
        <f t="shared" si="3"/>
        <v>1.0207261482977688</v>
      </c>
      <c r="L6" s="2">
        <f t="shared" si="4"/>
        <v>0.97324338389288945</v>
      </c>
      <c r="M6" s="2">
        <f t="shared" si="5"/>
        <v>0.96565147887951164</v>
      </c>
      <c r="R6">
        <f t="shared" si="6"/>
        <v>1.3084470565468937</v>
      </c>
      <c r="S6">
        <f t="shared" si="7"/>
        <v>0.81880383902046017</v>
      </c>
    </row>
    <row r="7" spans="1:19" x14ac:dyDescent="0.3">
      <c r="A7">
        <v>2.5028000000000001</v>
      </c>
      <c r="B7">
        <f t="shared" si="0"/>
        <v>-10.319799999999999</v>
      </c>
      <c r="C7">
        <v>2392.5239999999999</v>
      </c>
      <c r="D7">
        <v>137.57599999999999</v>
      </c>
      <c r="E7">
        <v>140.5</v>
      </c>
      <c r="I7">
        <f t="shared" si="1"/>
        <v>0.99757116269807578</v>
      </c>
      <c r="J7">
        <f t="shared" si="2"/>
        <v>1.0003315630580585</v>
      </c>
      <c r="K7" s="3">
        <f t="shared" si="3"/>
        <v>1.024891365162593</v>
      </c>
      <c r="L7" s="2">
        <f t="shared" si="4"/>
        <v>0.97334331872316726</v>
      </c>
      <c r="M7" s="2">
        <f t="shared" si="5"/>
        <v>0.97603667770131097</v>
      </c>
      <c r="R7">
        <f t="shared" si="6"/>
        <v>1.3088369625316931</v>
      </c>
      <c r="S7">
        <f t="shared" si="7"/>
        <v>0.90885125552006463</v>
      </c>
    </row>
    <row r="8" spans="1:19" x14ac:dyDescent="0.3">
      <c r="A8">
        <v>3.0028999999999999</v>
      </c>
      <c r="B8">
        <f t="shared" si="0"/>
        <v>-9.8196999999999992</v>
      </c>
      <c r="C8">
        <v>2373.317</v>
      </c>
      <c r="D8">
        <v>136.28800000000001</v>
      </c>
      <c r="E8">
        <v>139.125</v>
      </c>
      <c r="I8">
        <f t="shared" si="1"/>
        <v>0.98956273756965829</v>
      </c>
      <c r="J8">
        <f t="shared" si="2"/>
        <v>0.99096636089184664</v>
      </c>
      <c r="K8" s="3">
        <f t="shared" si="3"/>
        <v>1.014861289524881</v>
      </c>
      <c r="L8" s="2">
        <f t="shared" si="4"/>
        <v>0.97507191158402895</v>
      </c>
      <c r="M8" s="2">
        <f t="shared" si="5"/>
        <v>0.97645498071542269</v>
      </c>
      <c r="R8">
        <f t="shared" si="6"/>
        <v>1.3155812447790118</v>
      </c>
      <c r="S8">
        <f t="shared" si="7"/>
        <v>0.91247825451941855</v>
      </c>
    </row>
    <row r="9" spans="1:19" x14ac:dyDescent="0.3">
      <c r="A9">
        <v>3.5024000000000002</v>
      </c>
      <c r="B9">
        <f t="shared" si="0"/>
        <v>-9.3201999999999998</v>
      </c>
      <c r="C9">
        <v>2356.2539999999999</v>
      </c>
      <c r="D9">
        <v>135.40700000000001</v>
      </c>
      <c r="E9">
        <v>134.161</v>
      </c>
      <c r="I9">
        <f t="shared" si="1"/>
        <v>0.98244826066195856</v>
      </c>
      <c r="J9">
        <f t="shared" si="2"/>
        <v>0.98456050444120013</v>
      </c>
      <c r="K9" s="3">
        <f t="shared" si="3"/>
        <v>0.97865089282262385</v>
      </c>
      <c r="L9" s="2">
        <f t="shared" si="4"/>
        <v>1.0038802067899639</v>
      </c>
      <c r="M9" s="2">
        <f t="shared" si="5"/>
        <v>1.0060385288174947</v>
      </c>
      <c r="R9">
        <f t="shared" si="6"/>
        <v>1.4279797617068488</v>
      </c>
      <c r="S9">
        <f t="shared" si="7"/>
        <v>1.1689896726630538</v>
      </c>
    </row>
    <row r="10" spans="1:19" x14ac:dyDescent="0.3">
      <c r="A10">
        <v>4.0026000000000002</v>
      </c>
      <c r="B10">
        <f t="shared" si="0"/>
        <v>-8.82</v>
      </c>
      <c r="C10">
        <v>2340.857</v>
      </c>
      <c r="D10">
        <v>134.50800000000001</v>
      </c>
      <c r="E10">
        <v>131.286</v>
      </c>
      <c r="I10">
        <f t="shared" si="1"/>
        <v>0.97602842822054425</v>
      </c>
      <c r="J10">
        <f t="shared" si="2"/>
        <v>0.97802376783605682</v>
      </c>
      <c r="K10" s="3">
        <f t="shared" si="3"/>
        <v>0.95767891648922565</v>
      </c>
      <c r="L10" s="2">
        <f t="shared" si="4"/>
        <v>1.019160400647209</v>
      </c>
      <c r="M10" s="2">
        <f t="shared" si="5"/>
        <v>1.0212439169292917</v>
      </c>
      <c r="R10">
        <f t="shared" si="6"/>
        <v>1.4875970044366571</v>
      </c>
      <c r="S10">
        <f t="shared" si="7"/>
        <v>1.3008317240128127</v>
      </c>
    </row>
    <row r="11" spans="1:19" x14ac:dyDescent="0.3">
      <c r="A11">
        <v>4.5026999999999999</v>
      </c>
      <c r="B11">
        <f t="shared" si="0"/>
        <v>-8.3199000000000005</v>
      </c>
      <c r="C11">
        <v>2306.9679999999998</v>
      </c>
      <c r="D11">
        <v>137.27099999999999</v>
      </c>
      <c r="E11">
        <v>134.714</v>
      </c>
      <c r="I11">
        <f t="shared" si="1"/>
        <v>0.96189829237543878</v>
      </c>
      <c r="J11">
        <f t="shared" si="2"/>
        <v>0.99811387155130793</v>
      </c>
      <c r="K11" s="3">
        <f t="shared" si="3"/>
        <v>0.98268480687910009</v>
      </c>
      <c r="L11" s="2">
        <f t="shared" si="4"/>
        <v>0.97884722104366606</v>
      </c>
      <c r="M11" s="2">
        <f t="shared" si="5"/>
        <v>1.0157009292951307</v>
      </c>
      <c r="R11">
        <f t="shared" si="6"/>
        <v>1.3303110016484645</v>
      </c>
      <c r="S11">
        <f t="shared" si="7"/>
        <v>1.2527698886343948</v>
      </c>
    </row>
    <row r="12" spans="1:19" x14ac:dyDescent="0.3">
      <c r="A12" s="4">
        <v>12.8226</v>
      </c>
      <c r="B12" s="4">
        <f t="shared" si="0"/>
        <v>0</v>
      </c>
      <c r="C12" s="4">
        <v>1394.9680000000001</v>
      </c>
      <c r="D12" s="4">
        <v>109.254</v>
      </c>
      <c r="E12" s="4">
        <v>125</v>
      </c>
      <c r="F12" s="4"/>
      <c r="G12" s="4"/>
      <c r="H12" s="4"/>
      <c r="I12" s="4">
        <f t="shared" si="1"/>
        <v>0.58163673580144215</v>
      </c>
      <c r="J12" s="4">
        <f t="shared" si="2"/>
        <v>0.79439891107711469</v>
      </c>
      <c r="K12" s="4">
        <f t="shared" si="3"/>
        <v>0.91182505797383728</v>
      </c>
      <c r="L12" s="4">
        <f t="shared" si="4"/>
        <v>0.63788193877221877</v>
      </c>
      <c r="M12" s="4">
        <f t="shared" si="5"/>
        <v>0.87121855681652927</v>
      </c>
      <c r="N12" s="4">
        <f>AVERAGE(L66:L76)</f>
        <v>0.89418687938305164</v>
      </c>
      <c r="O12" s="4">
        <f>AVERAGE(M66:M76)</f>
        <v>0.98654889304938453</v>
      </c>
      <c r="P12" s="5">
        <f>(N12-L12)/(1-L12)</f>
        <v>0.707793860769653</v>
      </c>
      <c r="Q12" s="5">
        <f>(O12-M12)/(1-M12)</f>
        <v>0.89555089135433819</v>
      </c>
      <c r="R12">
        <f t="shared" si="6"/>
        <v>0</v>
      </c>
      <c r="S12">
        <f t="shared" si="7"/>
        <v>0</v>
      </c>
    </row>
    <row r="13" spans="1:19" x14ac:dyDescent="0.3">
      <c r="A13">
        <v>13.325699999999999</v>
      </c>
      <c r="B13">
        <f t="shared" si="0"/>
        <v>0.50309999999999988</v>
      </c>
      <c r="C13">
        <v>1465.857</v>
      </c>
      <c r="D13">
        <v>113.559</v>
      </c>
      <c r="E13">
        <v>126.179</v>
      </c>
      <c r="I13">
        <f t="shared" si="1"/>
        <v>0.6111941497093083</v>
      </c>
      <c r="J13">
        <f t="shared" si="2"/>
        <v>0.82570108136092102</v>
      </c>
      <c r="K13" s="3">
        <f t="shared" si="3"/>
        <v>0.92042539192064654</v>
      </c>
      <c r="L13" s="2">
        <f t="shared" si="4"/>
        <v>0.66403442916099142</v>
      </c>
      <c r="M13" s="2">
        <f t="shared" si="5"/>
        <v>0.89708637832984506</v>
      </c>
      <c r="R13">
        <f t="shared" si="6"/>
        <v>0.10203662218311255</v>
      </c>
      <c r="S13">
        <f t="shared" si="7"/>
        <v>0.22429329834856213</v>
      </c>
    </row>
    <row r="14" spans="1:19" x14ac:dyDescent="0.3">
      <c r="A14">
        <v>13.825100000000001</v>
      </c>
      <c r="B14">
        <f t="shared" si="0"/>
        <v>1.0025000000000013</v>
      </c>
      <c r="C14">
        <v>1530</v>
      </c>
      <c r="D14">
        <v>108.52500000000001</v>
      </c>
      <c r="E14">
        <v>121.321</v>
      </c>
      <c r="I14">
        <f t="shared" si="1"/>
        <v>0.63793879556821831</v>
      </c>
      <c r="J14">
        <f t="shared" si="2"/>
        <v>0.78909826481999623</v>
      </c>
      <c r="K14" s="3">
        <f t="shared" si="3"/>
        <v>0.8849882228675513</v>
      </c>
      <c r="L14" s="2">
        <f t="shared" si="4"/>
        <v>0.72084438988482813</v>
      </c>
      <c r="M14" s="2">
        <f t="shared" si="5"/>
        <v>0.89164832302869401</v>
      </c>
      <c r="R14">
        <f t="shared" si="6"/>
        <v>0.32368650762209655</v>
      </c>
      <c r="S14">
        <f t="shared" si="7"/>
        <v>0.17714130452994137</v>
      </c>
    </row>
    <row r="15" spans="1:19" x14ac:dyDescent="0.3">
      <c r="A15">
        <v>14.3253</v>
      </c>
      <c r="B15">
        <f t="shared" si="0"/>
        <v>1.5027000000000008</v>
      </c>
      <c r="C15">
        <v>1572.2380000000001</v>
      </c>
      <c r="D15">
        <v>114.96599999999999</v>
      </c>
      <c r="E15">
        <v>125.446</v>
      </c>
      <c r="I15">
        <f t="shared" si="1"/>
        <v>0.65555007586051273</v>
      </c>
      <c r="J15">
        <f t="shared" si="2"/>
        <v>0.83593154677075032</v>
      </c>
      <c r="K15" s="3">
        <f t="shared" si="3"/>
        <v>0.91507844978068797</v>
      </c>
      <c r="L15" s="2">
        <f t="shared" si="4"/>
        <v>0.71638674915535927</v>
      </c>
      <c r="M15" s="2">
        <f t="shared" si="5"/>
        <v>0.91350806804716433</v>
      </c>
      <c r="R15">
        <f t="shared" si="6"/>
        <v>0.30629456535658545</v>
      </c>
      <c r="S15">
        <f t="shared" si="7"/>
        <v>0.36668159143532997</v>
      </c>
    </row>
    <row r="16" spans="1:19" x14ac:dyDescent="0.3">
      <c r="A16">
        <v>14.8249</v>
      </c>
      <c r="B16">
        <f t="shared" si="0"/>
        <v>2.0023</v>
      </c>
      <c r="C16">
        <v>1631.492</v>
      </c>
      <c r="D16">
        <v>112.69499999999999</v>
      </c>
      <c r="E16">
        <v>125.071</v>
      </c>
      <c r="I16">
        <f t="shared" si="1"/>
        <v>0.68025623624783238</v>
      </c>
      <c r="J16">
        <f t="shared" si="2"/>
        <v>0.81941883394507686</v>
      </c>
      <c r="K16" s="3">
        <f t="shared" si="3"/>
        <v>0.91234297460676639</v>
      </c>
      <c r="L16" s="2">
        <f t="shared" si="4"/>
        <v>0.74561459361380311</v>
      </c>
      <c r="M16" s="2">
        <f t="shared" si="5"/>
        <v>0.89814779830826097</v>
      </c>
      <c r="R16">
        <f t="shared" si="6"/>
        <v>0.42032999670171384</v>
      </c>
      <c r="S16">
        <f t="shared" si="7"/>
        <v>0.23349660090612057</v>
      </c>
    </row>
    <row r="17" spans="1:19" x14ac:dyDescent="0.3">
      <c r="A17">
        <v>15.325699999999999</v>
      </c>
      <c r="B17" s="6">
        <f t="shared" si="0"/>
        <v>2.5030999999999999</v>
      </c>
      <c r="C17">
        <v>1662.73</v>
      </c>
      <c r="D17">
        <v>117.831</v>
      </c>
      <c r="E17">
        <v>126.25</v>
      </c>
      <c r="I17">
        <f t="shared" si="1"/>
        <v>0.69328102846741413</v>
      </c>
      <c r="J17">
        <f t="shared" si="2"/>
        <v>0.85676330469481665</v>
      </c>
      <c r="K17" s="3">
        <f t="shared" si="3"/>
        <v>0.92094330855357565</v>
      </c>
      <c r="L17" s="2">
        <f t="shared" si="4"/>
        <v>0.75279446848500842</v>
      </c>
      <c r="M17" s="2">
        <f t="shared" si="5"/>
        <v>0.93031058126741861</v>
      </c>
      <c r="R17" s="4">
        <f t="shared" si="6"/>
        <v>0.4483430145315459</v>
      </c>
      <c r="S17" s="4">
        <f t="shared" si="7"/>
        <v>0.51237190821659317</v>
      </c>
    </row>
    <row r="18" spans="1:19" x14ac:dyDescent="0.3">
      <c r="A18">
        <v>15.825100000000001</v>
      </c>
      <c r="B18" s="6">
        <f t="shared" si="0"/>
        <v>3.0025000000000013</v>
      </c>
      <c r="C18">
        <v>1702.556</v>
      </c>
      <c r="D18">
        <v>115.068</v>
      </c>
      <c r="E18">
        <v>120.857</v>
      </c>
      <c r="I18">
        <f t="shared" si="1"/>
        <v>0.70988661701140099</v>
      </c>
      <c r="J18">
        <f t="shared" si="2"/>
        <v>0.83667320097956532</v>
      </c>
      <c r="K18" s="3">
        <f t="shared" si="3"/>
        <v>0.88160352825235244</v>
      </c>
      <c r="L18" s="2">
        <f t="shared" si="4"/>
        <v>0.80522206894821002</v>
      </c>
      <c r="M18" s="2">
        <f t="shared" si="5"/>
        <v>0.94903567665858279</v>
      </c>
      <c r="R18">
        <f t="shared" si="6"/>
        <v>0.65289467217128838</v>
      </c>
      <c r="S18">
        <f t="shared" si="7"/>
        <v>0.67473244580626668</v>
      </c>
    </row>
    <row r="19" spans="1:19" x14ac:dyDescent="0.3">
      <c r="A19">
        <v>16.325800000000001</v>
      </c>
      <c r="B19">
        <f t="shared" si="0"/>
        <v>3.5032000000000014</v>
      </c>
      <c r="C19">
        <v>1745.9369999999999</v>
      </c>
      <c r="D19">
        <v>117.864</v>
      </c>
      <c r="E19">
        <v>122.786</v>
      </c>
      <c r="I19">
        <f t="shared" si="1"/>
        <v>0.72797447510979629</v>
      </c>
      <c r="J19">
        <f t="shared" si="2"/>
        <v>0.85700325164472735</v>
      </c>
      <c r="K19" s="3">
        <f t="shared" si="3"/>
        <v>0.89567481254700465</v>
      </c>
      <c r="L19" s="2">
        <f t="shared" si="4"/>
        <v>0.81276649171329962</v>
      </c>
      <c r="M19" s="2">
        <f t="shared" si="5"/>
        <v>0.95682410584673239</v>
      </c>
      <c r="R19">
        <f t="shared" si="6"/>
        <v>0.68233001097946555</v>
      </c>
      <c r="S19">
        <f t="shared" si="7"/>
        <v>0.74226393355312048</v>
      </c>
    </row>
    <row r="20" spans="1:19" x14ac:dyDescent="0.3">
      <c r="A20">
        <v>16.825299999999999</v>
      </c>
      <c r="B20">
        <f t="shared" si="0"/>
        <v>4.002699999999999</v>
      </c>
      <c r="C20">
        <v>1732.7139999999999</v>
      </c>
      <c r="D20">
        <v>122.593</v>
      </c>
      <c r="E20">
        <v>126.0804</v>
      </c>
      <c r="I20">
        <f t="shared" si="1"/>
        <v>0.72246109949293447</v>
      </c>
      <c r="J20">
        <f t="shared" si="2"/>
        <v>0.89138837667890169</v>
      </c>
      <c r="K20" s="3">
        <f t="shared" si="3"/>
        <v>0.91970614431491671</v>
      </c>
      <c r="L20" s="2">
        <f t="shared" si="4"/>
        <v>0.7855347101449357</v>
      </c>
      <c r="M20" s="2">
        <f t="shared" si="5"/>
        <v>0.96920998319837393</v>
      </c>
      <c r="R20">
        <f t="shared" si="6"/>
        <v>0.57608242361940765</v>
      </c>
      <c r="S20">
        <f t="shared" si="7"/>
        <v>0.84965872451804136</v>
      </c>
    </row>
    <row r="21" spans="1:19" x14ac:dyDescent="0.3">
      <c r="A21">
        <v>17.325500000000002</v>
      </c>
      <c r="B21">
        <f t="shared" si="0"/>
        <v>4.5029000000000021</v>
      </c>
      <c r="C21">
        <v>1786.2860000000001</v>
      </c>
      <c r="D21">
        <v>121.03400000000001</v>
      </c>
      <c r="E21">
        <v>125.714</v>
      </c>
      <c r="I21">
        <f t="shared" si="1"/>
        <v>0.74479813031396758</v>
      </c>
      <c r="J21">
        <f t="shared" si="2"/>
        <v>0.88005270107554412</v>
      </c>
      <c r="K21" s="3">
        <f t="shared" si="3"/>
        <v>0.91703340270498379</v>
      </c>
      <c r="L21" s="2">
        <f t="shared" si="4"/>
        <v>0.81218211694037334</v>
      </c>
      <c r="M21" s="2">
        <f t="shared" si="5"/>
        <v>0.95967355003606492</v>
      </c>
      <c r="R21">
        <f t="shared" si="6"/>
        <v>0.68005001289775246</v>
      </c>
      <c r="S21">
        <f t="shared" si="7"/>
        <v>0.76697073908587654</v>
      </c>
    </row>
    <row r="22" spans="1:19" x14ac:dyDescent="0.3">
      <c r="A22">
        <v>17.825099999999999</v>
      </c>
      <c r="B22">
        <f t="shared" si="0"/>
        <v>5.0024999999999995</v>
      </c>
      <c r="C22">
        <v>1767.2059999999999</v>
      </c>
      <c r="D22">
        <v>118.458</v>
      </c>
      <c r="E22">
        <v>123.732</v>
      </c>
      <c r="I22">
        <f t="shared" si="1"/>
        <v>0.73684265827511686</v>
      </c>
      <c r="J22">
        <f t="shared" si="2"/>
        <v>0.86132229674312011</v>
      </c>
      <c r="K22" s="3">
        <f t="shared" si="3"/>
        <v>0.90257550458575064</v>
      </c>
      <c r="L22" s="2">
        <f t="shared" si="4"/>
        <v>0.81637785928314199</v>
      </c>
      <c r="M22" s="2">
        <f t="shared" si="5"/>
        <v>0.95429389825778144</v>
      </c>
      <c r="R22">
        <f t="shared" si="6"/>
        <v>0.69642013175995332</v>
      </c>
      <c r="S22">
        <f t="shared" si="7"/>
        <v>0.72032514735343067</v>
      </c>
    </row>
    <row r="23" spans="1:19" x14ac:dyDescent="0.3">
      <c r="A23">
        <v>18.325299999999999</v>
      </c>
      <c r="B23">
        <f t="shared" si="0"/>
        <v>5.502699999999999</v>
      </c>
      <c r="C23">
        <v>1830.6980000000001</v>
      </c>
      <c r="D23">
        <v>122.831</v>
      </c>
      <c r="E23">
        <v>126.836</v>
      </c>
      <c r="I23">
        <f t="shared" si="1"/>
        <v>0.76331586743081448</v>
      </c>
      <c r="J23">
        <f t="shared" si="2"/>
        <v>0.89311890316613651</v>
      </c>
      <c r="K23" s="3">
        <f t="shared" si="3"/>
        <v>0.92521794442535699</v>
      </c>
      <c r="L23" s="2">
        <f t="shared" si="4"/>
        <v>0.82501195748521916</v>
      </c>
      <c r="M23" s="2">
        <f t="shared" si="5"/>
        <v>0.96530650810155127</v>
      </c>
      <c r="R23">
        <f t="shared" si="6"/>
        <v>0.73010695098981337</v>
      </c>
      <c r="S23">
        <f t="shared" si="7"/>
        <v>0.81581268518159633</v>
      </c>
    </row>
    <row r="24" spans="1:19" x14ac:dyDescent="0.3">
      <c r="A24">
        <v>18.8249</v>
      </c>
      <c r="B24">
        <f t="shared" si="0"/>
        <v>6.0023</v>
      </c>
      <c r="C24">
        <v>1825.6189999999999</v>
      </c>
      <c r="D24">
        <v>118.203</v>
      </c>
      <c r="E24">
        <v>123.107</v>
      </c>
      <c r="I24">
        <f t="shared" si="1"/>
        <v>0.76119816080160463</v>
      </c>
      <c r="J24">
        <f t="shared" si="2"/>
        <v>0.85946816122108283</v>
      </c>
      <c r="K24" s="3">
        <f t="shared" si="3"/>
        <v>0.89801637929588152</v>
      </c>
      <c r="L24" s="2">
        <f t="shared" si="4"/>
        <v>0.84764396101376949</v>
      </c>
      <c r="M24" s="2">
        <f t="shared" si="5"/>
        <v>0.95707403677311131</v>
      </c>
      <c r="R24">
        <f t="shared" si="6"/>
        <v>0.81840803279733976</v>
      </c>
      <c r="S24">
        <f t="shared" si="7"/>
        <v>0.7444310210215408</v>
      </c>
    </row>
    <row r="25" spans="1:19" x14ac:dyDescent="0.3">
      <c r="A25">
        <v>19.325700000000001</v>
      </c>
      <c r="B25">
        <f t="shared" si="0"/>
        <v>6.5031000000000017</v>
      </c>
      <c r="C25">
        <v>1871.3019999999999</v>
      </c>
      <c r="D25">
        <v>117.712</v>
      </c>
      <c r="E25">
        <v>123.036</v>
      </c>
      <c r="I25">
        <f t="shared" si="1"/>
        <v>0.78024584576758038</v>
      </c>
      <c r="J25">
        <f t="shared" si="2"/>
        <v>0.8558980414511993</v>
      </c>
      <c r="K25" s="3">
        <f t="shared" si="3"/>
        <v>0.89749846266295241</v>
      </c>
      <c r="L25" s="2">
        <f t="shared" si="4"/>
        <v>0.86935619193433067</v>
      </c>
      <c r="M25" s="2">
        <f t="shared" si="5"/>
        <v>0.9536484763569163</v>
      </c>
      <c r="R25">
        <f t="shared" si="6"/>
        <v>0.90312052748751626</v>
      </c>
      <c r="S25">
        <f t="shared" si="7"/>
        <v>0.71472885827679067</v>
      </c>
    </row>
    <row r="26" spans="1:19" x14ac:dyDescent="0.3">
      <c r="A26">
        <v>19.825099999999999</v>
      </c>
      <c r="B26">
        <f t="shared" si="0"/>
        <v>7.0024999999999995</v>
      </c>
      <c r="C26">
        <v>1856.0319999999999</v>
      </c>
      <c r="D26">
        <v>119.678</v>
      </c>
      <c r="E26">
        <v>124.036</v>
      </c>
      <c r="I26">
        <f t="shared" si="1"/>
        <v>0.77387896641573284</v>
      </c>
      <c r="J26">
        <f t="shared" si="2"/>
        <v>0.87019306277012221</v>
      </c>
      <c r="K26" s="3">
        <f t="shared" si="3"/>
        <v>0.90479306312674312</v>
      </c>
      <c r="L26" s="2">
        <f t="shared" si="4"/>
        <v>0.85531045490268987</v>
      </c>
      <c r="M26" s="2">
        <f t="shared" si="5"/>
        <v>0.96175921128633346</v>
      </c>
      <c r="R26">
        <f t="shared" si="6"/>
        <v>0.84831964460883813</v>
      </c>
      <c r="S26">
        <f t="shared" si="7"/>
        <v>0.78505497709639904</v>
      </c>
    </row>
    <row r="27" spans="1:19" x14ac:dyDescent="0.3">
      <c r="A27">
        <v>20.325199999999999</v>
      </c>
      <c r="B27">
        <f t="shared" si="0"/>
        <v>7.5025999999999993</v>
      </c>
      <c r="C27">
        <v>1855.873</v>
      </c>
      <c r="D27">
        <v>123.458</v>
      </c>
      <c r="E27">
        <v>126.321</v>
      </c>
      <c r="I27">
        <f t="shared" si="1"/>
        <v>0.77381267081540916</v>
      </c>
      <c r="J27">
        <f t="shared" si="2"/>
        <v>0.89767789521443997</v>
      </c>
      <c r="K27" s="3">
        <f t="shared" si="3"/>
        <v>0.92146122518650475</v>
      </c>
      <c r="L27" s="2">
        <f t="shared" si="4"/>
        <v>0.83976693719129492</v>
      </c>
      <c r="M27" s="2">
        <f t="shared" si="5"/>
        <v>0.97418954881443764</v>
      </c>
      <c r="R27">
        <f t="shared" si="6"/>
        <v>0.78767501686833796</v>
      </c>
      <c r="S27">
        <f t="shared" si="7"/>
        <v>0.89283527093866255</v>
      </c>
    </row>
    <row r="28" spans="1:19" x14ac:dyDescent="0.3">
      <c r="A28">
        <v>20.825399999999998</v>
      </c>
      <c r="B28">
        <f t="shared" si="0"/>
        <v>8.0027999999999988</v>
      </c>
      <c r="C28">
        <v>1864.2380000000001</v>
      </c>
      <c r="D28">
        <v>120.542</v>
      </c>
      <c r="E28">
        <v>124.107</v>
      </c>
      <c r="I28">
        <f t="shared" si="1"/>
        <v>0.77730048651797656</v>
      </c>
      <c r="J28">
        <f t="shared" si="2"/>
        <v>0.87647531018596625</v>
      </c>
      <c r="K28" s="3">
        <f t="shared" si="3"/>
        <v>0.90531097975967223</v>
      </c>
      <c r="L28" s="2">
        <f t="shared" si="4"/>
        <v>0.85860052942727161</v>
      </c>
      <c r="M28" s="2">
        <f t="shared" si="5"/>
        <v>0.96814832668729944</v>
      </c>
      <c r="R28">
        <f t="shared" si="6"/>
        <v>0.86115620763700584</v>
      </c>
      <c r="S28">
        <f t="shared" si="7"/>
        <v>0.8404533710459855</v>
      </c>
    </row>
    <row r="29" spans="1:19" x14ac:dyDescent="0.3">
      <c r="A29">
        <v>21.325600000000001</v>
      </c>
      <c r="B29">
        <f t="shared" si="0"/>
        <v>8.5030000000000019</v>
      </c>
      <c r="C29">
        <v>1872.5239999999999</v>
      </c>
      <c r="D29">
        <v>124.593</v>
      </c>
      <c r="E29">
        <v>126.732</v>
      </c>
      <c r="I29">
        <f t="shared" si="1"/>
        <v>0.78075536289711267</v>
      </c>
      <c r="J29">
        <f t="shared" si="2"/>
        <v>0.90593061606742953</v>
      </c>
      <c r="K29" s="3">
        <f t="shared" si="3"/>
        <v>0.92445930597712278</v>
      </c>
      <c r="L29" s="2">
        <f t="shared" si="4"/>
        <v>0.84455352209568613</v>
      </c>
      <c r="M29" s="2">
        <f t="shared" si="5"/>
        <v>0.9799572682216563</v>
      </c>
      <c r="R29">
        <f t="shared" si="6"/>
        <v>0.80635036855287323</v>
      </c>
      <c r="S29">
        <f t="shared" si="7"/>
        <v>0.94284569833890397</v>
      </c>
    </row>
    <row r="30" spans="1:19" x14ac:dyDescent="0.3">
      <c r="A30">
        <v>21.825099999999999</v>
      </c>
      <c r="B30">
        <f t="shared" si="0"/>
        <v>9.0024999999999995</v>
      </c>
      <c r="C30">
        <v>1864.2380000000001</v>
      </c>
      <c r="D30">
        <v>121.373</v>
      </c>
      <c r="E30">
        <v>126.018</v>
      </c>
      <c r="I30">
        <f t="shared" si="1"/>
        <v>0.77730048651797656</v>
      </c>
      <c r="J30">
        <f t="shared" si="2"/>
        <v>0.8825176106518996</v>
      </c>
      <c r="K30" s="3">
        <f t="shared" si="3"/>
        <v>0.91925096124597627</v>
      </c>
      <c r="L30" s="2">
        <f t="shared" si="4"/>
        <v>0.84558028143305242</v>
      </c>
      <c r="M30" s="2">
        <f t="shared" si="5"/>
        <v>0.96003991059820337</v>
      </c>
      <c r="R30">
        <f t="shared" si="6"/>
        <v>0.81035637536225924</v>
      </c>
      <c r="S30">
        <f t="shared" si="7"/>
        <v>0.77014735830077907</v>
      </c>
    </row>
    <row r="31" spans="1:19" x14ac:dyDescent="0.3">
      <c r="A31">
        <v>22.325299999999999</v>
      </c>
      <c r="B31">
        <f t="shared" si="0"/>
        <v>9.502699999999999</v>
      </c>
      <c r="C31">
        <v>1864.19</v>
      </c>
      <c r="D31">
        <v>123.271</v>
      </c>
      <c r="E31">
        <v>126.821</v>
      </c>
      <c r="I31">
        <f t="shared" si="1"/>
        <v>0.77728047275184109</v>
      </c>
      <c r="J31">
        <f t="shared" si="2"/>
        <v>0.89631819583161265</v>
      </c>
      <c r="K31" s="3">
        <f t="shared" si="3"/>
        <v>0.92510852541840016</v>
      </c>
      <c r="L31" s="2">
        <f t="shared" si="4"/>
        <v>0.84020463696440295</v>
      </c>
      <c r="M31" s="2">
        <f t="shared" si="5"/>
        <v>0.96887897063345463</v>
      </c>
      <c r="R31">
        <f t="shared" si="6"/>
        <v>0.78938274740238423</v>
      </c>
      <c r="S31">
        <f t="shared" si="7"/>
        <v>0.84678859879282908</v>
      </c>
    </row>
    <row r="32" spans="1:19" x14ac:dyDescent="0.3">
      <c r="A32">
        <v>22.8249</v>
      </c>
      <c r="B32">
        <f t="shared" si="0"/>
        <v>10.0023</v>
      </c>
      <c r="C32">
        <v>1883.365</v>
      </c>
      <c r="D32">
        <v>123.119</v>
      </c>
      <c r="E32">
        <v>126.375</v>
      </c>
      <c r="I32">
        <f t="shared" si="1"/>
        <v>0.78527555536950167</v>
      </c>
      <c r="J32">
        <f t="shared" si="2"/>
        <v>0.89521298563808449</v>
      </c>
      <c r="K32" s="3">
        <f t="shared" si="3"/>
        <v>0.92185513361154947</v>
      </c>
      <c r="L32" s="2">
        <f t="shared" si="4"/>
        <v>0.85184268844176159</v>
      </c>
      <c r="M32" s="2">
        <f t="shared" si="5"/>
        <v>0.97109942006930183</v>
      </c>
      <c r="R32">
        <f t="shared" si="6"/>
        <v>0.83478979827554545</v>
      </c>
      <c r="S32">
        <f t="shared" si="7"/>
        <v>0.86604155086403489</v>
      </c>
    </row>
    <row r="33" spans="1:19" x14ac:dyDescent="0.3">
      <c r="A33">
        <v>23.325700000000001</v>
      </c>
      <c r="B33">
        <f t="shared" si="0"/>
        <v>10.503100000000002</v>
      </c>
      <c r="C33">
        <v>1897.1590000000001</v>
      </c>
      <c r="D33">
        <v>124.39</v>
      </c>
      <c r="E33">
        <v>126.768</v>
      </c>
      <c r="I33">
        <f t="shared" si="1"/>
        <v>0.79102701141268339</v>
      </c>
      <c r="J33">
        <f t="shared" si="2"/>
        <v>0.90445457876949398</v>
      </c>
      <c r="K33" s="3">
        <f t="shared" si="3"/>
        <v>0.92472191159381922</v>
      </c>
      <c r="L33" s="2">
        <f t="shared" si="4"/>
        <v>0.85542150726081112</v>
      </c>
      <c r="M33" s="2">
        <f t="shared" si="5"/>
        <v>0.97808278081202471</v>
      </c>
      <c r="R33">
        <f t="shared" si="6"/>
        <v>0.84875292676819325</v>
      </c>
      <c r="S33">
        <f t="shared" si="7"/>
        <v>0.92659249496796314</v>
      </c>
    </row>
    <row r="34" spans="1:19" x14ac:dyDescent="0.3">
      <c r="A34">
        <v>23.825099999999999</v>
      </c>
      <c r="B34">
        <f t="shared" si="0"/>
        <v>11.0025</v>
      </c>
      <c r="C34">
        <v>1893.46</v>
      </c>
      <c r="D34">
        <v>119.288</v>
      </c>
      <c r="E34">
        <v>122.125</v>
      </c>
      <c r="I34">
        <f t="shared" si="1"/>
        <v>0.78948470055986841</v>
      </c>
      <c r="J34">
        <f t="shared" si="2"/>
        <v>0.86735732608935923</v>
      </c>
      <c r="K34" s="3">
        <f t="shared" si="3"/>
        <v>0.89085308164043908</v>
      </c>
      <c r="L34" s="2">
        <f t="shared" si="4"/>
        <v>0.88621201052152343</v>
      </c>
      <c r="M34" s="2">
        <f t="shared" si="5"/>
        <v>0.9736255550603089</v>
      </c>
      <c r="R34">
        <f t="shared" si="6"/>
        <v>0.96888523162088769</v>
      </c>
      <c r="S34">
        <f t="shared" si="7"/>
        <v>0.88794502460321423</v>
      </c>
    </row>
    <row r="35" spans="1:19" x14ac:dyDescent="0.3">
      <c r="A35">
        <v>24.325199999999999</v>
      </c>
      <c r="B35">
        <f t="shared" si="0"/>
        <v>11.502599999999999</v>
      </c>
      <c r="C35">
        <v>1889.81</v>
      </c>
      <c r="D35">
        <v>126.729</v>
      </c>
      <c r="E35">
        <v>128.714</v>
      </c>
      <c r="I35">
        <f t="shared" si="1"/>
        <v>0.78796282042665011</v>
      </c>
      <c r="J35">
        <f t="shared" si="2"/>
        <v>0.9214617277343774</v>
      </c>
      <c r="K35" s="3">
        <f t="shared" si="3"/>
        <v>0.93891720409635593</v>
      </c>
      <c r="L35" s="2">
        <f t="shared" si="4"/>
        <v>0.83922503175880225</v>
      </c>
      <c r="M35" s="2">
        <f t="shared" si="5"/>
        <v>0.98140892904526311</v>
      </c>
      <c r="R35">
        <f t="shared" si="6"/>
        <v>0.785560717271923</v>
      </c>
      <c r="S35">
        <f t="shared" si="7"/>
        <v>0.95543267996944281</v>
      </c>
    </row>
    <row r="36" spans="1:19" x14ac:dyDescent="0.3">
      <c r="A36">
        <v>24.825399999999998</v>
      </c>
      <c r="B36">
        <f t="shared" si="0"/>
        <v>12.002799999999999</v>
      </c>
      <c r="C36">
        <v>1894.2860000000001</v>
      </c>
      <c r="D36">
        <v>121.23699999999999</v>
      </c>
      <c r="E36">
        <v>125.946</v>
      </c>
      <c r="I36">
        <f t="shared" si="1"/>
        <v>0.78982910411878304</v>
      </c>
      <c r="J36">
        <f t="shared" si="2"/>
        <v>0.88152873837347967</v>
      </c>
      <c r="K36" s="3">
        <f t="shared" si="3"/>
        <v>0.91872575001258328</v>
      </c>
      <c r="L36" s="2">
        <f t="shared" si="4"/>
        <v>0.85970062786197643</v>
      </c>
      <c r="M36" s="2">
        <f t="shared" si="5"/>
        <v>0.95951238806728323</v>
      </c>
      <c r="R36">
        <f t="shared" si="6"/>
        <v>0.86544835445275992</v>
      </c>
      <c r="S36">
        <f t="shared" si="7"/>
        <v>0.76557334466177374</v>
      </c>
    </row>
    <row r="37" spans="1:19" x14ac:dyDescent="0.3">
      <c r="A37">
        <v>25.325600000000001</v>
      </c>
      <c r="B37">
        <f t="shared" si="0"/>
        <v>12.503000000000002</v>
      </c>
      <c r="C37">
        <v>1885.3810000000001</v>
      </c>
      <c r="D37">
        <v>121.864</v>
      </c>
      <c r="E37">
        <v>125.554</v>
      </c>
      <c r="I37">
        <f t="shared" si="1"/>
        <v>0.78611613354719156</v>
      </c>
      <c r="J37">
        <f t="shared" si="2"/>
        <v>0.88608773042178324</v>
      </c>
      <c r="K37" s="3">
        <f t="shared" si="3"/>
        <v>0.9158662666307773</v>
      </c>
      <c r="L37" s="2">
        <f t="shared" si="4"/>
        <v>0.85833069978556897</v>
      </c>
      <c r="M37" s="2">
        <f t="shared" si="5"/>
        <v>0.96748593403429828</v>
      </c>
      <c r="R37">
        <f t="shared" si="6"/>
        <v>0.86010343962925861</v>
      </c>
      <c r="S37">
        <f t="shared" si="7"/>
        <v>0.83470993289573359</v>
      </c>
    </row>
    <row r="38" spans="1:19" x14ac:dyDescent="0.3">
      <c r="A38">
        <v>25.824999999999999</v>
      </c>
      <c r="B38">
        <f t="shared" si="0"/>
        <v>13.0024</v>
      </c>
      <c r="C38">
        <v>1879.0630000000001</v>
      </c>
      <c r="D38">
        <v>123.458</v>
      </c>
      <c r="E38">
        <v>125.804</v>
      </c>
      <c r="I38">
        <f t="shared" si="1"/>
        <v>0.78348182157960988</v>
      </c>
      <c r="J38">
        <f t="shared" si="2"/>
        <v>0.89767789521443997</v>
      </c>
      <c r="K38" s="3">
        <f t="shared" si="3"/>
        <v>0.91768991674672507</v>
      </c>
      <c r="L38" s="2">
        <f t="shared" si="4"/>
        <v>0.85375441887506809</v>
      </c>
      <c r="M38" s="2">
        <f t="shared" si="5"/>
        <v>0.97819304629255477</v>
      </c>
      <c r="R38">
        <f t="shared" si="6"/>
        <v>0.84224861053546685</v>
      </c>
      <c r="S38">
        <f t="shared" si="7"/>
        <v>0.92754857889290232</v>
      </c>
    </row>
    <row r="39" spans="1:19" x14ac:dyDescent="0.3">
      <c r="A39">
        <v>26.325600000000001</v>
      </c>
      <c r="B39">
        <f t="shared" si="0"/>
        <v>13.503000000000002</v>
      </c>
      <c r="C39">
        <v>1915.27</v>
      </c>
      <c r="D39">
        <v>120.492</v>
      </c>
      <c r="E39">
        <v>124.893</v>
      </c>
      <c r="I39">
        <f t="shared" si="1"/>
        <v>0.79857845554767415</v>
      </c>
      <c r="J39">
        <f t="shared" si="2"/>
        <v>0.87611175420125309</v>
      </c>
      <c r="K39" s="3">
        <f t="shared" si="3"/>
        <v>0.91104453572421173</v>
      </c>
      <c r="L39" s="2">
        <f t="shared" si="4"/>
        <v>0.87655259894936366</v>
      </c>
      <c r="M39" s="2">
        <f t="shared" si="5"/>
        <v>0.96165634043873638</v>
      </c>
      <c r="R39">
        <f t="shared" si="6"/>
        <v>0.93119804717122701</v>
      </c>
      <c r="S39">
        <f t="shared" si="7"/>
        <v>0.78416301015207845</v>
      </c>
    </row>
    <row r="40" spans="1:19" x14ac:dyDescent="0.3">
      <c r="A40">
        <v>26.824999999999999</v>
      </c>
      <c r="B40">
        <f t="shared" si="0"/>
        <v>14.0024</v>
      </c>
      <c r="C40">
        <v>1907.8889999999999</v>
      </c>
      <c r="D40">
        <v>123.42400000000001</v>
      </c>
      <c r="E40">
        <v>125.982</v>
      </c>
      <c r="I40">
        <f t="shared" si="1"/>
        <v>0.79550092205088396</v>
      </c>
      <c r="J40">
        <f t="shared" si="2"/>
        <v>0.89743067714483504</v>
      </c>
      <c r="K40" s="3">
        <f t="shared" si="3"/>
        <v>0.91898835562927972</v>
      </c>
      <c r="L40" s="2">
        <f t="shared" si="4"/>
        <v>0.8656267701087057</v>
      </c>
      <c r="M40" s="2">
        <f t="shared" si="5"/>
        <v>0.97654194598615673</v>
      </c>
      <c r="R40">
        <f t="shared" si="6"/>
        <v>0.88856980592617252</v>
      </c>
      <c r="S40">
        <f t="shared" si="7"/>
        <v>0.91323230825388835</v>
      </c>
    </row>
    <row r="41" spans="1:19" x14ac:dyDescent="0.3">
      <c r="A41">
        <v>27.325199999999999</v>
      </c>
      <c r="B41">
        <f t="shared" si="0"/>
        <v>14.502599999999999</v>
      </c>
      <c r="C41">
        <v>1905.73</v>
      </c>
      <c r="D41">
        <v>121.017</v>
      </c>
      <c r="E41">
        <v>123.679</v>
      </c>
      <c r="I41">
        <f t="shared" si="1"/>
        <v>0.79460071952824884</v>
      </c>
      <c r="J41">
        <f t="shared" si="2"/>
        <v>0.87992909204074155</v>
      </c>
      <c r="K41" s="3">
        <f t="shared" si="3"/>
        <v>0.90218889076116981</v>
      </c>
      <c r="L41" s="2">
        <f t="shared" si="4"/>
        <v>0.88074762132999707</v>
      </c>
      <c r="M41" s="2">
        <f t="shared" si="5"/>
        <v>0.97532689778340342</v>
      </c>
      <c r="R41">
        <f t="shared" si="6"/>
        <v>0.94756535702735278</v>
      </c>
      <c r="S41">
        <f t="shared" si="7"/>
        <v>0.90269693445336374</v>
      </c>
    </row>
    <row r="42" spans="1:19" x14ac:dyDescent="0.3">
      <c r="A42">
        <v>27.825399999999998</v>
      </c>
      <c r="B42">
        <f t="shared" si="0"/>
        <v>15.002799999999999</v>
      </c>
      <c r="C42">
        <v>1898.81</v>
      </c>
      <c r="D42">
        <v>120.068</v>
      </c>
      <c r="E42">
        <v>124.625</v>
      </c>
      <c r="I42">
        <f t="shared" si="1"/>
        <v>0.79171540157705134</v>
      </c>
      <c r="J42">
        <f t="shared" si="2"/>
        <v>0.87302879945088507</v>
      </c>
      <c r="K42" s="3">
        <f t="shared" si="3"/>
        <v>0.90908958279991581</v>
      </c>
      <c r="L42" s="2">
        <f t="shared" si="4"/>
        <v>0.87088821229106783</v>
      </c>
      <c r="M42" s="2">
        <f t="shared" si="5"/>
        <v>0.96033308044520027</v>
      </c>
      <c r="R42">
        <f t="shared" si="6"/>
        <v>0.90909786195904851</v>
      </c>
      <c r="S42">
        <f t="shared" si="7"/>
        <v>0.77268935944785777</v>
      </c>
    </row>
    <row r="43" spans="1:19" x14ac:dyDescent="0.3">
      <c r="A43">
        <v>28.325500000000002</v>
      </c>
      <c r="B43">
        <f t="shared" si="0"/>
        <v>15.502900000000002</v>
      </c>
      <c r="C43">
        <v>1923.317</v>
      </c>
      <c r="D43">
        <v>121.729</v>
      </c>
      <c r="E43">
        <v>123.804</v>
      </c>
      <c r="I43">
        <f t="shared" si="1"/>
        <v>0.80193368004959409</v>
      </c>
      <c r="J43">
        <f t="shared" si="2"/>
        <v>0.88510612926305754</v>
      </c>
      <c r="K43" s="3">
        <f t="shared" si="3"/>
        <v>0.90310071581914364</v>
      </c>
      <c r="L43" s="2">
        <f t="shared" si="4"/>
        <v>0.88797812470142101</v>
      </c>
      <c r="M43" s="2">
        <f t="shared" si="5"/>
        <v>0.98007466250343478</v>
      </c>
      <c r="R43">
        <f t="shared" si="6"/>
        <v>0.97577590714079199</v>
      </c>
      <c r="S43">
        <f t="shared" si="7"/>
        <v>0.9438635942855651</v>
      </c>
    </row>
    <row r="44" spans="1:19" x14ac:dyDescent="0.3">
      <c r="A44">
        <v>28.8249</v>
      </c>
      <c r="B44">
        <f t="shared" si="0"/>
        <v>16.002299999999998</v>
      </c>
      <c r="C44">
        <v>1877.095</v>
      </c>
      <c r="D44">
        <v>123.102</v>
      </c>
      <c r="E44">
        <v>125.179</v>
      </c>
      <c r="I44">
        <f t="shared" si="1"/>
        <v>0.78266125716805546</v>
      </c>
      <c r="J44">
        <f t="shared" si="2"/>
        <v>0.89508937660328203</v>
      </c>
      <c r="K44" s="3">
        <f t="shared" si="3"/>
        <v>0.91313079145685583</v>
      </c>
      <c r="L44" s="2">
        <f t="shared" si="4"/>
        <v>0.85711845936041364</v>
      </c>
      <c r="M44" s="2">
        <f t="shared" si="5"/>
        <v>0.98024224456959819</v>
      </c>
      <c r="R44">
        <f t="shared" si="6"/>
        <v>0.85537375934191695</v>
      </c>
      <c r="S44">
        <f t="shared" si="7"/>
        <v>0.94531665574048929</v>
      </c>
    </row>
    <row r="45" spans="1:19" x14ac:dyDescent="0.3">
      <c r="A45">
        <v>29.325700000000001</v>
      </c>
      <c r="B45">
        <f t="shared" si="0"/>
        <v>16.503100000000003</v>
      </c>
      <c r="C45">
        <v>1881.6669999999999</v>
      </c>
      <c r="D45">
        <v>121.03400000000001</v>
      </c>
      <c r="E45">
        <v>123.821</v>
      </c>
      <c r="I45">
        <f t="shared" si="1"/>
        <v>0.78456756839245922</v>
      </c>
      <c r="J45">
        <f t="shared" si="2"/>
        <v>0.88005270107554412</v>
      </c>
      <c r="K45" s="3">
        <f t="shared" si="3"/>
        <v>0.90322472402702803</v>
      </c>
      <c r="L45" s="2">
        <f t="shared" si="4"/>
        <v>0.86862942025597378</v>
      </c>
      <c r="M45" s="2">
        <f t="shared" si="5"/>
        <v>0.9743452295590721</v>
      </c>
      <c r="R45">
        <f t="shared" si="6"/>
        <v>0.90028495328194369</v>
      </c>
      <c r="S45">
        <f t="shared" si="7"/>
        <v>0.89418513906286645</v>
      </c>
    </row>
    <row r="46" spans="1:19" x14ac:dyDescent="0.3">
      <c r="A46">
        <v>29.825299999999999</v>
      </c>
      <c r="B46">
        <f t="shared" si="0"/>
        <v>17.002699999999997</v>
      </c>
      <c r="C46">
        <v>1875.3330000000001</v>
      </c>
      <c r="D46">
        <v>125.407</v>
      </c>
      <c r="E46">
        <v>127.232</v>
      </c>
      <c r="I46">
        <f t="shared" si="1"/>
        <v>0.78192658516949909</v>
      </c>
      <c r="J46">
        <f t="shared" si="2"/>
        <v>0.91184930749856041</v>
      </c>
      <c r="K46" s="3">
        <f t="shared" si="3"/>
        <v>0.92810660620901808</v>
      </c>
      <c r="L46" s="2">
        <f t="shared" si="4"/>
        <v>0.84249651919124702</v>
      </c>
      <c r="M46" s="2">
        <f t="shared" si="5"/>
        <v>0.98248337141261943</v>
      </c>
      <c r="R46">
        <f t="shared" si="6"/>
        <v>0.79832476085472737</v>
      </c>
      <c r="S46">
        <f t="shared" si="7"/>
        <v>0.96474889634799388</v>
      </c>
    </row>
    <row r="47" spans="1:19" x14ac:dyDescent="0.3">
      <c r="A47">
        <v>30.325500000000002</v>
      </c>
      <c r="B47">
        <f t="shared" si="0"/>
        <v>17.502900000000004</v>
      </c>
      <c r="C47">
        <v>1886.9369999999999</v>
      </c>
      <c r="D47">
        <v>116.78</v>
      </c>
      <c r="E47">
        <v>121.07899999999999</v>
      </c>
      <c r="I47">
        <f t="shared" si="1"/>
        <v>0.78676491313274977</v>
      </c>
      <c r="J47">
        <f t="shared" si="2"/>
        <v>0.84912135789614529</v>
      </c>
      <c r="K47" s="3">
        <f t="shared" si="3"/>
        <v>0.8832229295553139</v>
      </c>
      <c r="L47" s="2">
        <f t="shared" si="4"/>
        <v>0.89078859572732227</v>
      </c>
      <c r="M47" s="2">
        <f t="shared" si="5"/>
        <v>0.96138962144434126</v>
      </c>
      <c r="R47">
        <f t="shared" si="6"/>
        <v>0.98674124795397822</v>
      </c>
      <c r="S47">
        <f t="shared" si="7"/>
        <v>0.78185035761756572</v>
      </c>
    </row>
    <row r="48" spans="1:19" x14ac:dyDescent="0.3">
      <c r="A48">
        <v>30.824999999999999</v>
      </c>
      <c r="B48">
        <f t="shared" si="0"/>
        <v>18.002400000000002</v>
      </c>
      <c r="C48">
        <v>1867.3969999999999</v>
      </c>
      <c r="D48">
        <v>119.864</v>
      </c>
      <c r="E48">
        <v>122.875</v>
      </c>
      <c r="I48">
        <f t="shared" si="1"/>
        <v>0.77861764250176735</v>
      </c>
      <c r="J48">
        <f t="shared" si="2"/>
        <v>0.87154549103325529</v>
      </c>
      <c r="K48" s="3">
        <f t="shared" si="3"/>
        <v>0.89632403198828203</v>
      </c>
      <c r="L48" s="2">
        <f t="shared" si="4"/>
        <v>0.86867875312300735</v>
      </c>
      <c r="M48" s="2">
        <f t="shared" si="5"/>
        <v>0.97235537587889787</v>
      </c>
      <c r="R48">
        <f t="shared" si="6"/>
        <v>0.90047743051986184</v>
      </c>
      <c r="S48">
        <f t="shared" si="7"/>
        <v>0.87693162411466874</v>
      </c>
    </row>
    <row r="49" spans="1:19" x14ac:dyDescent="0.3">
      <c r="A49">
        <v>31.325199999999999</v>
      </c>
      <c r="B49">
        <f t="shared" si="0"/>
        <v>18.502600000000001</v>
      </c>
      <c r="C49">
        <v>1881.54</v>
      </c>
      <c r="D49">
        <v>118.932</v>
      </c>
      <c r="E49">
        <v>122.607</v>
      </c>
      <c r="I49">
        <f t="shared" si="1"/>
        <v>0.78451461530289246</v>
      </c>
      <c r="J49">
        <f t="shared" si="2"/>
        <v>0.86476880747820128</v>
      </c>
      <c r="K49" s="3">
        <f t="shared" si="3"/>
        <v>0.89436907906398611</v>
      </c>
      <c r="L49" s="2">
        <f t="shared" si="4"/>
        <v>0.87717099536126264</v>
      </c>
      <c r="M49" s="2">
        <f t="shared" si="5"/>
        <v>0.96690373998979995</v>
      </c>
      <c r="R49">
        <f t="shared" si="6"/>
        <v>0.93361078416500176</v>
      </c>
      <c r="S49">
        <f t="shared" si="7"/>
        <v>0.82966187647350254</v>
      </c>
    </row>
    <row r="50" spans="1:19" x14ac:dyDescent="0.3">
      <c r="A50">
        <v>31.825299999999999</v>
      </c>
      <c r="B50">
        <f t="shared" si="0"/>
        <v>19.002699999999997</v>
      </c>
      <c r="C50">
        <v>1894.81</v>
      </c>
      <c r="D50">
        <v>119.102</v>
      </c>
      <c r="E50">
        <v>122.393</v>
      </c>
      <c r="I50">
        <f t="shared" si="1"/>
        <v>0.79004758773242856</v>
      </c>
      <c r="J50">
        <f t="shared" si="2"/>
        <v>0.86600489782622614</v>
      </c>
      <c r="K50" s="3">
        <f t="shared" si="3"/>
        <v>0.8928080345647349</v>
      </c>
      <c r="L50" s="2">
        <f t="shared" si="4"/>
        <v>0.88490196900792395</v>
      </c>
      <c r="M50" s="2">
        <f t="shared" si="5"/>
        <v>0.96997883565017884</v>
      </c>
      <c r="R50">
        <f t="shared" si="6"/>
        <v>0.96377397036124379</v>
      </c>
      <c r="S50">
        <f t="shared" si="7"/>
        <v>0.85632524849532843</v>
      </c>
    </row>
    <row r="51" spans="1:19" x14ac:dyDescent="0.3">
      <c r="A51">
        <v>32.325299999999999</v>
      </c>
      <c r="B51">
        <f t="shared" si="0"/>
        <v>19.502699999999997</v>
      </c>
      <c r="C51">
        <v>1890.4290000000001</v>
      </c>
      <c r="D51">
        <v>118.797</v>
      </c>
      <c r="E51">
        <v>122.214</v>
      </c>
      <c r="I51">
        <f t="shared" si="1"/>
        <v>0.78822091461910548</v>
      </c>
      <c r="J51">
        <f t="shared" si="2"/>
        <v>0.86378720631947559</v>
      </c>
      <c r="K51" s="3">
        <f t="shared" si="3"/>
        <v>0.89150230108171635</v>
      </c>
      <c r="L51" s="2">
        <f t="shared" si="4"/>
        <v>0.88414905229375962</v>
      </c>
      <c r="M51" s="2">
        <f t="shared" si="5"/>
        <v>0.96891192010540828</v>
      </c>
      <c r="R51">
        <f t="shared" si="6"/>
        <v>0.96083638861830134</v>
      </c>
      <c r="S51">
        <f t="shared" si="7"/>
        <v>0.84707429528024003</v>
      </c>
    </row>
    <row r="52" spans="1:19" x14ac:dyDescent="0.3">
      <c r="A52">
        <v>32.8249</v>
      </c>
      <c r="B52">
        <f t="shared" si="0"/>
        <v>20.002299999999998</v>
      </c>
      <c r="C52">
        <v>1895.9839999999999</v>
      </c>
      <c r="D52">
        <v>119.017</v>
      </c>
      <c r="E52">
        <v>122.893</v>
      </c>
      <c r="I52">
        <f t="shared" si="1"/>
        <v>0.79053709109582537</v>
      </c>
      <c r="J52">
        <f t="shared" si="2"/>
        <v>0.86538685265221371</v>
      </c>
      <c r="K52" s="3">
        <f t="shared" si="3"/>
        <v>0.89645533479663031</v>
      </c>
      <c r="L52" s="2">
        <f t="shared" si="4"/>
        <v>0.88184771779529481</v>
      </c>
      <c r="M52" s="2">
        <f t="shared" si="5"/>
        <v>0.96534296697395994</v>
      </c>
      <c r="R52">
        <f t="shared" si="6"/>
        <v>0.95185749615926318</v>
      </c>
      <c r="S52">
        <f t="shared" si="7"/>
        <v>0.81612881078739574</v>
      </c>
    </row>
    <row r="53" spans="1:19" x14ac:dyDescent="0.3">
      <c r="A53">
        <v>33.325699999999998</v>
      </c>
      <c r="B53">
        <f t="shared" si="0"/>
        <v>20.503099999999996</v>
      </c>
      <c r="C53">
        <v>1894.6030000000001</v>
      </c>
      <c r="D53">
        <v>122.068</v>
      </c>
      <c r="E53">
        <v>124.214</v>
      </c>
      <c r="I53">
        <f t="shared" si="1"/>
        <v>0.78996127836596941</v>
      </c>
      <c r="J53">
        <f t="shared" si="2"/>
        <v>0.88757103883941302</v>
      </c>
      <c r="K53" s="3">
        <f t="shared" si="3"/>
        <v>0.90609150200929778</v>
      </c>
      <c r="L53" s="2">
        <f t="shared" si="4"/>
        <v>0.87183388941866857</v>
      </c>
      <c r="M53" s="2">
        <f t="shared" si="5"/>
        <v>0.97956005201592244</v>
      </c>
      <c r="R53">
        <f t="shared" si="6"/>
        <v>0.91278751821517445</v>
      </c>
      <c r="S53">
        <f t="shared" si="7"/>
        <v>0.93940153768951629</v>
      </c>
    </row>
    <row r="54" spans="1:19" x14ac:dyDescent="0.3">
      <c r="A54">
        <v>33.825099999999999</v>
      </c>
      <c r="B54">
        <f t="shared" si="0"/>
        <v>21.002499999999998</v>
      </c>
      <c r="C54">
        <v>1882.1590000000001</v>
      </c>
      <c r="D54">
        <v>112.84699999999999</v>
      </c>
      <c r="E54">
        <v>116.857</v>
      </c>
      <c r="I54">
        <f t="shared" si="1"/>
        <v>0.78477270949534794</v>
      </c>
      <c r="J54">
        <f t="shared" si="2"/>
        <v>0.82052404413860502</v>
      </c>
      <c r="K54" s="3">
        <f t="shared" si="3"/>
        <v>0.85242512639718959</v>
      </c>
      <c r="L54" s="2">
        <f t="shared" si="4"/>
        <v>0.92063535575519995</v>
      </c>
      <c r="M54" s="2">
        <f t="shared" si="5"/>
        <v>0.96257608877225875</v>
      </c>
      <c r="R54">
        <f t="shared" si="6"/>
        <v>1.1031914418392232</v>
      </c>
      <c r="S54">
        <f t="shared" si="7"/>
        <v>0.792137913924711</v>
      </c>
    </row>
    <row r="55" spans="1:19" x14ac:dyDescent="0.3">
      <c r="A55">
        <v>34.325800000000001</v>
      </c>
      <c r="B55">
        <f t="shared" si="0"/>
        <v>21.5032</v>
      </c>
      <c r="C55">
        <v>1900.6980000000001</v>
      </c>
      <c r="D55">
        <v>117.373</v>
      </c>
      <c r="E55">
        <v>120.429</v>
      </c>
      <c r="I55">
        <f t="shared" si="1"/>
        <v>0.79250260971171338</v>
      </c>
      <c r="J55">
        <f t="shared" si="2"/>
        <v>0.85343313187484382</v>
      </c>
      <c r="K55" s="3">
        <f t="shared" si="3"/>
        <v>0.87848143925385003</v>
      </c>
      <c r="L55" s="2">
        <f t="shared" si="4"/>
        <v>0.90212789286115835</v>
      </c>
      <c r="M55" s="2">
        <f t="shared" si="5"/>
        <v>0.97148681092194578</v>
      </c>
      <c r="R55">
        <f t="shared" si="6"/>
        <v>1.0309826781301268</v>
      </c>
      <c r="S55">
        <f t="shared" si="7"/>
        <v>0.86940051837681298</v>
      </c>
    </row>
    <row r="56" spans="1:19" x14ac:dyDescent="0.3">
      <c r="A56">
        <v>34.825200000000002</v>
      </c>
      <c r="B56">
        <f t="shared" si="0"/>
        <v>22.002600000000001</v>
      </c>
      <c r="C56">
        <v>1890.492</v>
      </c>
      <c r="D56">
        <v>115.52500000000001</v>
      </c>
      <c r="E56">
        <v>118.625</v>
      </c>
      <c r="I56">
        <f t="shared" si="1"/>
        <v>0.78824718268715821</v>
      </c>
      <c r="J56">
        <f t="shared" si="2"/>
        <v>0.83999610267984404</v>
      </c>
      <c r="K56" s="3">
        <f t="shared" si="3"/>
        <v>0.86532198001717164</v>
      </c>
      <c r="L56" s="2">
        <f t="shared" si="4"/>
        <v>0.91092934293835459</v>
      </c>
      <c r="M56" s="2">
        <f t="shared" si="5"/>
        <v>0.97073242339594212</v>
      </c>
      <c r="R56">
        <f t="shared" si="6"/>
        <v>1.0653224378562578</v>
      </c>
      <c r="S56">
        <f t="shared" si="7"/>
        <v>0.86285941609058958</v>
      </c>
    </row>
    <row r="57" spans="1:19" x14ac:dyDescent="0.3">
      <c r="A57">
        <v>35.325400000000002</v>
      </c>
      <c r="B57">
        <f t="shared" si="0"/>
        <v>22.502800000000001</v>
      </c>
      <c r="C57">
        <v>1875.952</v>
      </c>
      <c r="D57">
        <v>118.254</v>
      </c>
      <c r="E57">
        <v>122</v>
      </c>
      <c r="I57">
        <f t="shared" si="1"/>
        <v>0.78218467936195446</v>
      </c>
      <c r="J57">
        <f t="shared" si="2"/>
        <v>0.85983898832549033</v>
      </c>
      <c r="K57" s="3">
        <f t="shared" si="3"/>
        <v>0.88994125658246515</v>
      </c>
      <c r="L57" s="2">
        <f t="shared" si="4"/>
        <v>0.87891720220465408</v>
      </c>
      <c r="M57" s="2">
        <f t="shared" si="5"/>
        <v>0.96617499409728125</v>
      </c>
      <c r="R57">
        <f t="shared" si="6"/>
        <v>0.94042378917079616</v>
      </c>
      <c r="S57">
        <f t="shared" si="7"/>
        <v>0.82334310626678653</v>
      </c>
    </row>
    <row r="58" spans="1:19" x14ac:dyDescent="0.3">
      <c r="A58">
        <v>35.8249</v>
      </c>
      <c r="B58">
        <f t="shared" si="0"/>
        <v>23.002299999999998</v>
      </c>
      <c r="C58">
        <v>1903.079</v>
      </c>
      <c r="D58">
        <v>122.81399999999999</v>
      </c>
      <c r="E58">
        <v>125.571</v>
      </c>
      <c r="I58">
        <f t="shared" si="1"/>
        <v>0.79349537590272501</v>
      </c>
      <c r="J58">
        <f t="shared" si="2"/>
        <v>0.89299529413133394</v>
      </c>
      <c r="K58" s="3">
        <f t="shared" si="3"/>
        <v>0.9159902748386618</v>
      </c>
      <c r="L58" s="2">
        <f t="shared" si="4"/>
        <v>0.86627052458879816</v>
      </c>
      <c r="M58" s="2">
        <f t="shared" si="5"/>
        <v>0.97489604274305408</v>
      </c>
      <c r="R58">
        <f t="shared" si="6"/>
        <v>0.89108148002249798</v>
      </c>
      <c r="S58">
        <f t="shared" si="7"/>
        <v>0.89896110002833063</v>
      </c>
    </row>
    <row r="59" spans="1:19" x14ac:dyDescent="0.3">
      <c r="A59">
        <v>36.325800000000001</v>
      </c>
      <c r="B59">
        <f t="shared" si="0"/>
        <v>23.5032</v>
      </c>
      <c r="C59">
        <v>1894.3810000000001</v>
      </c>
      <c r="D59">
        <v>120.03400000000001</v>
      </c>
      <c r="E59">
        <v>122.607</v>
      </c>
      <c r="I59">
        <f t="shared" si="1"/>
        <v>0.78986871469759279</v>
      </c>
      <c r="J59">
        <f t="shared" si="2"/>
        <v>0.87278158138128015</v>
      </c>
      <c r="K59" s="3">
        <f t="shared" si="3"/>
        <v>0.89436907906398611</v>
      </c>
      <c r="L59" s="2">
        <f t="shared" si="4"/>
        <v>0.88315744941030438</v>
      </c>
      <c r="M59" s="2">
        <f t="shared" si="5"/>
        <v>0.97586287564268359</v>
      </c>
      <c r="R59">
        <f t="shared" si="6"/>
        <v>0.95696754831779041</v>
      </c>
      <c r="S59">
        <f t="shared" si="7"/>
        <v>0.90734426209314467</v>
      </c>
    </row>
    <row r="60" spans="1:19" x14ac:dyDescent="0.3">
      <c r="A60">
        <v>36.825200000000002</v>
      </c>
      <c r="B60">
        <f t="shared" si="0"/>
        <v>24.002600000000001</v>
      </c>
      <c r="C60">
        <v>1905.8889999999999</v>
      </c>
      <c r="D60">
        <v>118.898</v>
      </c>
      <c r="E60">
        <v>122.625</v>
      </c>
      <c r="I60">
        <f t="shared" si="1"/>
        <v>0.79466701512857252</v>
      </c>
      <c r="J60">
        <f t="shared" si="2"/>
        <v>0.86452158940859625</v>
      </c>
      <c r="K60" s="3">
        <f t="shared" si="3"/>
        <v>0.89450038187233438</v>
      </c>
      <c r="L60" s="2">
        <f t="shared" si="4"/>
        <v>0.88839203563580993</v>
      </c>
      <c r="M60" s="2">
        <f t="shared" si="5"/>
        <v>0.96648543357691175</v>
      </c>
      <c r="R60">
        <f t="shared" si="6"/>
        <v>0.9773908230819458</v>
      </c>
      <c r="S60">
        <f t="shared" si="7"/>
        <v>0.82603484800422255</v>
      </c>
    </row>
    <row r="61" spans="1:19" x14ac:dyDescent="0.3">
      <c r="A61">
        <v>37.325200000000002</v>
      </c>
      <c r="B61">
        <f t="shared" si="0"/>
        <v>24.502600000000001</v>
      </c>
      <c r="C61">
        <v>1893.6669999999999</v>
      </c>
      <c r="D61">
        <v>119.458</v>
      </c>
      <c r="E61">
        <v>122.661</v>
      </c>
      <c r="I61">
        <f t="shared" si="1"/>
        <v>0.78957100992632756</v>
      </c>
      <c r="J61">
        <f t="shared" si="2"/>
        <v>0.86859341643738408</v>
      </c>
      <c r="K61" s="3">
        <f t="shared" si="3"/>
        <v>0.89476298748903083</v>
      </c>
      <c r="L61" s="2">
        <f t="shared" si="4"/>
        <v>0.88243593104146723</v>
      </c>
      <c r="M61" s="2">
        <f t="shared" si="5"/>
        <v>0.97075251053344724</v>
      </c>
      <c r="R61">
        <f t="shared" si="6"/>
        <v>0.9541524704378338</v>
      </c>
      <c r="S61">
        <f t="shared" si="7"/>
        <v>0.86303358654878159</v>
      </c>
    </row>
    <row r="62" spans="1:19" x14ac:dyDescent="0.3">
      <c r="A62">
        <v>37.825200000000002</v>
      </c>
      <c r="B62">
        <f t="shared" si="0"/>
        <v>25.002600000000001</v>
      </c>
      <c r="C62">
        <v>1902.683</v>
      </c>
      <c r="D62">
        <v>122</v>
      </c>
      <c r="E62">
        <v>125.125</v>
      </c>
      <c r="I62">
        <f t="shared" si="1"/>
        <v>0.79333026233210735</v>
      </c>
      <c r="J62">
        <f t="shared" si="2"/>
        <v>0.88707660270020305</v>
      </c>
      <c r="K62" s="3">
        <f t="shared" si="3"/>
        <v>0.91273688303181111</v>
      </c>
      <c r="L62" s="2">
        <f t="shared" si="4"/>
        <v>0.8691773906374044</v>
      </c>
      <c r="M62" s="2">
        <f t="shared" si="5"/>
        <v>0.97188644306081606</v>
      </c>
      <c r="R62">
        <f t="shared" si="6"/>
        <v>0.90242291589836721</v>
      </c>
      <c r="S62">
        <f t="shared" si="7"/>
        <v>0.87286562696769943</v>
      </c>
    </row>
    <row r="63" spans="1:19" x14ac:dyDescent="0.3">
      <c r="A63">
        <v>38.325299999999999</v>
      </c>
      <c r="B63">
        <f t="shared" si="0"/>
        <v>25.502699999999997</v>
      </c>
      <c r="C63">
        <v>1896.3019999999999</v>
      </c>
      <c r="D63">
        <v>118.559</v>
      </c>
      <c r="E63">
        <v>122.679</v>
      </c>
      <c r="I63">
        <f t="shared" si="1"/>
        <v>0.79066968229647283</v>
      </c>
      <c r="J63">
        <f t="shared" si="2"/>
        <v>0.86205667983224077</v>
      </c>
      <c r="K63" s="3">
        <f t="shared" si="3"/>
        <v>0.8948942902973791</v>
      </c>
      <c r="L63" s="2">
        <f t="shared" si="4"/>
        <v>0.88353416807892271</v>
      </c>
      <c r="M63" s="2">
        <f t="shared" si="5"/>
        <v>0.96330559841405827</v>
      </c>
      <c r="R63">
        <f t="shared" si="6"/>
        <v>0.95843735482140491</v>
      </c>
      <c r="S63">
        <f t="shared" si="7"/>
        <v>0.79846330640710717</v>
      </c>
    </row>
    <row r="64" spans="1:19" x14ac:dyDescent="0.3">
      <c r="A64">
        <v>38.825299999999999</v>
      </c>
      <c r="B64">
        <f t="shared" si="0"/>
        <v>26.002699999999997</v>
      </c>
      <c r="C64">
        <v>1910.9839999999999</v>
      </c>
      <c r="D64">
        <v>123.03400000000001</v>
      </c>
      <c r="E64">
        <v>125.554</v>
      </c>
      <c r="I64">
        <f t="shared" si="1"/>
        <v>0.79679139301316082</v>
      </c>
      <c r="J64">
        <f t="shared" si="2"/>
        <v>0.89459494046407206</v>
      </c>
      <c r="K64" s="3">
        <f t="shared" si="3"/>
        <v>0.9158662666307773</v>
      </c>
      <c r="L64" s="2">
        <f t="shared" si="4"/>
        <v>0.86998661490649665</v>
      </c>
      <c r="M64" s="2">
        <f t="shared" si="5"/>
        <v>0.97677463736604619</v>
      </c>
      <c r="R64">
        <f t="shared" si="6"/>
        <v>0.90558018733903345</v>
      </c>
      <c r="S64">
        <f t="shared" si="7"/>
        <v>0.91524991600125194</v>
      </c>
    </row>
    <row r="65" spans="1:19" x14ac:dyDescent="0.3">
      <c r="A65">
        <v>39.325499999999998</v>
      </c>
      <c r="B65">
        <f t="shared" si="0"/>
        <v>26.502899999999997</v>
      </c>
      <c r="C65">
        <v>1893.5239999999999</v>
      </c>
      <c r="D65">
        <v>120.593</v>
      </c>
      <c r="E65">
        <v>123.375</v>
      </c>
      <c r="I65">
        <f t="shared" si="1"/>
        <v>0.78951138558138234</v>
      </c>
      <c r="J65">
        <f t="shared" si="2"/>
        <v>0.87684613729037375</v>
      </c>
      <c r="K65" s="3">
        <f t="shared" si="3"/>
        <v>0.89997133222017744</v>
      </c>
      <c r="L65" s="2">
        <f t="shared" si="4"/>
        <v>0.87726281639849935</v>
      </c>
      <c r="M65" s="2">
        <f t="shared" si="5"/>
        <v>0.97430452048649685</v>
      </c>
      <c r="R65">
        <f t="shared" si="6"/>
        <v>0.93396903335449399</v>
      </c>
      <c r="S65">
        <f t="shared" si="7"/>
        <v>0.89383216105287389</v>
      </c>
    </row>
    <row r="66" spans="1:19" x14ac:dyDescent="0.3">
      <c r="A66">
        <v>39.825099999999999</v>
      </c>
      <c r="B66">
        <f t="shared" si="0"/>
        <v>27.002499999999998</v>
      </c>
      <c r="C66">
        <v>1897.3019999999999</v>
      </c>
      <c r="D66">
        <v>114.136</v>
      </c>
      <c r="E66">
        <v>117.518</v>
      </c>
      <c r="I66">
        <f t="shared" si="1"/>
        <v>0.7910866357576285</v>
      </c>
      <c r="J66">
        <f t="shared" si="2"/>
        <v>0.82989651742451132</v>
      </c>
      <c r="K66" s="3">
        <f t="shared" si="3"/>
        <v>0.85724685730375527</v>
      </c>
      <c r="L66" s="2">
        <f t="shared" si="4"/>
        <v>0.92282243908806338</v>
      </c>
      <c r="M66" s="2">
        <f t="shared" si="5"/>
        <v>0.96809514126973029</v>
      </c>
      <c r="R66">
        <f t="shared" si="6"/>
        <v>1.1117245716636079</v>
      </c>
      <c r="S66">
        <f t="shared" si="7"/>
        <v>0.83999221382312117</v>
      </c>
    </row>
    <row r="67" spans="1:19" x14ac:dyDescent="0.3">
      <c r="A67">
        <v>40.325299999999999</v>
      </c>
      <c r="B67">
        <f t="shared" ref="B67:B76" si="8">A67-$A$12</f>
        <v>27.502699999999997</v>
      </c>
      <c r="C67">
        <v>1891.127</v>
      </c>
      <c r="D67">
        <v>120.254</v>
      </c>
      <c r="E67">
        <v>120.768</v>
      </c>
      <c r="I67">
        <f t="shared" ref="I67:I76" si="9">C67/$F$2</f>
        <v>0.78851194813499215</v>
      </c>
      <c r="J67">
        <f t="shared" ref="J67:J76" si="10">D67/$G$2</f>
        <v>0.87438122771401827</v>
      </c>
      <c r="K67" s="3">
        <f t="shared" ref="K67:K76" si="11">E67/$H$2</f>
        <v>0.88095430881107506</v>
      </c>
      <c r="L67" s="2">
        <f t="shared" ref="L67:L76" si="12">I67/K67</f>
        <v>0.89506565805797356</v>
      </c>
      <c r="M67" s="2">
        <f t="shared" ref="M67:M76" si="13">J67/K67</f>
        <v>0.99253868102884046</v>
      </c>
      <c r="R67">
        <f t="shared" ref="R67:R76" si="14">(L67-$L$12)/($N$12-$L$12)</f>
        <v>1.003428645085138</v>
      </c>
      <c r="S67">
        <f t="shared" ref="S67:S76" si="15">(M67-$M$12)/($O$12-$M$12)</f>
        <v>1.0519359274853961</v>
      </c>
    </row>
    <row r="68" spans="1:19" x14ac:dyDescent="0.3">
      <c r="A68">
        <v>40.825299999999999</v>
      </c>
      <c r="B68">
        <f t="shared" si="8"/>
        <v>28.002699999999997</v>
      </c>
      <c r="C68">
        <v>1885.54</v>
      </c>
      <c r="D68">
        <v>123.169</v>
      </c>
      <c r="E68">
        <v>124.5</v>
      </c>
      <c r="I68">
        <f t="shared" si="9"/>
        <v>0.78618242914751524</v>
      </c>
      <c r="J68">
        <f t="shared" si="10"/>
        <v>0.89557654162279765</v>
      </c>
      <c r="K68" s="3">
        <f t="shared" si="11"/>
        <v>0.90817775774194198</v>
      </c>
      <c r="L68" s="2">
        <f t="shared" si="12"/>
        <v>0.86567020877305867</v>
      </c>
      <c r="M68" s="2">
        <f t="shared" si="13"/>
        <v>0.98612472502026971</v>
      </c>
      <c r="R68">
        <f t="shared" si="14"/>
        <v>0.88873928632810872</v>
      </c>
      <c r="S68">
        <f t="shared" si="15"/>
        <v>0.99632214694789045</v>
      </c>
    </row>
    <row r="69" spans="1:19" x14ac:dyDescent="0.3">
      <c r="A69">
        <v>41.325299999999999</v>
      </c>
      <c r="B69">
        <f t="shared" si="8"/>
        <v>28.502699999999997</v>
      </c>
      <c r="C69">
        <v>1914.857</v>
      </c>
      <c r="D69">
        <v>120.39</v>
      </c>
      <c r="E69">
        <v>122.929</v>
      </c>
      <c r="I69">
        <f t="shared" si="9"/>
        <v>0.79840625376821683</v>
      </c>
      <c r="J69">
        <f t="shared" si="10"/>
        <v>0.87537009999243809</v>
      </c>
      <c r="K69" s="3">
        <f t="shared" si="11"/>
        <v>0.89671794041332675</v>
      </c>
      <c r="L69" s="2">
        <f t="shared" si="12"/>
        <v>0.89036498299588518</v>
      </c>
      <c r="M69" s="2">
        <f t="shared" si="13"/>
        <v>0.97619336085653785</v>
      </c>
      <c r="R69">
        <f t="shared" si="14"/>
        <v>0.9850884794570951</v>
      </c>
      <c r="S69">
        <f t="shared" si="15"/>
        <v>0.91020981529145495</v>
      </c>
    </row>
    <row r="70" spans="1:19" x14ac:dyDescent="0.3">
      <c r="A70">
        <v>41.825299999999999</v>
      </c>
      <c r="B70">
        <f t="shared" si="8"/>
        <v>29.002699999999997</v>
      </c>
      <c r="C70">
        <v>1883.873</v>
      </c>
      <c r="D70">
        <v>121.627</v>
      </c>
      <c r="E70">
        <v>123.482</v>
      </c>
      <c r="I70">
        <f t="shared" si="9"/>
        <v>0.78548736772776873</v>
      </c>
      <c r="J70">
        <f t="shared" si="10"/>
        <v>0.88436447505424265</v>
      </c>
      <c r="K70" s="3">
        <f t="shared" si="11"/>
        <v>0.90075185446980299</v>
      </c>
      <c r="L70" s="2">
        <f t="shared" si="12"/>
        <v>0.87203524903106555</v>
      </c>
      <c r="M70" s="2">
        <f t="shared" si="13"/>
        <v>0.98180699897064749</v>
      </c>
      <c r="R70">
        <f t="shared" si="14"/>
        <v>0.91357314338461948</v>
      </c>
      <c r="S70">
        <f t="shared" si="15"/>
        <v>0.95888424300469377</v>
      </c>
    </row>
    <row r="71" spans="1:19" x14ac:dyDescent="0.3">
      <c r="A71">
        <v>42.325400000000002</v>
      </c>
      <c r="B71">
        <f t="shared" si="8"/>
        <v>29.502800000000001</v>
      </c>
      <c r="C71">
        <v>1904.6980000000001</v>
      </c>
      <c r="D71">
        <v>122.42400000000001</v>
      </c>
      <c r="E71">
        <v>122.036</v>
      </c>
      <c r="I71">
        <f t="shared" si="9"/>
        <v>0.79417042355633616</v>
      </c>
      <c r="J71">
        <f t="shared" si="10"/>
        <v>0.89015955745057107</v>
      </c>
      <c r="K71" s="3">
        <f t="shared" si="11"/>
        <v>0.8902038621991617</v>
      </c>
      <c r="L71" s="2">
        <f t="shared" si="12"/>
        <v>0.89212197034779839</v>
      </c>
      <c r="M71" s="2">
        <f t="shared" si="13"/>
        <v>0.99995023078367562</v>
      </c>
      <c r="R71">
        <f t="shared" si="14"/>
        <v>0.99194354572201338</v>
      </c>
      <c r="S71">
        <f t="shared" si="15"/>
        <v>1.1161995895618773</v>
      </c>
    </row>
    <row r="72" spans="1:19" x14ac:dyDescent="0.3">
      <c r="A72">
        <v>42.825400000000002</v>
      </c>
      <c r="B72">
        <f t="shared" si="8"/>
        <v>30.002800000000001</v>
      </c>
      <c r="C72">
        <v>1899.413</v>
      </c>
      <c r="D72">
        <v>120.03400000000001</v>
      </c>
      <c r="E72">
        <v>120.089</v>
      </c>
      <c r="I72">
        <f t="shared" si="9"/>
        <v>0.79196682451412825</v>
      </c>
      <c r="J72">
        <f t="shared" si="10"/>
        <v>0.87278158138128015</v>
      </c>
      <c r="K72" s="3">
        <f t="shared" si="11"/>
        <v>0.87600127509616121</v>
      </c>
      <c r="L72" s="2">
        <f t="shared" si="12"/>
        <v>0.90407040152674634</v>
      </c>
      <c r="M72" s="2">
        <f t="shared" si="13"/>
        <v>0.99632455590372559</v>
      </c>
      <c r="R72">
        <f t="shared" si="14"/>
        <v>1.0385615748184176</v>
      </c>
      <c r="S72">
        <f t="shared" si="15"/>
        <v>1.0847622852204619</v>
      </c>
    </row>
    <row r="73" spans="1:19" x14ac:dyDescent="0.3">
      <c r="A73">
        <v>43.325600000000001</v>
      </c>
      <c r="B73">
        <f t="shared" si="8"/>
        <v>30.503</v>
      </c>
      <c r="C73">
        <v>1913.19</v>
      </c>
      <c r="D73">
        <v>115.339</v>
      </c>
      <c r="E73">
        <v>117.5</v>
      </c>
      <c r="I73">
        <f t="shared" si="9"/>
        <v>0.79771119234847032</v>
      </c>
      <c r="J73">
        <f t="shared" si="10"/>
        <v>0.83864367441671084</v>
      </c>
      <c r="K73" s="3">
        <f t="shared" si="11"/>
        <v>0.85711555449540711</v>
      </c>
      <c r="L73" s="2">
        <f t="shared" si="12"/>
        <v>0.93069270317710107</v>
      </c>
      <c r="M73" s="2">
        <f t="shared" si="13"/>
        <v>0.97844878676881453</v>
      </c>
      <c r="R73">
        <f t="shared" si="14"/>
        <v>1.1424312137996551</v>
      </c>
      <c r="S73">
        <f t="shared" si="15"/>
        <v>0.92976603949011594</v>
      </c>
    </row>
    <row r="74" spans="1:19" x14ac:dyDescent="0.3">
      <c r="A74">
        <v>43.825000000000003</v>
      </c>
      <c r="B74">
        <f t="shared" si="8"/>
        <v>31.002400000000002</v>
      </c>
      <c r="C74">
        <v>1900.2539999999999</v>
      </c>
      <c r="D74">
        <v>116.288</v>
      </c>
      <c r="E74">
        <v>118.839</v>
      </c>
      <c r="I74">
        <f t="shared" si="9"/>
        <v>0.79231748237496014</v>
      </c>
      <c r="J74">
        <f t="shared" si="10"/>
        <v>0.84554396700656731</v>
      </c>
      <c r="K74" s="3">
        <f t="shared" si="11"/>
        <v>0.86688302451642274</v>
      </c>
      <c r="L74" s="2">
        <f t="shared" si="12"/>
        <v>0.91398430926357355</v>
      </c>
      <c r="M74" s="2">
        <f t="shared" si="13"/>
        <v>0.97538415575531767</v>
      </c>
      <c r="R74">
        <f t="shared" si="14"/>
        <v>1.0772417021433147</v>
      </c>
      <c r="S74">
        <f t="shared" si="15"/>
        <v>0.9031934037587046</v>
      </c>
    </row>
    <row r="75" spans="1:19" x14ac:dyDescent="0.3">
      <c r="A75">
        <v>44.325699999999998</v>
      </c>
      <c r="B75">
        <f t="shared" si="8"/>
        <v>31.503099999999996</v>
      </c>
      <c r="C75">
        <v>1887.1590000000001</v>
      </c>
      <c r="D75">
        <v>126.712</v>
      </c>
      <c r="E75">
        <v>125.446</v>
      </c>
      <c r="I75">
        <f t="shared" si="9"/>
        <v>0.78685747680112639</v>
      </c>
      <c r="J75">
        <f t="shared" si="10"/>
        <v>0.92133811869957494</v>
      </c>
      <c r="K75" s="3">
        <f t="shared" si="11"/>
        <v>0.91507844978068797</v>
      </c>
      <c r="L75" s="2">
        <f t="shared" si="12"/>
        <v>0.8598798026439245</v>
      </c>
      <c r="M75" s="2">
        <f t="shared" si="13"/>
        <v>1.0068405817232251</v>
      </c>
      <c r="R75">
        <f t="shared" si="14"/>
        <v>0.866147423232008</v>
      </c>
      <c r="S75">
        <f t="shared" si="15"/>
        <v>1.1759440693285681</v>
      </c>
    </row>
    <row r="76" spans="1:19" x14ac:dyDescent="0.3">
      <c r="A76">
        <v>44.825099999999999</v>
      </c>
      <c r="B76">
        <f t="shared" si="8"/>
        <v>32.002499999999998</v>
      </c>
      <c r="C76">
        <v>1901.825</v>
      </c>
      <c r="D76">
        <v>121.441</v>
      </c>
      <c r="E76">
        <v>122.232</v>
      </c>
      <c r="I76">
        <f t="shared" si="9"/>
        <v>0.79297251626243581</v>
      </c>
      <c r="J76">
        <f t="shared" si="10"/>
        <v>0.88301204679110956</v>
      </c>
      <c r="K76" s="3">
        <f t="shared" si="11"/>
        <v>0.89163360389006463</v>
      </c>
      <c r="L76" s="2">
        <f t="shared" si="12"/>
        <v>0.88934794830838004</v>
      </c>
      <c r="M76" s="2">
        <f t="shared" si="13"/>
        <v>0.990330605462445</v>
      </c>
      <c r="R76">
        <f t="shared" si="14"/>
        <v>0.98112041436603081</v>
      </c>
      <c r="S76">
        <f t="shared" si="15"/>
        <v>1.0327902660877106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45548-432D-4D1D-8779-E3372BD2A4BE}">
  <dimension ref="A1:S76"/>
  <sheetViews>
    <sheetView topLeftCell="B1" workbookViewId="0">
      <selection activeCell="N12" sqref="N12:Q12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15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2" t="s">
        <v>11</v>
      </c>
      <c r="M1" s="2" t="s">
        <v>12</v>
      </c>
      <c r="R1" t="s">
        <v>13</v>
      </c>
      <c r="S1" t="s">
        <v>14</v>
      </c>
    </row>
    <row r="2" spans="1:19" x14ac:dyDescent="0.3">
      <c r="A2">
        <v>0</v>
      </c>
      <c r="B2">
        <f t="shared" ref="B2:B33" si="0">A2-$A$12</f>
        <v>-12.8233</v>
      </c>
      <c r="C2">
        <v>2670.0320000000002</v>
      </c>
      <c r="D2">
        <v>127.96599999999999</v>
      </c>
      <c r="E2">
        <v>118.328</v>
      </c>
      <c r="F2">
        <f>AVERAGE(WS_250kDa_3!C2:C11)</f>
        <v>2613.7237999999998</v>
      </c>
      <c r="G2">
        <f>AVERAGE(D2:D11)</f>
        <v>126.47119999999998</v>
      </c>
      <c r="H2">
        <f>AVERAGE(E2:E11)</f>
        <v>121.8432</v>
      </c>
      <c r="I2">
        <f>WS_250kDa_3!C2/$F$2</f>
        <v>1.021543286249297</v>
      </c>
      <c r="J2">
        <f>D2/$G$2</f>
        <v>1.0118192916648219</v>
      </c>
      <c r="K2" s="3">
        <f t="shared" ref="K2:K65" si="1">E2/$H$2</f>
        <v>0.97114980565185427</v>
      </c>
      <c r="L2" s="2">
        <f>I2/K2</f>
        <v>1.0518905325462302</v>
      </c>
      <c r="M2" s="2">
        <f>J2/K2</f>
        <v>1.0418776647807384</v>
      </c>
      <c r="R2">
        <f>(L2-$L$12)/($N$12-$L$12)</f>
        <v>1.9669348265376145</v>
      </c>
      <c r="S2">
        <f>(M2-$M$12)/($O$12-$M$12)</f>
        <v>1.3801261256249349</v>
      </c>
    </row>
    <row r="3" spans="1:19" x14ac:dyDescent="0.3">
      <c r="A3">
        <v>0.50309999999999999</v>
      </c>
      <c r="B3">
        <f t="shared" si="0"/>
        <v>-12.3202</v>
      </c>
      <c r="C3">
        <v>2637.6030000000001</v>
      </c>
      <c r="D3">
        <v>125.08499999999999</v>
      </c>
      <c r="E3">
        <v>122.224</v>
      </c>
      <c r="I3">
        <f>WS_250kDa_3!C3/$F$2</f>
        <v>1.0091360839274603</v>
      </c>
      <c r="J3">
        <f t="shared" ref="J3:J66" si="2">D3/$G$2</f>
        <v>0.98903940185591666</v>
      </c>
      <c r="K3" s="3">
        <f t="shared" si="1"/>
        <v>1.0031253282907868</v>
      </c>
      <c r="L3" s="2">
        <f t="shared" ref="L3:L66" si="3">I3/K3</f>
        <v>1.0059920285802326</v>
      </c>
      <c r="M3" s="2">
        <f t="shared" ref="M3:M66" si="4">J3/K3</f>
        <v>0.98595795955140419</v>
      </c>
      <c r="R3">
        <f t="shared" ref="R3:R66" si="5">(L3-$L$12)/($N$12-$L$12)</f>
        <v>1.743129393235419</v>
      </c>
      <c r="S3">
        <f t="shared" ref="S3:S66" si="6">(M3-$M$12)/($O$12-$M$12)</f>
        <v>1.0031706409483143</v>
      </c>
    </row>
    <row r="4" spans="1:19" x14ac:dyDescent="0.3">
      <c r="A4">
        <v>1.0026999999999999</v>
      </c>
      <c r="B4">
        <f t="shared" si="0"/>
        <v>-11.820599999999999</v>
      </c>
      <c r="C4">
        <v>2669.7139999999999</v>
      </c>
      <c r="D4">
        <v>132.23699999999999</v>
      </c>
      <c r="E4">
        <v>119.79300000000001</v>
      </c>
      <c r="I4">
        <f>WS_250kDa_3!C4/$F$2</f>
        <v>1.0214216207542666</v>
      </c>
      <c r="J4">
        <f t="shared" si="2"/>
        <v>1.0455898259840977</v>
      </c>
      <c r="K4" s="3">
        <f t="shared" si="1"/>
        <v>0.9831734557201387</v>
      </c>
      <c r="L4" s="2">
        <f t="shared" si="3"/>
        <v>1.0389027641171542</v>
      </c>
      <c r="M4" s="2">
        <f t="shared" si="4"/>
        <v>1.0634845966404181</v>
      </c>
      <c r="R4">
        <f t="shared" si="5"/>
        <v>1.9036052430058443</v>
      </c>
      <c r="S4">
        <f t="shared" si="6"/>
        <v>1.5257787437518926</v>
      </c>
    </row>
    <row r="5" spans="1:19" x14ac:dyDescent="0.3">
      <c r="A5">
        <v>1.5028999999999999</v>
      </c>
      <c r="B5">
        <f t="shared" si="0"/>
        <v>-11.320399999999999</v>
      </c>
      <c r="C5">
        <v>2631.2060000000001</v>
      </c>
      <c r="D5">
        <v>127.627</v>
      </c>
      <c r="E5">
        <v>122.96599999999999</v>
      </c>
      <c r="I5">
        <f>WS_250kDa_3!C5/$F$2</f>
        <v>1.0066886179786863</v>
      </c>
      <c r="J5">
        <f t="shared" si="2"/>
        <v>1.0091388395144509</v>
      </c>
      <c r="K5" s="3">
        <f t="shared" si="1"/>
        <v>1.0092151223868053</v>
      </c>
      <c r="L5" s="2">
        <f t="shared" si="3"/>
        <v>0.99749656505132045</v>
      </c>
      <c r="M5" s="2">
        <f t="shared" si="4"/>
        <v>0.99992441366497364</v>
      </c>
      <c r="R5">
        <f t="shared" si="5"/>
        <v>1.7017047119952697</v>
      </c>
      <c r="S5">
        <f t="shared" si="6"/>
        <v>1.0973186958781997</v>
      </c>
    </row>
    <row r="6" spans="1:19" x14ac:dyDescent="0.3">
      <c r="A6">
        <v>2.0024999999999999</v>
      </c>
      <c r="B6">
        <f t="shared" si="0"/>
        <v>-10.8208</v>
      </c>
      <c r="C6">
        <v>2630.413</v>
      </c>
      <c r="D6">
        <v>122.831</v>
      </c>
      <c r="E6">
        <v>117.89700000000001</v>
      </c>
      <c r="I6">
        <f>WS_250kDa_3!C6/$F$2</f>
        <v>1.0063852194329026</v>
      </c>
      <c r="J6">
        <f t="shared" si="2"/>
        <v>0.97121716248442347</v>
      </c>
      <c r="K6" s="3">
        <f t="shared" si="1"/>
        <v>0.96761247242357395</v>
      </c>
      <c r="L6" s="2">
        <f t="shared" si="3"/>
        <v>1.0400705324851949</v>
      </c>
      <c r="M6" s="2">
        <f t="shared" si="4"/>
        <v>1.0037253447672299</v>
      </c>
      <c r="R6">
        <f t="shared" si="5"/>
        <v>1.9092993916822274</v>
      </c>
      <c r="S6">
        <f t="shared" si="6"/>
        <v>1.1229408235342273</v>
      </c>
    </row>
    <row r="7" spans="1:19" x14ac:dyDescent="0.3">
      <c r="A7">
        <v>2.5026999999999999</v>
      </c>
      <c r="B7">
        <f t="shared" si="0"/>
        <v>-10.320599999999999</v>
      </c>
      <c r="C7">
        <v>2603.444</v>
      </c>
      <c r="D7">
        <v>127.458</v>
      </c>
      <c r="E7">
        <v>122.259</v>
      </c>
      <c r="I7">
        <f>WS_250kDa_3!C7/$F$2</f>
        <v>0.99606699070498583</v>
      </c>
      <c r="J7">
        <f t="shared" si="2"/>
        <v>1.0078025669085138</v>
      </c>
      <c r="K7" s="3">
        <f t="shared" si="1"/>
        <v>1.0034125827292784</v>
      </c>
      <c r="L7" s="2">
        <f t="shared" si="3"/>
        <v>0.99267939016240703</v>
      </c>
      <c r="M7" s="2">
        <f t="shared" si="4"/>
        <v>1.0043750539457006</v>
      </c>
      <c r="R7">
        <f t="shared" si="5"/>
        <v>1.6782157130051412</v>
      </c>
      <c r="S7">
        <f t="shared" si="6"/>
        <v>1.1273205218403051</v>
      </c>
    </row>
    <row r="8" spans="1:19" x14ac:dyDescent="0.3">
      <c r="A8">
        <v>3.0026999999999999</v>
      </c>
      <c r="B8">
        <f t="shared" si="0"/>
        <v>-9.8205999999999989</v>
      </c>
      <c r="C8">
        <v>2580.3809999999999</v>
      </c>
      <c r="D8">
        <v>125.03400000000001</v>
      </c>
      <c r="E8">
        <v>119.879</v>
      </c>
      <c r="I8">
        <f>WS_250kDa_3!C8/$F$2</f>
        <v>0.98724318154810398</v>
      </c>
      <c r="J8">
        <f t="shared" si="2"/>
        <v>0.98863614799258659</v>
      </c>
      <c r="K8" s="3">
        <f t="shared" si="1"/>
        <v>0.98387928091186061</v>
      </c>
      <c r="L8" s="2">
        <f t="shared" si="3"/>
        <v>1.0034190176594895</v>
      </c>
      <c r="M8" s="2">
        <f t="shared" si="4"/>
        <v>1.0048348076568066</v>
      </c>
      <c r="R8">
        <f t="shared" si="5"/>
        <v>1.7305831493657975</v>
      </c>
      <c r="S8">
        <f t="shared" si="6"/>
        <v>1.1304197277873154</v>
      </c>
    </row>
    <row r="9" spans="1:19" x14ac:dyDescent="0.3">
      <c r="A9">
        <v>3.5028000000000001</v>
      </c>
      <c r="B9">
        <f t="shared" si="0"/>
        <v>-9.3204999999999991</v>
      </c>
      <c r="C9">
        <v>2604.0479999999998</v>
      </c>
      <c r="D9">
        <v>126.61</v>
      </c>
      <c r="E9">
        <v>124.655</v>
      </c>
      <c r="I9">
        <f>WS_250kDa_3!C9/$F$2</f>
        <v>0.99629807862636444</v>
      </c>
      <c r="J9">
        <f t="shared" si="2"/>
        <v>1.0010974830633379</v>
      </c>
      <c r="K9" s="3">
        <f t="shared" si="1"/>
        <v>1.0230772008614351</v>
      </c>
      <c r="L9" s="2">
        <f t="shared" si="3"/>
        <v>0.97382492522311859</v>
      </c>
      <c r="M9" s="2">
        <f t="shared" si="4"/>
        <v>0.97851607114341899</v>
      </c>
      <c r="R9">
        <f t="shared" si="5"/>
        <v>1.5862795640939578</v>
      </c>
      <c r="S9">
        <f t="shared" si="6"/>
        <v>0.95300477114916871</v>
      </c>
    </row>
    <row r="10" spans="1:19" x14ac:dyDescent="0.3">
      <c r="A10">
        <v>4.0027999999999997</v>
      </c>
      <c r="B10">
        <f t="shared" si="0"/>
        <v>-8.8204999999999991</v>
      </c>
      <c r="C10">
        <v>2576.7460000000001</v>
      </c>
      <c r="D10">
        <v>124.96599999999999</v>
      </c>
      <c r="E10">
        <v>123.36199999999999</v>
      </c>
      <c r="I10">
        <f>WS_250kDa_3!C10/$F$2</f>
        <v>0.98585244546497242</v>
      </c>
      <c r="J10">
        <f t="shared" si="2"/>
        <v>0.98809847617481306</v>
      </c>
      <c r="K10" s="3">
        <f t="shared" si="1"/>
        <v>1.0124652011765942</v>
      </c>
      <c r="L10" s="2">
        <f t="shared" si="3"/>
        <v>0.97371489342972495</v>
      </c>
      <c r="M10" s="2">
        <f t="shared" si="4"/>
        <v>0.97593327160927168</v>
      </c>
      <c r="R10">
        <f t="shared" si="5"/>
        <v>1.5857430386940072</v>
      </c>
      <c r="S10">
        <f t="shared" si="6"/>
        <v>0.93559408476904238</v>
      </c>
    </row>
    <row r="11" spans="1:19" x14ac:dyDescent="0.3">
      <c r="A11">
        <v>4.5027999999999997</v>
      </c>
      <c r="B11">
        <f t="shared" si="0"/>
        <v>-8.3204999999999991</v>
      </c>
      <c r="C11">
        <v>2533.6509999999998</v>
      </c>
      <c r="D11">
        <v>124.898</v>
      </c>
      <c r="E11">
        <v>127.069</v>
      </c>
      <c r="I11">
        <f>WS_250kDa_3!C11/$F$2</f>
        <v>0.96936447531296155</v>
      </c>
      <c r="J11">
        <f t="shared" si="2"/>
        <v>0.98756080435703952</v>
      </c>
      <c r="K11" s="3">
        <f t="shared" si="1"/>
        <v>1.0428895498476731</v>
      </c>
      <c r="L11" s="2">
        <f t="shared" si="3"/>
        <v>0.92949869471273272</v>
      </c>
      <c r="M11" s="2">
        <f t="shared" si="4"/>
        <v>0.94694668721273978</v>
      </c>
      <c r="R11">
        <f t="shared" si="5"/>
        <v>1.3701406844176365</v>
      </c>
      <c r="S11">
        <f t="shared" si="6"/>
        <v>0.74019512968687984</v>
      </c>
    </row>
    <row r="12" spans="1:19" x14ac:dyDescent="0.3">
      <c r="A12" s="4">
        <v>12.8233</v>
      </c>
      <c r="B12" s="4">
        <f t="shared" si="0"/>
        <v>0</v>
      </c>
      <c r="C12" s="4">
        <v>1630.2860000000001</v>
      </c>
      <c r="D12" s="4">
        <v>101.831</v>
      </c>
      <c r="E12" s="4">
        <v>117.19</v>
      </c>
      <c r="F12" s="4"/>
      <c r="G12" s="4"/>
      <c r="H12" s="4"/>
      <c r="I12" s="4">
        <f>WS_250kDa_3!C12/$F$2</f>
        <v>0.62374073343174219</v>
      </c>
      <c r="J12" s="4">
        <f t="shared" si="2"/>
        <v>0.80517145405436197</v>
      </c>
      <c r="K12" s="4">
        <f t="shared" si="1"/>
        <v>0.96180993276604687</v>
      </c>
      <c r="L12" s="4">
        <f t="shared" si="3"/>
        <v>0.64850726966183503</v>
      </c>
      <c r="M12" s="4">
        <f t="shared" si="4"/>
        <v>0.83714196186224454</v>
      </c>
      <c r="N12" s="4">
        <f>AVERAGE(L66:L76)</f>
        <v>0.85358943987002067</v>
      </c>
      <c r="O12" s="4">
        <f>AVERAGE(M66:M76)</f>
        <v>0.98548760876881802</v>
      </c>
      <c r="P12" s="5">
        <f>(N12-L12)/(1-L12)</f>
        <v>0.58346063092366007</v>
      </c>
      <c r="Q12" s="5">
        <f>(O12-M12)/(1-M12)</f>
        <v>0.91088931564491471</v>
      </c>
      <c r="R12">
        <f t="shared" si="5"/>
        <v>0</v>
      </c>
      <c r="S12">
        <f t="shared" si="6"/>
        <v>0</v>
      </c>
    </row>
    <row r="13" spans="1:19" x14ac:dyDescent="0.3">
      <c r="A13">
        <v>13.3261</v>
      </c>
      <c r="B13">
        <f t="shared" si="0"/>
        <v>0.50280000000000058</v>
      </c>
      <c r="C13">
        <v>1690</v>
      </c>
      <c r="D13">
        <v>100.898</v>
      </c>
      <c r="E13">
        <v>114.20699999999999</v>
      </c>
      <c r="I13">
        <f>WS_250kDa_3!C13/$F$2</f>
        <v>0.6465870647847336</v>
      </c>
      <c r="J13">
        <f t="shared" si="2"/>
        <v>0.79779428043696909</v>
      </c>
      <c r="K13" s="3">
        <f t="shared" si="1"/>
        <v>0.9373276473369051</v>
      </c>
      <c r="L13" s="2">
        <f t="shared" si="3"/>
        <v>0.68981968751459422</v>
      </c>
      <c r="M13" s="2">
        <f t="shared" si="4"/>
        <v>0.85113704125086653</v>
      </c>
      <c r="R13">
        <f t="shared" si="5"/>
        <v>0.20144324497259608</v>
      </c>
      <c r="S13">
        <f t="shared" si="6"/>
        <v>9.4341018293822548E-2</v>
      </c>
    </row>
    <row r="14" spans="1:19" x14ac:dyDescent="0.3">
      <c r="A14">
        <v>13.8263</v>
      </c>
      <c r="B14">
        <f t="shared" si="0"/>
        <v>1.0030000000000001</v>
      </c>
      <c r="C14">
        <v>1724.2539999999999</v>
      </c>
      <c r="D14">
        <v>105.15300000000001</v>
      </c>
      <c r="E14">
        <v>114.36199999999999</v>
      </c>
      <c r="I14">
        <f>WS_250kDa_3!C14/$F$2</f>
        <v>0.65969250461735862</v>
      </c>
      <c r="J14">
        <f t="shared" si="2"/>
        <v>0.83143830374029837</v>
      </c>
      <c r="K14" s="3">
        <f t="shared" si="1"/>
        <v>0.93859977413593865</v>
      </c>
      <c r="L14" s="2">
        <f t="shared" si="3"/>
        <v>0.70284749985654105</v>
      </c>
      <c r="M14" s="2">
        <f t="shared" si="4"/>
        <v>0.88582836545609489</v>
      </c>
      <c r="R14">
        <f t="shared" si="5"/>
        <v>0.26496808639943426</v>
      </c>
      <c r="S14">
        <f t="shared" si="6"/>
        <v>0.32819570111492741</v>
      </c>
    </row>
    <row r="15" spans="1:19" x14ac:dyDescent="0.3">
      <c r="A15">
        <v>14.325900000000001</v>
      </c>
      <c r="B15">
        <f t="shared" si="0"/>
        <v>1.502600000000001</v>
      </c>
      <c r="C15">
        <v>1742.4760000000001</v>
      </c>
      <c r="D15">
        <v>106.35599999999999</v>
      </c>
      <c r="E15">
        <v>114.914</v>
      </c>
      <c r="I15">
        <f>WS_250kDa_3!C15/$F$2</f>
        <v>0.66666416704014408</v>
      </c>
      <c r="J15">
        <f t="shared" si="2"/>
        <v>0.84095035075179181</v>
      </c>
      <c r="K15" s="3">
        <f t="shared" si="1"/>
        <v>0.94313018699443218</v>
      </c>
      <c r="L15" s="2">
        <f t="shared" si="3"/>
        <v>0.7068633537907103</v>
      </c>
      <c r="M15" s="2">
        <f t="shared" si="4"/>
        <v>0.89165882117688633</v>
      </c>
      <c r="R15">
        <f t="shared" si="5"/>
        <v>0.28454976885428945</v>
      </c>
      <c r="S15">
        <f t="shared" si="6"/>
        <v>0.36749888150729443</v>
      </c>
    </row>
    <row r="16" spans="1:19" x14ac:dyDescent="0.3">
      <c r="A16">
        <v>14.8261</v>
      </c>
      <c r="B16">
        <f t="shared" si="0"/>
        <v>2.0028000000000006</v>
      </c>
      <c r="C16">
        <v>1779.222</v>
      </c>
      <c r="D16">
        <v>108.169</v>
      </c>
      <c r="E16">
        <v>114.86199999999999</v>
      </c>
      <c r="I16">
        <f>WS_250kDa_3!C16/$F$2</f>
        <v>0.68072303584640437</v>
      </c>
      <c r="J16">
        <f t="shared" si="2"/>
        <v>0.85528563024625381</v>
      </c>
      <c r="K16" s="3">
        <f t="shared" si="1"/>
        <v>0.9427034089715306</v>
      </c>
      <c r="L16" s="2">
        <f t="shared" si="3"/>
        <v>0.72209671607007209</v>
      </c>
      <c r="M16" s="2">
        <f t="shared" si="4"/>
        <v>0.90726905419738779</v>
      </c>
      <c r="R16">
        <f t="shared" si="5"/>
        <v>0.35882907974659128</v>
      </c>
      <c r="S16">
        <f t="shared" si="6"/>
        <v>0.4727276721460425</v>
      </c>
    </row>
    <row r="17" spans="1:19" x14ac:dyDescent="0.3">
      <c r="A17">
        <v>15.325699999999999</v>
      </c>
      <c r="B17" s="8">
        <f t="shared" si="0"/>
        <v>2.5023999999999997</v>
      </c>
      <c r="C17">
        <v>1818.7460000000001</v>
      </c>
      <c r="D17">
        <v>110.39</v>
      </c>
      <c r="E17">
        <v>116.872</v>
      </c>
      <c r="I17">
        <f>WS_250kDa_3!C17/$F$2</f>
        <v>0.69584475605264806</v>
      </c>
      <c r="J17">
        <f t="shared" si="2"/>
        <v>0.87284694064735702</v>
      </c>
      <c r="K17" s="3">
        <f t="shared" si="1"/>
        <v>0.95920002101061042</v>
      </c>
      <c r="L17" s="2">
        <f t="shared" si="3"/>
        <v>0.72544280735055444</v>
      </c>
      <c r="M17" s="2">
        <f t="shared" si="4"/>
        <v>0.90997385480426485</v>
      </c>
      <c r="R17" s="7">
        <f t="shared" si="5"/>
        <v>0.37514493634731688</v>
      </c>
      <c r="S17">
        <f t="shared" si="6"/>
        <v>0.49096076939749406</v>
      </c>
    </row>
    <row r="18" spans="1:19" x14ac:dyDescent="0.3">
      <c r="A18">
        <v>15.826499999999999</v>
      </c>
      <c r="B18">
        <f t="shared" si="0"/>
        <v>3.0031999999999996</v>
      </c>
      <c r="C18">
        <v>1839.857</v>
      </c>
      <c r="D18">
        <v>109.864</v>
      </c>
      <c r="E18">
        <v>116.21</v>
      </c>
      <c r="I18">
        <f>WS_250kDa_3!C18/$F$2</f>
        <v>0.70392173801990865</v>
      </c>
      <c r="J18">
        <f t="shared" si="2"/>
        <v>0.86868789099810884</v>
      </c>
      <c r="K18" s="3">
        <f t="shared" si="1"/>
        <v>0.95376680848828654</v>
      </c>
      <c r="L18" s="2">
        <f t="shared" si="3"/>
        <v>0.7380438611987552</v>
      </c>
      <c r="M18" s="2">
        <f t="shared" si="4"/>
        <v>0.91079694037054282</v>
      </c>
      <c r="R18">
        <f t="shared" si="5"/>
        <v>0.43658886311778661</v>
      </c>
      <c r="S18">
        <f t="shared" si="6"/>
        <v>0.49650920026447021</v>
      </c>
    </row>
    <row r="19" spans="1:19" x14ac:dyDescent="0.3">
      <c r="A19">
        <v>16.325900000000001</v>
      </c>
      <c r="B19" s="6">
        <f t="shared" si="0"/>
        <v>3.502600000000001</v>
      </c>
      <c r="C19">
        <v>1858.0160000000001</v>
      </c>
      <c r="D19">
        <v>108.23699999999999</v>
      </c>
      <c r="E19">
        <v>114</v>
      </c>
      <c r="I19">
        <f>WS_250kDa_3!C19/$F$2</f>
        <v>0.7108692969012258</v>
      </c>
      <c r="J19">
        <f t="shared" si="2"/>
        <v>0.85582330206402735</v>
      </c>
      <c r="K19" s="3">
        <f t="shared" si="1"/>
        <v>0.93562874251497008</v>
      </c>
      <c r="L19" s="2">
        <f t="shared" si="3"/>
        <v>0.75977710452803016</v>
      </c>
      <c r="M19" s="2">
        <f t="shared" si="4"/>
        <v>0.91470394524603238</v>
      </c>
      <c r="R19">
        <f t="shared" si="5"/>
        <v>0.54256220691072976</v>
      </c>
      <c r="S19" s="7">
        <f t="shared" si="6"/>
        <v>0.52284637265180789</v>
      </c>
    </row>
    <row r="20" spans="1:19" x14ac:dyDescent="0.3">
      <c r="A20">
        <v>16.826000000000001</v>
      </c>
      <c r="B20">
        <f t="shared" si="0"/>
        <v>4.0027000000000008</v>
      </c>
      <c r="C20">
        <v>1852.9839999999999</v>
      </c>
      <c r="D20">
        <v>110.35599999999999</v>
      </c>
      <c r="E20">
        <v>114.655</v>
      </c>
      <c r="I20">
        <f>WS_250kDa_3!C20/$F$2</f>
        <v>0.70894407435093187</v>
      </c>
      <c r="J20">
        <f t="shared" si="2"/>
        <v>0.87257810473847019</v>
      </c>
      <c r="K20" s="3">
        <f t="shared" si="1"/>
        <v>0.94100450414959558</v>
      </c>
      <c r="L20" s="2">
        <f t="shared" si="3"/>
        <v>0.75339073428943748</v>
      </c>
      <c r="M20" s="2">
        <f t="shared" si="4"/>
        <v>0.92728366430831943</v>
      </c>
      <c r="R20">
        <f t="shared" si="5"/>
        <v>0.51142166342950146</v>
      </c>
      <c r="S20">
        <f t="shared" si="6"/>
        <v>0.60764642795919166</v>
      </c>
    </row>
    <row r="21" spans="1:19" x14ac:dyDescent="0.3">
      <c r="A21">
        <v>17.326000000000001</v>
      </c>
      <c r="B21">
        <f t="shared" si="0"/>
        <v>4.5027000000000008</v>
      </c>
      <c r="C21">
        <v>1848.175</v>
      </c>
      <c r="D21">
        <v>113.254</v>
      </c>
      <c r="E21">
        <v>114.10299999999999</v>
      </c>
      <c r="I21">
        <f>WS_250kDa_3!C21/$F$2</f>
        <v>0.70710417068551779</v>
      </c>
      <c r="J21">
        <f t="shared" si="2"/>
        <v>0.89549241250181877</v>
      </c>
      <c r="K21" s="3">
        <f t="shared" si="1"/>
        <v>0.93647409129110204</v>
      </c>
      <c r="L21" s="2">
        <f t="shared" si="3"/>
        <v>0.75507072460557279</v>
      </c>
      <c r="M21" s="2">
        <f t="shared" si="4"/>
        <v>0.95623832077107174</v>
      </c>
      <c r="R21">
        <f t="shared" si="5"/>
        <v>0.51961345462436692</v>
      </c>
      <c r="S21">
        <f t="shared" si="6"/>
        <v>0.80283015641054045</v>
      </c>
    </row>
    <row r="22" spans="1:19" x14ac:dyDescent="0.3">
      <c r="A22">
        <v>17.826000000000001</v>
      </c>
      <c r="B22">
        <f t="shared" si="0"/>
        <v>5.0027000000000008</v>
      </c>
      <c r="C22">
        <v>1880.048</v>
      </c>
      <c r="D22">
        <v>110.76300000000001</v>
      </c>
      <c r="E22">
        <v>117.29300000000001</v>
      </c>
      <c r="I22">
        <f>WS_250kDa_3!C22/$F$2</f>
        <v>0.71929864968899937</v>
      </c>
      <c r="J22">
        <f t="shared" si="2"/>
        <v>0.87579622870661478</v>
      </c>
      <c r="K22" s="3">
        <f t="shared" si="1"/>
        <v>0.96265528154217883</v>
      </c>
      <c r="L22" s="2">
        <f t="shared" si="3"/>
        <v>0.74720272508834018</v>
      </c>
      <c r="M22" s="2">
        <f t="shared" si="4"/>
        <v>0.90977138493811061</v>
      </c>
      <c r="R22">
        <f t="shared" si="5"/>
        <v>0.48124834707140146</v>
      </c>
      <c r="S22">
        <f t="shared" si="6"/>
        <v>0.48959591730795649</v>
      </c>
    </row>
    <row r="23" spans="1:19" x14ac:dyDescent="0.3">
      <c r="A23">
        <v>18.326000000000001</v>
      </c>
      <c r="B23">
        <f t="shared" si="0"/>
        <v>5.5027000000000008</v>
      </c>
      <c r="C23">
        <v>1901.9680000000001</v>
      </c>
      <c r="D23">
        <v>108.492</v>
      </c>
      <c r="E23">
        <v>114.79300000000001</v>
      </c>
      <c r="I23">
        <f>WS_250kDa_3!C23/$F$2</f>
        <v>0.72768515173638482</v>
      </c>
      <c r="J23">
        <f t="shared" si="2"/>
        <v>0.85783957138067812</v>
      </c>
      <c r="K23" s="3">
        <f t="shared" si="1"/>
        <v>0.94213710736421896</v>
      </c>
      <c r="L23" s="2">
        <f t="shared" si="3"/>
        <v>0.77237712648024426</v>
      </c>
      <c r="M23" s="2">
        <f t="shared" si="4"/>
        <v>0.91052519285714495</v>
      </c>
      <c r="R23">
        <f t="shared" si="5"/>
        <v>0.60400110205906676</v>
      </c>
      <c r="S23">
        <f t="shared" si="6"/>
        <v>0.49467734662356749</v>
      </c>
    </row>
    <row r="24" spans="1:19" x14ac:dyDescent="0.3">
      <c r="A24">
        <v>18.8261</v>
      </c>
      <c r="B24">
        <f t="shared" si="0"/>
        <v>6.0028000000000006</v>
      </c>
      <c r="C24">
        <v>1875.0630000000001</v>
      </c>
      <c r="D24">
        <v>107.322</v>
      </c>
      <c r="E24">
        <v>110.828</v>
      </c>
      <c r="I24">
        <f>WS_250kDa_3!C24/$F$2</f>
        <v>0.71739140914583255</v>
      </c>
      <c r="J24">
        <f t="shared" si="2"/>
        <v>0.84858845333957467</v>
      </c>
      <c r="K24" s="3">
        <f t="shared" si="1"/>
        <v>0.90959528311797466</v>
      </c>
      <c r="L24" s="2">
        <f t="shared" si="3"/>
        <v>0.78869297418375772</v>
      </c>
      <c r="M24" s="2">
        <f t="shared" si="4"/>
        <v>0.93292969861356745</v>
      </c>
      <c r="R24">
        <f t="shared" si="5"/>
        <v>0.68355871395165935</v>
      </c>
      <c r="S24">
        <f t="shared" si="6"/>
        <v>0.64570642111021304</v>
      </c>
    </row>
    <row r="25" spans="1:19" x14ac:dyDescent="0.3">
      <c r="A25">
        <v>19.3261</v>
      </c>
      <c r="B25">
        <f t="shared" si="0"/>
        <v>6.5028000000000006</v>
      </c>
      <c r="C25">
        <v>1912.8889999999999</v>
      </c>
      <c r="D25">
        <v>110.542</v>
      </c>
      <c r="E25">
        <v>110.586</v>
      </c>
      <c r="I25">
        <f>WS_250kDa_3!C25/$F$2</f>
        <v>0.73186348152012082</v>
      </c>
      <c r="J25">
        <f t="shared" si="2"/>
        <v>0.87404879529885082</v>
      </c>
      <c r="K25" s="3">
        <f t="shared" si="1"/>
        <v>0.90760912385754811</v>
      </c>
      <c r="L25" s="2">
        <f t="shared" si="3"/>
        <v>0.80636417405053429</v>
      </c>
      <c r="M25" s="2">
        <f t="shared" si="4"/>
        <v>0.96302336801545341</v>
      </c>
      <c r="R25">
        <f t="shared" si="5"/>
        <v>0.76972515079420867</v>
      </c>
      <c r="S25">
        <f t="shared" si="6"/>
        <v>0.84856825109595324</v>
      </c>
    </row>
    <row r="26" spans="1:19" x14ac:dyDescent="0.3">
      <c r="A26">
        <v>19.8261</v>
      </c>
      <c r="B26">
        <f t="shared" si="0"/>
        <v>7.0028000000000006</v>
      </c>
      <c r="C26">
        <v>1936.2539999999999</v>
      </c>
      <c r="D26">
        <v>110.15300000000001</v>
      </c>
      <c r="E26">
        <v>112.655</v>
      </c>
      <c r="I26">
        <f>WS_250kDa_3!C26/$F$2</f>
        <v>0.74080283463769203</v>
      </c>
      <c r="J26">
        <f t="shared" si="2"/>
        <v>0.87097299622364632</v>
      </c>
      <c r="K26" s="3">
        <f t="shared" si="1"/>
        <v>0.92458996480722766</v>
      </c>
      <c r="L26" s="2">
        <f t="shared" si="3"/>
        <v>0.80122309654544621</v>
      </c>
      <c r="M26" s="2">
        <f t="shared" si="4"/>
        <v>0.94201000375906074</v>
      </c>
      <c r="R26">
        <f t="shared" si="5"/>
        <v>0.74465677210546555</v>
      </c>
      <c r="S26">
        <f t="shared" si="6"/>
        <v>0.70691688016205145</v>
      </c>
    </row>
    <row r="27" spans="1:19" x14ac:dyDescent="0.3">
      <c r="A27">
        <v>20.3261</v>
      </c>
      <c r="B27">
        <f t="shared" si="0"/>
        <v>7.5028000000000006</v>
      </c>
      <c r="C27">
        <v>1925.048</v>
      </c>
      <c r="D27">
        <v>109.441</v>
      </c>
      <c r="E27">
        <v>110.828</v>
      </c>
      <c r="I27">
        <f>WS_250kDa_3!C27/$F$2</f>
        <v>0.73651546502350407</v>
      </c>
      <c r="J27">
        <f t="shared" si="2"/>
        <v>0.86534325601401751</v>
      </c>
      <c r="K27" s="3">
        <f t="shared" si="1"/>
        <v>0.90959528311797466</v>
      </c>
      <c r="L27" s="2">
        <f t="shared" si="3"/>
        <v>0.80971777085169638</v>
      </c>
      <c r="M27" s="2">
        <f t="shared" si="4"/>
        <v>0.9513497618938096</v>
      </c>
      <c r="R27">
        <f t="shared" si="5"/>
        <v>0.78607760502149593</v>
      </c>
      <c r="S27">
        <f t="shared" si="6"/>
        <v>0.76987631530227452</v>
      </c>
    </row>
    <row r="28" spans="1:19" x14ac:dyDescent="0.3">
      <c r="A28">
        <v>20.8262</v>
      </c>
      <c r="B28">
        <f t="shared" si="0"/>
        <v>8.0029000000000003</v>
      </c>
      <c r="C28">
        <v>1926.683</v>
      </c>
      <c r="D28">
        <v>109.441</v>
      </c>
      <c r="E28">
        <v>110.345</v>
      </c>
      <c r="I28">
        <f>WS_250kDa_3!C28/$F$2</f>
        <v>0.73714100931399107</v>
      </c>
      <c r="J28">
        <f t="shared" si="2"/>
        <v>0.86534325601401751</v>
      </c>
      <c r="K28" s="3">
        <f t="shared" si="1"/>
        <v>0.90563117186679276</v>
      </c>
      <c r="L28" s="2">
        <f t="shared" si="3"/>
        <v>0.81395277924732856</v>
      </c>
      <c r="M28" s="2">
        <f t="shared" si="4"/>
        <v>0.95551399167309015</v>
      </c>
      <c r="R28">
        <f t="shared" si="5"/>
        <v>0.80672790529544502</v>
      </c>
      <c r="S28">
        <f t="shared" si="6"/>
        <v>0.79794744422392827</v>
      </c>
    </row>
    <row r="29" spans="1:19" x14ac:dyDescent="0.3">
      <c r="A29">
        <v>21.325800000000001</v>
      </c>
      <c r="B29">
        <f t="shared" si="0"/>
        <v>8.5025000000000013</v>
      </c>
      <c r="C29">
        <v>1921.127</v>
      </c>
      <c r="D29">
        <v>111.102</v>
      </c>
      <c r="E29">
        <v>110.89700000000001</v>
      </c>
      <c r="I29">
        <f>WS_250kDa_3!C29/$F$2</f>
        <v>0.73501530651402425</v>
      </c>
      <c r="J29">
        <f t="shared" si="2"/>
        <v>0.87847668085698583</v>
      </c>
      <c r="K29" s="3">
        <f t="shared" si="1"/>
        <v>0.9101615847252863</v>
      </c>
      <c r="L29" s="2">
        <f t="shared" si="3"/>
        <v>0.80756573211763671</v>
      </c>
      <c r="M29" s="2">
        <f t="shared" si="4"/>
        <v>0.96518760580533192</v>
      </c>
      <c r="R29">
        <f t="shared" si="5"/>
        <v>0.77558406122939028</v>
      </c>
      <c r="S29">
        <f t="shared" si="6"/>
        <v>0.86315740713125988</v>
      </c>
    </row>
    <row r="30" spans="1:19" x14ac:dyDescent="0.3">
      <c r="A30">
        <v>21.826000000000001</v>
      </c>
      <c r="B30">
        <f t="shared" si="0"/>
        <v>9.0027000000000008</v>
      </c>
      <c r="C30">
        <v>1948.778</v>
      </c>
      <c r="D30">
        <v>108.52500000000001</v>
      </c>
      <c r="E30">
        <v>110.621</v>
      </c>
      <c r="I30">
        <f>WS_250kDa_3!C30/$F$2</f>
        <v>0.74559446564323295</v>
      </c>
      <c r="J30">
        <f t="shared" si="2"/>
        <v>0.85810050035106822</v>
      </c>
      <c r="K30" s="3">
        <f t="shared" si="1"/>
        <v>0.90789637829603953</v>
      </c>
      <c r="L30" s="2">
        <f t="shared" si="3"/>
        <v>0.82123299912549663</v>
      </c>
      <c r="M30" s="2">
        <f t="shared" si="4"/>
        <v>0.94515246548463017</v>
      </c>
      <c r="R30">
        <f t="shared" si="5"/>
        <v>0.84222694390410457</v>
      </c>
      <c r="S30">
        <f t="shared" si="6"/>
        <v>0.7281002568980639</v>
      </c>
    </row>
    <row r="31" spans="1:19" x14ac:dyDescent="0.3">
      <c r="A31">
        <v>22.326000000000001</v>
      </c>
      <c r="B31">
        <f t="shared" si="0"/>
        <v>9.5027000000000008</v>
      </c>
      <c r="C31">
        <v>1950.127</v>
      </c>
      <c r="D31">
        <v>109.051</v>
      </c>
      <c r="E31">
        <v>110.724</v>
      </c>
      <c r="I31">
        <f>WS_250kDa_3!C31/$F$2</f>
        <v>0.74611058750737169</v>
      </c>
      <c r="J31">
        <f t="shared" si="2"/>
        <v>0.8622595500003164</v>
      </c>
      <c r="K31" s="3">
        <f t="shared" si="1"/>
        <v>0.90874172707217149</v>
      </c>
      <c r="L31" s="2">
        <f t="shared" si="3"/>
        <v>0.82103700675353297</v>
      </c>
      <c r="M31" s="2">
        <f t="shared" si="4"/>
        <v>0.94884995847872677</v>
      </c>
      <c r="R31">
        <f t="shared" si="5"/>
        <v>0.84127126661746043</v>
      </c>
      <c r="S31">
        <f t="shared" si="6"/>
        <v>0.75302510687647439</v>
      </c>
    </row>
    <row r="32" spans="1:19" x14ac:dyDescent="0.3">
      <c r="A32">
        <v>22.826000000000001</v>
      </c>
      <c r="B32">
        <f t="shared" si="0"/>
        <v>10.002700000000001</v>
      </c>
      <c r="C32">
        <v>1961.492</v>
      </c>
      <c r="D32">
        <v>108</v>
      </c>
      <c r="E32">
        <v>110.96599999999999</v>
      </c>
      <c r="I32">
        <f>WS_250kDa_3!C32/$F$2</f>
        <v>0.75045878986907499</v>
      </c>
      <c r="J32">
        <f t="shared" si="2"/>
        <v>0.85394935764031665</v>
      </c>
      <c r="K32" s="3">
        <f t="shared" si="1"/>
        <v>0.91072788633259794</v>
      </c>
      <c r="L32" s="2">
        <f t="shared" si="3"/>
        <v>0.824020875094855</v>
      </c>
      <c r="M32" s="2">
        <f t="shared" si="4"/>
        <v>0.93765587993476052</v>
      </c>
      <c r="R32">
        <f t="shared" si="5"/>
        <v>0.8558208900113079</v>
      </c>
      <c r="S32">
        <f t="shared" si="6"/>
        <v>0.67756567293018433</v>
      </c>
    </row>
    <row r="33" spans="1:19" x14ac:dyDescent="0.3">
      <c r="A33">
        <v>23.326000000000001</v>
      </c>
      <c r="B33">
        <f t="shared" si="0"/>
        <v>10.502700000000001</v>
      </c>
      <c r="C33">
        <v>1944.19</v>
      </c>
      <c r="D33">
        <v>106.627</v>
      </c>
      <c r="E33">
        <v>110.19</v>
      </c>
      <c r="I33">
        <f>WS_250kDa_3!C33/$F$2</f>
        <v>0.7438391156709061</v>
      </c>
      <c r="J33">
        <f t="shared" si="2"/>
        <v>0.84309313108438921</v>
      </c>
      <c r="K33" s="3">
        <f t="shared" si="1"/>
        <v>0.90435904506775922</v>
      </c>
      <c r="L33" s="2">
        <f t="shared" si="3"/>
        <v>0.8225042030902382</v>
      </c>
      <c r="M33" s="2">
        <f t="shared" si="4"/>
        <v>0.93225487784137806</v>
      </c>
      <c r="R33">
        <f t="shared" si="5"/>
        <v>0.84842545430338079</v>
      </c>
      <c r="S33">
        <f t="shared" si="6"/>
        <v>0.64115744521330398</v>
      </c>
    </row>
    <row r="34" spans="1:19" x14ac:dyDescent="0.3">
      <c r="A34">
        <v>23.8261</v>
      </c>
      <c r="B34">
        <f t="shared" ref="B34:B65" si="7">A34-$A$12</f>
        <v>11.002800000000001</v>
      </c>
      <c r="C34">
        <v>1942.905</v>
      </c>
      <c r="D34">
        <v>111.64400000000001</v>
      </c>
      <c r="E34">
        <v>113.983</v>
      </c>
      <c r="I34">
        <f>WS_250kDa_3!C34/$F$2</f>
        <v>0.74334747994413186</v>
      </c>
      <c r="J34">
        <f t="shared" si="2"/>
        <v>0.88276224152218075</v>
      </c>
      <c r="K34" s="3">
        <f t="shared" si="1"/>
        <v>0.93548921893056003</v>
      </c>
      <c r="L34" s="2">
        <f t="shared" si="3"/>
        <v>0.79460828078159762</v>
      </c>
      <c r="M34" s="2">
        <f t="shared" si="4"/>
        <v>0.9436370015373815</v>
      </c>
      <c r="R34">
        <f t="shared" si="5"/>
        <v>0.71240230670199489</v>
      </c>
      <c r="S34">
        <f t="shared" si="6"/>
        <v>0.71788449405735788</v>
      </c>
    </row>
    <row r="35" spans="1:19" x14ac:dyDescent="0.3">
      <c r="A35">
        <v>24.3261</v>
      </c>
      <c r="B35">
        <f t="shared" si="7"/>
        <v>11.502800000000001</v>
      </c>
      <c r="C35">
        <v>1953.2380000000001</v>
      </c>
      <c r="D35">
        <v>109.254</v>
      </c>
      <c r="E35">
        <v>110.983</v>
      </c>
      <c r="I35">
        <f>WS_250kDa_3!C35/$F$2</f>
        <v>0.74730084334083047</v>
      </c>
      <c r="J35">
        <f t="shared" si="2"/>
        <v>0.86386465851514038</v>
      </c>
      <c r="K35" s="3">
        <f t="shared" si="1"/>
        <v>0.91086740991700821</v>
      </c>
      <c r="L35" s="2">
        <f t="shared" si="3"/>
        <v>0.82042768816256062</v>
      </c>
      <c r="M35" s="2">
        <f t="shared" si="4"/>
        <v>0.94839781192067196</v>
      </c>
      <c r="R35">
        <f t="shared" si="5"/>
        <v>0.83830017171265314</v>
      </c>
      <c r="S35">
        <f t="shared" si="6"/>
        <v>0.74997718085044429</v>
      </c>
    </row>
    <row r="36" spans="1:19" x14ac:dyDescent="0.3">
      <c r="A36">
        <v>24.8261</v>
      </c>
      <c r="B36">
        <f t="shared" si="7"/>
        <v>12.002800000000001</v>
      </c>
      <c r="C36">
        <v>1961.8409999999999</v>
      </c>
      <c r="D36">
        <v>111.102</v>
      </c>
      <c r="E36">
        <v>111.517</v>
      </c>
      <c r="I36">
        <f>WS_250kDa_3!C36/$F$2</f>
        <v>0.75059231583689145</v>
      </c>
      <c r="J36">
        <f t="shared" si="2"/>
        <v>0.87847668085698583</v>
      </c>
      <c r="K36" s="3">
        <f t="shared" si="1"/>
        <v>0.91525009192142026</v>
      </c>
      <c r="L36" s="2">
        <f t="shared" si="3"/>
        <v>0.82009531871353725</v>
      </c>
      <c r="M36" s="2">
        <f t="shared" si="4"/>
        <v>0.95982146149012171</v>
      </c>
      <c r="R36">
        <f t="shared" si="5"/>
        <v>0.83667950693869464</v>
      </c>
      <c r="S36">
        <f t="shared" si="6"/>
        <v>0.82698415616562992</v>
      </c>
    </row>
    <row r="37" spans="1:19" x14ac:dyDescent="0.3">
      <c r="A37">
        <v>25.3261</v>
      </c>
      <c r="B37">
        <f t="shared" si="7"/>
        <v>12.502800000000001</v>
      </c>
      <c r="C37">
        <v>1943.444</v>
      </c>
      <c r="D37">
        <v>111.102</v>
      </c>
      <c r="E37">
        <v>112.759</v>
      </c>
      <c r="I37">
        <f>WS_250kDa_3!C37/$F$2</f>
        <v>0.74355369913224956</v>
      </c>
      <c r="J37">
        <f t="shared" si="2"/>
        <v>0.87847668085698583</v>
      </c>
      <c r="K37" s="3">
        <f t="shared" si="1"/>
        <v>0.92544352085303083</v>
      </c>
      <c r="L37" s="2">
        <f t="shared" si="3"/>
        <v>0.80345659392252955</v>
      </c>
      <c r="M37" s="2">
        <f t="shared" si="4"/>
        <v>0.94924937185496405</v>
      </c>
      <c r="R37">
        <f t="shared" si="5"/>
        <v>0.7555475159220344</v>
      </c>
      <c r="S37">
        <f t="shared" si="6"/>
        <v>0.75571755781498307</v>
      </c>
    </row>
    <row r="38" spans="1:19" x14ac:dyDescent="0.3">
      <c r="A38">
        <v>25.8262</v>
      </c>
      <c r="B38">
        <f t="shared" si="7"/>
        <v>13.0029</v>
      </c>
      <c r="C38">
        <v>1937.3810000000001</v>
      </c>
      <c r="D38">
        <v>112.373</v>
      </c>
      <c r="E38">
        <v>113.345</v>
      </c>
      <c r="I38">
        <f>WS_250kDa_3!C38/$F$2</f>
        <v>0.74123402021284734</v>
      </c>
      <c r="J38">
        <f t="shared" si="2"/>
        <v>0.8885263996862528</v>
      </c>
      <c r="K38" s="3">
        <f t="shared" si="1"/>
        <v>0.93025298088034458</v>
      </c>
      <c r="L38" s="2">
        <f t="shared" si="3"/>
        <v>0.79680907822663549</v>
      </c>
      <c r="M38" s="2">
        <f t="shared" si="4"/>
        <v>0.95514490998501955</v>
      </c>
      <c r="R38">
        <f t="shared" si="5"/>
        <v>0.72313360256649528</v>
      </c>
      <c r="S38">
        <f t="shared" si="6"/>
        <v>0.7954594596030985</v>
      </c>
    </row>
    <row r="39" spans="1:19" x14ac:dyDescent="0.3">
      <c r="A39">
        <v>26.3262</v>
      </c>
      <c r="B39">
        <f t="shared" si="7"/>
        <v>13.5029</v>
      </c>
      <c r="C39">
        <v>1937.6980000000001</v>
      </c>
      <c r="D39">
        <v>109.322</v>
      </c>
      <c r="E39">
        <v>111.5</v>
      </c>
      <c r="I39">
        <f>WS_250kDa_3!C39/$F$2</f>
        <v>0.74135530311198161</v>
      </c>
      <c r="J39">
        <f t="shared" si="2"/>
        <v>0.86440233033291392</v>
      </c>
      <c r="K39" s="3">
        <f t="shared" si="1"/>
        <v>0.91511056833701021</v>
      </c>
      <c r="L39" s="2">
        <f t="shared" si="3"/>
        <v>0.8101264795348323</v>
      </c>
      <c r="M39" s="2">
        <f t="shared" si="4"/>
        <v>0.94458785663873812</v>
      </c>
      <c r="R39">
        <f t="shared" si="5"/>
        <v>0.78807050709933635</v>
      </c>
      <c r="S39">
        <f t="shared" si="6"/>
        <v>0.72429422107789831</v>
      </c>
    </row>
    <row r="40" spans="1:19" x14ac:dyDescent="0.3">
      <c r="A40">
        <v>26.8262</v>
      </c>
      <c r="B40">
        <f t="shared" si="7"/>
        <v>14.0029</v>
      </c>
      <c r="C40">
        <v>1947.3489999999999</v>
      </c>
      <c r="D40">
        <v>111.119</v>
      </c>
      <c r="E40">
        <v>111.13800000000001</v>
      </c>
      <c r="I40">
        <f>WS_250kDa_3!C40/$F$2</f>
        <v>0.74504773610738828</v>
      </c>
      <c r="J40">
        <f t="shared" si="2"/>
        <v>0.87861109881142918</v>
      </c>
      <c r="K40" s="3">
        <f t="shared" si="1"/>
        <v>0.91213953671604164</v>
      </c>
      <c r="L40" s="2">
        <f t="shared" si="3"/>
        <v>0.81681333405387646</v>
      </c>
      <c r="M40" s="2">
        <f t="shared" si="4"/>
        <v>0.96324198595170618</v>
      </c>
      <c r="R40">
        <f t="shared" si="5"/>
        <v>0.8206762402659793</v>
      </c>
      <c r="S40">
        <f t="shared" si="6"/>
        <v>0.85004195754310274</v>
      </c>
    </row>
    <row r="41" spans="1:19" x14ac:dyDescent="0.3">
      <c r="A41">
        <v>27.325600000000001</v>
      </c>
      <c r="B41">
        <f t="shared" si="7"/>
        <v>14.502300000000002</v>
      </c>
      <c r="C41">
        <v>1957.3810000000001</v>
      </c>
      <c r="D41">
        <v>111.81399999999999</v>
      </c>
      <c r="E41">
        <v>110.431</v>
      </c>
      <c r="I41">
        <f>WS_250kDa_3!C41/$F$2</f>
        <v>0.74888593813929394</v>
      </c>
      <c r="J41">
        <f t="shared" si="2"/>
        <v>0.88410642106661441</v>
      </c>
      <c r="K41" s="3">
        <f t="shared" si="1"/>
        <v>0.90633699705851456</v>
      </c>
      <c r="L41" s="2">
        <f t="shared" si="3"/>
        <v>0.82627757729164475</v>
      </c>
      <c r="M41" s="2">
        <f t="shared" si="4"/>
        <v>0.97547206385257501</v>
      </c>
      <c r="R41">
        <f t="shared" si="5"/>
        <v>0.86682478271684582</v>
      </c>
      <c r="S41">
        <f t="shared" si="6"/>
        <v>0.93248507708115835</v>
      </c>
    </row>
    <row r="42" spans="1:19" x14ac:dyDescent="0.3">
      <c r="A42">
        <v>27.826499999999999</v>
      </c>
      <c r="B42">
        <f t="shared" si="7"/>
        <v>15.0032</v>
      </c>
      <c r="C42">
        <v>1943.175</v>
      </c>
      <c r="D42">
        <v>110.661</v>
      </c>
      <c r="E42">
        <v>112.70699999999999</v>
      </c>
      <c r="I42">
        <f>WS_250kDa_3!C42/$F$2</f>
        <v>0.74345078083613891</v>
      </c>
      <c r="J42">
        <f t="shared" si="2"/>
        <v>0.87498972097995442</v>
      </c>
      <c r="K42" s="3">
        <f t="shared" si="1"/>
        <v>0.92501674283012925</v>
      </c>
      <c r="L42" s="2">
        <f t="shared" si="3"/>
        <v>0.80371602632998695</v>
      </c>
      <c r="M42" s="2">
        <f t="shared" si="4"/>
        <v>0.94591771204365993</v>
      </c>
      <c r="R42">
        <f t="shared" si="5"/>
        <v>0.75681253280377525</v>
      </c>
      <c r="S42">
        <f t="shared" si="6"/>
        <v>0.73325879423965301</v>
      </c>
    </row>
    <row r="43" spans="1:19" x14ac:dyDescent="0.3">
      <c r="A43">
        <v>28.326000000000001</v>
      </c>
      <c r="B43">
        <f t="shared" si="7"/>
        <v>15.502700000000001</v>
      </c>
      <c r="C43">
        <v>1952.73</v>
      </c>
      <c r="D43">
        <v>110.64400000000001</v>
      </c>
      <c r="E43">
        <v>113.328</v>
      </c>
      <c r="I43">
        <f>WS_250kDa_3!C43/$F$2</f>
        <v>0.74710648462549878</v>
      </c>
      <c r="J43">
        <f t="shared" si="2"/>
        <v>0.87485530302551107</v>
      </c>
      <c r="K43" s="3">
        <f t="shared" si="1"/>
        <v>0.93011345729593453</v>
      </c>
      <c r="L43" s="2">
        <f t="shared" si="3"/>
        <v>0.80324231282226422</v>
      </c>
      <c r="M43" s="2">
        <f t="shared" si="4"/>
        <v>0.94058987767893143</v>
      </c>
      <c r="R43">
        <f t="shared" si="5"/>
        <v>0.75450266107166974</v>
      </c>
      <c r="S43">
        <f t="shared" si="6"/>
        <v>0.69734379116521894</v>
      </c>
    </row>
    <row r="44" spans="1:19" x14ac:dyDescent="0.3">
      <c r="A44">
        <v>28.8262</v>
      </c>
      <c r="B44">
        <f t="shared" si="7"/>
        <v>16.0029</v>
      </c>
      <c r="C44">
        <v>1951.7139999999999</v>
      </c>
      <c r="D44">
        <v>111.52500000000001</v>
      </c>
      <c r="E44">
        <v>110.69</v>
      </c>
      <c r="I44">
        <f>WS_250kDa_3!C44/$F$2</f>
        <v>0.74671776719483529</v>
      </c>
      <c r="J44">
        <f t="shared" si="2"/>
        <v>0.88182131584107704</v>
      </c>
      <c r="K44" s="3">
        <f t="shared" si="1"/>
        <v>0.90846267990335117</v>
      </c>
      <c r="L44" s="2">
        <f t="shared" si="3"/>
        <v>0.82195755941705451</v>
      </c>
      <c r="M44" s="2">
        <f t="shared" si="4"/>
        <v>0.97067423389906515</v>
      </c>
      <c r="R44">
        <f t="shared" si="5"/>
        <v>0.84575996820759403</v>
      </c>
      <c r="S44">
        <f t="shared" si="6"/>
        <v>0.90014284086757068</v>
      </c>
    </row>
    <row r="45" spans="1:19" x14ac:dyDescent="0.3">
      <c r="A45">
        <v>29.325600000000001</v>
      </c>
      <c r="B45">
        <f t="shared" si="7"/>
        <v>16.502300000000002</v>
      </c>
      <c r="C45">
        <v>1987.873</v>
      </c>
      <c r="D45">
        <v>114.08499999999999</v>
      </c>
      <c r="E45">
        <v>113.55200000000001</v>
      </c>
      <c r="I45">
        <f>WS_250kDa_3!C45/$F$2</f>
        <v>0.76055205220995437</v>
      </c>
      <c r="J45">
        <f t="shared" si="2"/>
        <v>0.90206307839255107</v>
      </c>
      <c r="K45" s="3">
        <f t="shared" si="1"/>
        <v>0.93195188570227971</v>
      </c>
      <c r="L45" s="2">
        <f t="shared" si="3"/>
        <v>0.81608510469060791</v>
      </c>
      <c r="M45" s="2">
        <f t="shared" si="4"/>
        <v>0.96792880859165198</v>
      </c>
      <c r="R45">
        <f t="shared" si="5"/>
        <v>0.81712532522285641</v>
      </c>
      <c r="S45">
        <f t="shared" si="6"/>
        <v>0.88163589196368941</v>
      </c>
    </row>
    <row r="46" spans="1:19" x14ac:dyDescent="0.3">
      <c r="A46">
        <v>29.8263</v>
      </c>
      <c r="B46">
        <f t="shared" si="7"/>
        <v>17.003</v>
      </c>
      <c r="C46">
        <v>1982.0630000000001</v>
      </c>
      <c r="D46">
        <v>113.542</v>
      </c>
      <c r="E46">
        <v>112.70699999999999</v>
      </c>
      <c r="I46">
        <f>WS_250kDa_3!C46/$F$2</f>
        <v>0.75832917005232159</v>
      </c>
      <c r="J46">
        <f t="shared" si="2"/>
        <v>0.89776961078885953</v>
      </c>
      <c r="K46" s="3">
        <f t="shared" si="1"/>
        <v>0.92501674283012925</v>
      </c>
      <c r="L46" s="2">
        <f t="shared" si="3"/>
        <v>0.8198004802942056</v>
      </c>
      <c r="M46" s="2">
        <f t="shared" si="4"/>
        <v>0.97054417419742489</v>
      </c>
      <c r="R46">
        <f t="shared" si="5"/>
        <v>0.83524184700447246</v>
      </c>
      <c r="S46">
        <f t="shared" si="6"/>
        <v>0.89926610667042794</v>
      </c>
    </row>
    <row r="47" spans="1:19" x14ac:dyDescent="0.3">
      <c r="A47">
        <v>30.325700000000001</v>
      </c>
      <c r="B47">
        <f t="shared" si="7"/>
        <v>17.502400000000002</v>
      </c>
      <c r="C47">
        <v>1939.587</v>
      </c>
      <c r="D47">
        <v>110.661</v>
      </c>
      <c r="E47">
        <v>110.20699999999999</v>
      </c>
      <c r="I47">
        <f>WS_250kDa_3!C47/$F$2</f>
        <v>0.74207802676013435</v>
      </c>
      <c r="J47">
        <f t="shared" si="2"/>
        <v>0.87498972097995442</v>
      </c>
      <c r="K47" s="3">
        <f t="shared" si="1"/>
        <v>0.90449856865216938</v>
      </c>
      <c r="L47" s="2">
        <f t="shared" si="3"/>
        <v>0.82043029417496527</v>
      </c>
      <c r="M47" s="2">
        <f t="shared" si="4"/>
        <v>0.96737546227830151</v>
      </c>
      <c r="R47">
        <f t="shared" si="5"/>
        <v>0.83831287887487016</v>
      </c>
      <c r="S47">
        <f t="shared" si="6"/>
        <v>0.87790577702678829</v>
      </c>
    </row>
    <row r="48" spans="1:19" x14ac:dyDescent="0.3">
      <c r="A48">
        <v>30.826499999999999</v>
      </c>
      <c r="B48">
        <f t="shared" si="7"/>
        <v>18.0032</v>
      </c>
      <c r="C48">
        <v>1969.4760000000001</v>
      </c>
      <c r="D48">
        <v>111.051</v>
      </c>
      <c r="E48">
        <v>110.569</v>
      </c>
      <c r="I48">
        <f>WS_250kDa_3!C48/$F$2</f>
        <v>0.75351343550531247</v>
      </c>
      <c r="J48">
        <f t="shared" si="2"/>
        <v>0.87807342699365565</v>
      </c>
      <c r="K48" s="3">
        <f t="shared" si="1"/>
        <v>0.90746960027313794</v>
      </c>
      <c r="L48" s="2">
        <f t="shared" si="3"/>
        <v>0.83034565045320918</v>
      </c>
      <c r="M48" s="2">
        <f t="shared" si="4"/>
        <v>0.96760643742706709</v>
      </c>
      <c r="R48">
        <f t="shared" si="5"/>
        <v>0.8866610910484517</v>
      </c>
      <c r="S48">
        <f t="shared" si="6"/>
        <v>0.87946278360960395</v>
      </c>
    </row>
    <row r="49" spans="1:19" x14ac:dyDescent="0.3">
      <c r="A49">
        <v>31.3261</v>
      </c>
      <c r="B49">
        <f t="shared" si="7"/>
        <v>18.502800000000001</v>
      </c>
      <c r="C49">
        <v>1962.4290000000001</v>
      </c>
      <c r="D49">
        <v>109.559</v>
      </c>
      <c r="E49">
        <v>110.828</v>
      </c>
      <c r="I49">
        <f>WS_250kDa_3!C49/$F$2</f>
        <v>0.75081728222392907</v>
      </c>
      <c r="J49">
        <f t="shared" si="2"/>
        <v>0.8662762747566245</v>
      </c>
      <c r="K49" s="3">
        <f t="shared" si="1"/>
        <v>0.90959528311797466</v>
      </c>
      <c r="L49" s="2">
        <f t="shared" si="3"/>
        <v>0.82544104631922099</v>
      </c>
      <c r="M49" s="2">
        <f t="shared" si="4"/>
        <v>0.95237551341201088</v>
      </c>
      <c r="R49">
        <f t="shared" si="5"/>
        <v>0.86274577881526548</v>
      </c>
      <c r="S49">
        <f t="shared" si="6"/>
        <v>0.77679092007559347</v>
      </c>
    </row>
    <row r="50" spans="1:19" x14ac:dyDescent="0.3">
      <c r="A50">
        <v>31.8263</v>
      </c>
      <c r="B50">
        <f t="shared" si="7"/>
        <v>19.003</v>
      </c>
      <c r="C50">
        <v>1959.6510000000001</v>
      </c>
      <c r="D50">
        <v>113.678</v>
      </c>
      <c r="E50">
        <v>114.017</v>
      </c>
      <c r="I50">
        <f>WS_250kDa_3!C50/$F$2</f>
        <v>0.74975443082394566</v>
      </c>
      <c r="J50">
        <f t="shared" si="2"/>
        <v>0.89884495442440659</v>
      </c>
      <c r="K50" s="3">
        <f t="shared" si="1"/>
        <v>0.93576826609938013</v>
      </c>
      <c r="L50" s="2">
        <f t="shared" si="3"/>
        <v>0.8012180557791222</v>
      </c>
      <c r="M50" s="2">
        <f t="shared" si="4"/>
        <v>0.96054224853244574</v>
      </c>
      <c r="R50">
        <f t="shared" si="5"/>
        <v>0.74463219285355442</v>
      </c>
      <c r="S50">
        <f t="shared" si="6"/>
        <v>0.83184299130743888</v>
      </c>
    </row>
    <row r="51" spans="1:19" x14ac:dyDescent="0.3">
      <c r="A51">
        <v>32.325699999999998</v>
      </c>
      <c r="B51">
        <f t="shared" si="7"/>
        <v>19.502399999999998</v>
      </c>
      <c r="C51">
        <v>1960.365</v>
      </c>
      <c r="D51">
        <v>108.102</v>
      </c>
      <c r="E51">
        <v>110.60299999999999</v>
      </c>
      <c r="I51">
        <f>WS_250kDa_3!C51/$F$2</f>
        <v>0.75002760429391968</v>
      </c>
      <c r="J51">
        <f t="shared" si="2"/>
        <v>0.85475586536697701</v>
      </c>
      <c r="K51" s="3">
        <f t="shared" si="1"/>
        <v>0.90774864744195816</v>
      </c>
      <c r="L51" s="2">
        <f t="shared" si="3"/>
        <v>0.82625031324199993</v>
      </c>
      <c r="M51" s="2">
        <f t="shared" si="4"/>
        <v>0.94162174493532413</v>
      </c>
      <c r="R51">
        <f t="shared" si="5"/>
        <v>0.86669184063993521</v>
      </c>
      <c r="S51">
        <f t="shared" si="6"/>
        <v>0.70429962221189979</v>
      </c>
    </row>
    <row r="52" spans="1:19" x14ac:dyDescent="0.3">
      <c r="A52">
        <v>32.8264</v>
      </c>
      <c r="B52">
        <f t="shared" si="7"/>
        <v>20.0031</v>
      </c>
      <c r="C52">
        <v>1950.2380000000001</v>
      </c>
      <c r="D52">
        <v>110.949</v>
      </c>
      <c r="E52">
        <v>110.79300000000001</v>
      </c>
      <c r="I52">
        <f>WS_250kDa_3!C52/$F$2</f>
        <v>0.74615305565186352</v>
      </c>
      <c r="J52">
        <f t="shared" si="2"/>
        <v>0.87726691926699529</v>
      </c>
      <c r="K52" s="3">
        <f t="shared" si="1"/>
        <v>0.90930802867948324</v>
      </c>
      <c r="L52" s="2">
        <f t="shared" si="3"/>
        <v>0.82057238264512311</v>
      </c>
      <c r="M52" s="2">
        <f t="shared" si="4"/>
        <v>0.96476319530685462</v>
      </c>
      <c r="R52">
        <f t="shared" si="5"/>
        <v>0.83900571565348236</v>
      </c>
      <c r="S52">
        <f t="shared" si="6"/>
        <v>0.86029645025569623</v>
      </c>
    </row>
    <row r="53" spans="1:19" x14ac:dyDescent="0.3">
      <c r="A53">
        <v>33.325800000000001</v>
      </c>
      <c r="B53">
        <f t="shared" si="7"/>
        <v>20.502500000000001</v>
      </c>
      <c r="C53">
        <v>1966.6189999999999</v>
      </c>
      <c r="D53">
        <v>103.017</v>
      </c>
      <c r="E53">
        <v>105.39700000000001</v>
      </c>
      <c r="I53">
        <f>WS_250kDa_3!C53/$F$2</f>
        <v>0.75242035902951954</v>
      </c>
      <c r="J53">
        <f t="shared" si="2"/>
        <v>0.81454908311141205</v>
      </c>
      <c r="K53" s="3">
        <f t="shared" si="1"/>
        <v>0.86502160153377461</v>
      </c>
      <c r="L53" s="2">
        <f t="shared" si="3"/>
        <v>0.86982840393280214</v>
      </c>
      <c r="M53" s="2">
        <f t="shared" si="4"/>
        <v>0.9416517248437849</v>
      </c>
      <c r="R53">
        <f t="shared" si="5"/>
        <v>1.0791827200106998</v>
      </c>
      <c r="S53">
        <f t="shared" si="6"/>
        <v>0.70450171717785215</v>
      </c>
    </row>
    <row r="54" spans="1:19" x14ac:dyDescent="0.3">
      <c r="A54">
        <v>33.826000000000001</v>
      </c>
      <c r="B54">
        <f t="shared" si="7"/>
        <v>21.002700000000001</v>
      </c>
      <c r="C54">
        <v>1956.587</v>
      </c>
      <c r="D54">
        <v>112.661</v>
      </c>
      <c r="E54">
        <v>110.79300000000001</v>
      </c>
      <c r="I54">
        <f>WS_250kDa_3!C54/$F$2</f>
        <v>0.74858215699761399</v>
      </c>
      <c r="J54">
        <f t="shared" si="2"/>
        <v>0.89080359797329367</v>
      </c>
      <c r="K54" s="3">
        <f t="shared" si="1"/>
        <v>0.90930802867948324</v>
      </c>
      <c r="L54" s="2">
        <f t="shared" si="3"/>
        <v>0.82324375611718859</v>
      </c>
      <c r="M54" s="2">
        <f t="shared" si="4"/>
        <v>0.97964998644841828</v>
      </c>
      <c r="R54">
        <f t="shared" si="5"/>
        <v>0.85203158459837247</v>
      </c>
      <c r="S54">
        <f t="shared" si="6"/>
        <v>0.96064850946333313</v>
      </c>
    </row>
    <row r="55" spans="1:19" x14ac:dyDescent="0.3">
      <c r="A55">
        <v>34.3262</v>
      </c>
      <c r="B55">
        <f t="shared" si="7"/>
        <v>21.5029</v>
      </c>
      <c r="C55">
        <v>1949.2380000000001</v>
      </c>
      <c r="D55">
        <v>112.203</v>
      </c>
      <c r="E55">
        <v>110.017</v>
      </c>
      <c r="I55">
        <f>WS_250kDa_3!C55/$F$2</f>
        <v>0.74577045975554124</v>
      </c>
      <c r="J55">
        <f t="shared" si="2"/>
        <v>0.88718222014181902</v>
      </c>
      <c r="K55" s="3">
        <f t="shared" si="1"/>
        <v>0.90293918741464441</v>
      </c>
      <c r="L55" s="2">
        <f t="shared" si="3"/>
        <v>0.82593653055515381</v>
      </c>
      <c r="M55" s="2">
        <f t="shared" si="4"/>
        <v>0.98254924861779258</v>
      </c>
      <c r="R55">
        <f t="shared" si="5"/>
        <v>0.86516180667097742</v>
      </c>
      <c r="S55">
        <f t="shared" si="6"/>
        <v>0.98019247472171533</v>
      </c>
    </row>
    <row r="56" spans="1:19" x14ac:dyDescent="0.3">
      <c r="A56">
        <v>34.8262</v>
      </c>
      <c r="B56">
        <f t="shared" si="7"/>
        <v>22.0029</v>
      </c>
      <c r="C56">
        <v>1946.921</v>
      </c>
      <c r="D56">
        <v>108.492</v>
      </c>
      <c r="E56">
        <v>108.31</v>
      </c>
      <c r="I56">
        <f>WS_250kDa_3!C56/$F$2</f>
        <v>0.74488398506376241</v>
      </c>
      <c r="J56">
        <f t="shared" si="2"/>
        <v>0.85783957138067812</v>
      </c>
      <c r="K56" s="3">
        <f t="shared" si="1"/>
        <v>0.88892937808593342</v>
      </c>
      <c r="L56" s="2">
        <f t="shared" si="3"/>
        <v>0.83795631399613157</v>
      </c>
      <c r="M56" s="2">
        <f t="shared" si="4"/>
        <v>0.96502556055442934</v>
      </c>
      <c r="R56">
        <f t="shared" si="5"/>
        <v>0.9237714041253835</v>
      </c>
      <c r="S56">
        <f t="shared" si="6"/>
        <v>0.86206505791655974</v>
      </c>
    </row>
    <row r="57" spans="1:19" x14ac:dyDescent="0.3">
      <c r="A57">
        <v>35.325600000000001</v>
      </c>
      <c r="B57">
        <f t="shared" si="7"/>
        <v>22.502300000000002</v>
      </c>
      <c r="C57">
        <v>1957.778</v>
      </c>
      <c r="D57">
        <v>114.017</v>
      </c>
      <c r="E57">
        <v>109.586</v>
      </c>
      <c r="I57">
        <f>WS_250kDa_3!C57/$F$2</f>
        <v>0.74903782871013391</v>
      </c>
      <c r="J57">
        <f t="shared" si="2"/>
        <v>0.90152540657477764</v>
      </c>
      <c r="K57" s="3">
        <f t="shared" si="1"/>
        <v>0.89940185418636409</v>
      </c>
      <c r="L57" s="2">
        <f t="shared" si="3"/>
        <v>0.83281775017880555</v>
      </c>
      <c r="M57" s="2">
        <f t="shared" si="4"/>
        <v>1.0023610718373874</v>
      </c>
      <c r="R57">
        <f t="shared" si="5"/>
        <v>0.89871528241519438</v>
      </c>
      <c r="S57">
        <f t="shared" si="6"/>
        <v>1.1137442413743097</v>
      </c>
    </row>
    <row r="58" spans="1:19" x14ac:dyDescent="0.3">
      <c r="A58">
        <v>35.8264</v>
      </c>
      <c r="B58">
        <f t="shared" si="7"/>
        <v>23.0031</v>
      </c>
      <c r="C58">
        <v>1952.7139999999999</v>
      </c>
      <c r="D58">
        <v>112.136</v>
      </c>
      <c r="E58">
        <v>110.828</v>
      </c>
      <c r="I58">
        <f>WS_250kDa_3!C58/$F$2</f>
        <v>0.74710036309115757</v>
      </c>
      <c r="J58">
        <f t="shared" si="2"/>
        <v>0.88665245526254211</v>
      </c>
      <c r="K58" s="3">
        <f t="shared" si="1"/>
        <v>0.90959528311797466</v>
      </c>
      <c r="L58" s="2">
        <f t="shared" si="3"/>
        <v>0.82135470242347175</v>
      </c>
      <c r="M58" s="2">
        <f t="shared" si="4"/>
        <v>0.97477688343239033</v>
      </c>
      <c r="R58">
        <f t="shared" si="5"/>
        <v>0.84282038066094978</v>
      </c>
      <c r="S58">
        <f t="shared" si="6"/>
        <v>0.92779885652341931</v>
      </c>
    </row>
    <row r="59" spans="1:19" x14ac:dyDescent="0.3">
      <c r="A59">
        <v>36.326000000000001</v>
      </c>
      <c r="B59">
        <f t="shared" si="7"/>
        <v>23.502700000000001</v>
      </c>
      <c r="C59">
        <v>1967.587</v>
      </c>
      <c r="D59">
        <v>113.96599999999999</v>
      </c>
      <c r="E59">
        <v>110.81</v>
      </c>
      <c r="I59">
        <f>WS_250kDa_3!C59/$F$2</f>
        <v>0.75279071185715962</v>
      </c>
      <c r="J59">
        <f t="shared" si="2"/>
        <v>0.90112215271144747</v>
      </c>
      <c r="K59" s="3">
        <f t="shared" si="1"/>
        <v>0.90944755226389329</v>
      </c>
      <c r="L59" s="2">
        <f t="shared" si="3"/>
        <v>0.82774505245875163</v>
      </c>
      <c r="M59" s="2">
        <f t="shared" si="4"/>
        <v>0.9908456518116725</v>
      </c>
      <c r="R59">
        <f t="shared" si="5"/>
        <v>0.87398033000609676</v>
      </c>
      <c r="S59">
        <f t="shared" si="6"/>
        <v>1.0361186401797751</v>
      </c>
    </row>
    <row r="60" spans="1:19" x14ac:dyDescent="0.3">
      <c r="A60">
        <v>36.8262</v>
      </c>
      <c r="B60">
        <f t="shared" si="7"/>
        <v>24.0029</v>
      </c>
      <c r="C60">
        <v>1962.7940000000001</v>
      </c>
      <c r="D60">
        <v>114.42400000000001</v>
      </c>
      <c r="E60">
        <v>109.483</v>
      </c>
      <c r="I60">
        <f>WS_250kDa_3!C60/$F$2</f>
        <v>0.75095692972608674</v>
      </c>
      <c r="J60">
        <f t="shared" si="2"/>
        <v>0.90474353054292223</v>
      </c>
      <c r="K60" s="3">
        <f t="shared" si="1"/>
        <v>0.89855650541023224</v>
      </c>
      <c r="L60" s="2">
        <f t="shared" si="3"/>
        <v>0.8357370128695919</v>
      </c>
      <c r="M60" s="2">
        <f t="shared" si="4"/>
        <v>1.0068855159307597</v>
      </c>
      <c r="R60">
        <f t="shared" si="5"/>
        <v>0.91294988256508991</v>
      </c>
      <c r="S60">
        <f t="shared" si="6"/>
        <v>1.144243579829598</v>
      </c>
    </row>
    <row r="61" spans="1:19" x14ac:dyDescent="0.3">
      <c r="A61">
        <v>37.325600000000001</v>
      </c>
      <c r="B61">
        <f t="shared" si="7"/>
        <v>24.502300000000002</v>
      </c>
      <c r="C61">
        <v>1969.508</v>
      </c>
      <c r="D61">
        <v>118.136</v>
      </c>
      <c r="E61">
        <v>111.879</v>
      </c>
      <c r="I61">
        <f>WS_250kDa_3!C61/$F$2</f>
        <v>0.75352567857399477</v>
      </c>
      <c r="J61">
        <f t="shared" si="2"/>
        <v>0.93409408624255963</v>
      </c>
      <c r="K61" s="3">
        <f t="shared" si="1"/>
        <v>0.91822112354238894</v>
      </c>
      <c r="L61" s="2">
        <f t="shared" si="3"/>
        <v>0.82063640146611028</v>
      </c>
      <c r="M61" s="2">
        <f t="shared" si="4"/>
        <v>1.0172866451154321</v>
      </c>
      <c r="R61">
        <f t="shared" si="5"/>
        <v>0.83931787746122111</v>
      </c>
      <c r="S61">
        <f t="shared" si="6"/>
        <v>1.2143577314853113</v>
      </c>
    </row>
    <row r="62" spans="1:19" x14ac:dyDescent="0.3">
      <c r="A62">
        <v>37.826300000000003</v>
      </c>
      <c r="B62">
        <f t="shared" si="7"/>
        <v>25.003000000000004</v>
      </c>
      <c r="C62">
        <v>1975.5239999999999</v>
      </c>
      <c r="D62">
        <v>115.864</v>
      </c>
      <c r="E62">
        <v>111.05200000000001</v>
      </c>
      <c r="I62">
        <f>WS_250kDa_3!C62/$F$2</f>
        <v>0.75582737548626988</v>
      </c>
      <c r="J62">
        <f t="shared" si="2"/>
        <v>0.91612952197812636</v>
      </c>
      <c r="K62" s="3">
        <f t="shared" si="1"/>
        <v>0.91143371152431985</v>
      </c>
      <c r="L62" s="2">
        <f t="shared" si="3"/>
        <v>0.82927300793185776</v>
      </c>
      <c r="M62" s="2">
        <f t="shared" si="4"/>
        <v>1.0051521140752553</v>
      </c>
      <c r="R62">
        <f t="shared" si="5"/>
        <v>0.88143078497034388</v>
      </c>
      <c r="S62">
        <f t="shared" si="6"/>
        <v>1.132558694619612</v>
      </c>
    </row>
    <row r="63" spans="1:19" x14ac:dyDescent="0.3">
      <c r="A63">
        <v>38.325699999999998</v>
      </c>
      <c r="B63">
        <f t="shared" si="7"/>
        <v>25.502399999999998</v>
      </c>
      <c r="C63">
        <v>1958.492</v>
      </c>
      <c r="D63">
        <v>106.864</v>
      </c>
      <c r="E63">
        <v>106.96599999999999</v>
      </c>
      <c r="I63">
        <f>WS_250kDa_3!C63/$F$2</f>
        <v>0.74931100218010804</v>
      </c>
      <c r="J63">
        <f t="shared" si="2"/>
        <v>0.84496707550810002</v>
      </c>
      <c r="K63" s="3">
        <f t="shared" si="1"/>
        <v>0.8778988076478621</v>
      </c>
      <c r="L63" s="2">
        <f t="shared" si="3"/>
        <v>0.85352775929577018</v>
      </c>
      <c r="M63" s="2">
        <f t="shared" si="4"/>
        <v>0.96248800903603515</v>
      </c>
      <c r="R63">
        <f t="shared" si="5"/>
        <v>0.99969923970383245</v>
      </c>
      <c r="S63">
        <f t="shared" si="6"/>
        <v>0.844959389018892</v>
      </c>
    </row>
    <row r="64" spans="1:19" x14ac:dyDescent="0.3">
      <c r="A64">
        <v>38.826500000000003</v>
      </c>
      <c r="B64">
        <f t="shared" si="7"/>
        <v>26.003200000000003</v>
      </c>
      <c r="C64">
        <v>1954.095</v>
      </c>
      <c r="D64">
        <v>107.23699999999999</v>
      </c>
      <c r="E64">
        <v>106.241</v>
      </c>
      <c r="I64">
        <f>WS_250kDa_3!C64/$F$2</f>
        <v>0.74762872802397873</v>
      </c>
      <c r="J64">
        <f t="shared" si="2"/>
        <v>0.84791636356735767</v>
      </c>
      <c r="K64" s="3">
        <f t="shared" si="1"/>
        <v>0.87194853713625387</v>
      </c>
      <c r="L64" s="2">
        <f t="shared" si="3"/>
        <v>0.85742299709501268</v>
      </c>
      <c r="M64" s="2">
        <f t="shared" si="4"/>
        <v>0.97243854132971519</v>
      </c>
      <c r="R64">
        <f t="shared" si="5"/>
        <v>1.0186927865113795</v>
      </c>
      <c r="S64">
        <f t="shared" si="6"/>
        <v>0.91203606097507528</v>
      </c>
    </row>
    <row r="65" spans="1:19" x14ac:dyDescent="0.3">
      <c r="A65">
        <v>39.326099999999997</v>
      </c>
      <c r="B65">
        <f t="shared" si="7"/>
        <v>26.502799999999997</v>
      </c>
      <c r="C65">
        <v>1924.1110000000001</v>
      </c>
      <c r="D65">
        <v>104.271</v>
      </c>
      <c r="E65">
        <v>104.172</v>
      </c>
      <c r="I65">
        <f>WS_250kDa_3!C65/$F$2</f>
        <v>0.7361569726686501</v>
      </c>
      <c r="J65">
        <f t="shared" si="2"/>
        <v>0.82446438398623567</v>
      </c>
      <c r="K65" s="3">
        <f t="shared" si="1"/>
        <v>0.8549676961865742</v>
      </c>
      <c r="L65" s="2">
        <f t="shared" si="3"/>
        <v>0.86103483903794564</v>
      </c>
      <c r="M65" s="2">
        <f t="shared" si="4"/>
        <v>0.96432226347686245</v>
      </c>
      <c r="R65">
        <f t="shared" si="5"/>
        <v>1.0363044684009677</v>
      </c>
      <c r="S65">
        <f t="shared" si="6"/>
        <v>0.85732412286229553</v>
      </c>
    </row>
    <row r="66" spans="1:19" x14ac:dyDescent="0.3">
      <c r="A66">
        <v>39.826300000000003</v>
      </c>
      <c r="B66">
        <f t="shared" ref="B66:B97" si="8">A66-$A$12</f>
        <v>27.003000000000004</v>
      </c>
      <c r="C66">
        <v>1936.127</v>
      </c>
      <c r="D66">
        <v>111.254</v>
      </c>
      <c r="E66">
        <v>108.345</v>
      </c>
      <c r="I66">
        <f>WS_250kDa_3!C66/$F$2</f>
        <v>0.74075424495885911</v>
      </c>
      <c r="J66">
        <f t="shared" si="2"/>
        <v>0.87967853550847952</v>
      </c>
      <c r="K66" s="3">
        <f t="shared" ref="K66:K76" si="9">E66/$H$2</f>
        <v>0.88921663252442484</v>
      </c>
      <c r="L66" s="2">
        <f t="shared" si="3"/>
        <v>0.83304137356935037</v>
      </c>
      <c r="M66" s="2">
        <f t="shared" si="4"/>
        <v>0.98927359580660645</v>
      </c>
      <c r="R66">
        <f t="shared" si="5"/>
        <v>0.89980569115388587</v>
      </c>
      <c r="S66">
        <f t="shared" si="6"/>
        <v>1.025521389516558</v>
      </c>
    </row>
    <row r="67" spans="1:19" x14ac:dyDescent="0.3">
      <c r="A67">
        <v>40.325699999999998</v>
      </c>
      <c r="B67">
        <f t="shared" si="8"/>
        <v>27.502399999999998</v>
      </c>
      <c r="C67">
        <v>1940.079</v>
      </c>
      <c r="D67">
        <v>108.441</v>
      </c>
      <c r="E67">
        <v>108.776</v>
      </c>
      <c r="I67">
        <f>WS_250kDa_3!C67/$F$2</f>
        <v>0.74226626394112494</v>
      </c>
      <c r="J67">
        <f t="shared" ref="J67:J76" si="10">D67/$G$2</f>
        <v>0.85743631751734795</v>
      </c>
      <c r="K67" s="3">
        <f t="shared" si="9"/>
        <v>0.89275396575270516</v>
      </c>
      <c r="L67" s="2">
        <f t="shared" ref="L67:L76" si="11">I67/K67</f>
        <v>0.83143429479509512</v>
      </c>
      <c r="M67" s="2">
        <f t="shared" ref="M67:M76" si="12">J67/K67</f>
        <v>0.96043966244879131</v>
      </c>
      <c r="R67">
        <f t="shared" ref="R67:R76" si="13">(L67-$L$12)/($N$12-$L$12)</f>
        <v>0.89196942351236508</v>
      </c>
      <c r="S67">
        <f t="shared" ref="S67:S76" si="14">(M67-$M$12)/($O$12-$M$12)</f>
        <v>0.83115145713846494</v>
      </c>
    </row>
    <row r="68" spans="1:19" x14ac:dyDescent="0.3">
      <c r="A68">
        <v>40.826300000000003</v>
      </c>
      <c r="B68">
        <f t="shared" si="8"/>
        <v>28.003000000000004</v>
      </c>
      <c r="C68">
        <v>1958.635</v>
      </c>
      <c r="D68">
        <v>108.15300000000001</v>
      </c>
      <c r="E68">
        <v>109.172</v>
      </c>
      <c r="I68">
        <f>WS_250kDa_3!C68/$F$2</f>
        <v>0.74936571339328206</v>
      </c>
      <c r="J68">
        <f t="shared" si="10"/>
        <v>0.85515911923030719</v>
      </c>
      <c r="K68" s="3">
        <f t="shared" si="9"/>
        <v>0.89600404454249394</v>
      </c>
      <c r="L68" s="2">
        <f t="shared" si="11"/>
        <v>0.83634188702341583</v>
      </c>
      <c r="M68" s="2">
        <f t="shared" si="12"/>
        <v>0.9544143516304745</v>
      </c>
      <c r="R68">
        <f t="shared" si="13"/>
        <v>0.91589930597527669</v>
      </c>
      <c r="S68">
        <f t="shared" si="14"/>
        <v>0.79053475591425248</v>
      </c>
    </row>
    <row r="69" spans="1:19" x14ac:dyDescent="0.3">
      <c r="A69">
        <v>41.325899999999997</v>
      </c>
      <c r="B69">
        <f t="shared" si="8"/>
        <v>28.502599999999997</v>
      </c>
      <c r="C69">
        <v>1945.778</v>
      </c>
      <c r="D69">
        <v>106.271</v>
      </c>
      <c r="E69">
        <v>106.89700000000001</v>
      </c>
      <c r="I69">
        <f>WS_250kDa_3!C69/$F$2</f>
        <v>0.74444667795426589</v>
      </c>
      <c r="J69">
        <f t="shared" si="10"/>
        <v>0.84027826097957492</v>
      </c>
      <c r="K69" s="3">
        <f t="shared" si="9"/>
        <v>0.87733250604055057</v>
      </c>
      <c r="L69" s="2">
        <f t="shared" si="11"/>
        <v>0.84853424765257401</v>
      </c>
      <c r="M69" s="2">
        <f t="shared" si="12"/>
        <v>0.95776487841741609</v>
      </c>
      <c r="R69">
        <f t="shared" si="13"/>
        <v>0.97535040607228329</v>
      </c>
      <c r="S69">
        <f t="shared" si="14"/>
        <v>0.81312070202598252</v>
      </c>
    </row>
    <row r="70" spans="1:19" x14ac:dyDescent="0.3">
      <c r="A70">
        <v>41.826099999999997</v>
      </c>
      <c r="B70">
        <f t="shared" si="8"/>
        <v>29.002799999999997</v>
      </c>
      <c r="C70">
        <v>1940.73</v>
      </c>
      <c r="D70">
        <v>107.458</v>
      </c>
      <c r="E70">
        <v>105.414</v>
      </c>
      <c r="I70">
        <f>WS_250kDa_3!C70/$F$2</f>
        <v>0.74251533386963087</v>
      </c>
      <c r="J70">
        <f t="shared" si="10"/>
        <v>0.84966379697512173</v>
      </c>
      <c r="K70" s="3">
        <f t="shared" si="9"/>
        <v>0.86516112511818477</v>
      </c>
      <c r="L70" s="2">
        <f t="shared" si="11"/>
        <v>0.85823936410480772</v>
      </c>
      <c r="M70" s="2">
        <f t="shared" si="12"/>
        <v>0.98208735032917016</v>
      </c>
      <c r="R70">
        <f t="shared" si="13"/>
        <v>1.0226734690298369</v>
      </c>
      <c r="S70">
        <f t="shared" si="14"/>
        <v>0.97707881214883707</v>
      </c>
    </row>
    <row r="71" spans="1:19" x14ac:dyDescent="0.3">
      <c r="A71">
        <v>42.326099999999997</v>
      </c>
      <c r="B71">
        <f t="shared" si="8"/>
        <v>29.502799999999997</v>
      </c>
      <c r="C71">
        <v>1938.9680000000001</v>
      </c>
      <c r="D71">
        <v>108.76300000000001</v>
      </c>
      <c r="E71">
        <v>104.759</v>
      </c>
      <c r="I71">
        <f>WS_250kDa_3!C71/$F$2</f>
        <v>0.74184119990031094</v>
      </c>
      <c r="J71">
        <f t="shared" si="10"/>
        <v>0.85998235171327564</v>
      </c>
      <c r="K71" s="3">
        <f t="shared" si="9"/>
        <v>0.85978536348355927</v>
      </c>
      <c r="L71" s="2">
        <f t="shared" si="11"/>
        <v>0.86282138706644351</v>
      </c>
      <c r="M71" s="2">
        <f t="shared" si="12"/>
        <v>1.0002291132625452</v>
      </c>
      <c r="R71">
        <f t="shared" si="13"/>
        <v>1.0450158450490903</v>
      </c>
      <c r="S71">
        <f t="shared" si="14"/>
        <v>1.09937267996149</v>
      </c>
    </row>
    <row r="72" spans="1:19" x14ac:dyDescent="0.3">
      <c r="A72">
        <v>42.8262</v>
      </c>
      <c r="B72">
        <f t="shared" si="8"/>
        <v>30.0029</v>
      </c>
      <c r="C72">
        <v>1939.3019999999999</v>
      </c>
      <c r="D72">
        <v>105.30500000000001</v>
      </c>
      <c r="E72">
        <v>103.983</v>
      </c>
      <c r="I72">
        <f>WS_250kDa_3!C72/$F$2</f>
        <v>0.74196898692968249</v>
      </c>
      <c r="J72">
        <f t="shared" si="10"/>
        <v>0.83264015839179217</v>
      </c>
      <c r="K72" s="3">
        <f t="shared" si="9"/>
        <v>0.85341652221872055</v>
      </c>
      <c r="L72" s="2">
        <f t="shared" si="11"/>
        <v>0.86941015039257075</v>
      </c>
      <c r="M72" s="2">
        <f t="shared" si="12"/>
        <v>0.97565507195371171</v>
      </c>
      <c r="R72">
        <f t="shared" si="13"/>
        <v>1.0771432763096369</v>
      </c>
      <c r="S72">
        <f t="shared" si="14"/>
        <v>0.93371873715108911</v>
      </c>
    </row>
    <row r="73" spans="1:19" x14ac:dyDescent="0.3">
      <c r="A73">
        <v>43.325699999999998</v>
      </c>
      <c r="B73">
        <f t="shared" si="8"/>
        <v>30.502399999999998</v>
      </c>
      <c r="C73">
        <v>1935.3019999999999</v>
      </c>
      <c r="D73">
        <v>112.492</v>
      </c>
      <c r="E73">
        <v>105.13800000000001</v>
      </c>
      <c r="I73">
        <f>WS_250kDa_3!C73/$F$2</f>
        <v>0.74043860334439315</v>
      </c>
      <c r="J73">
        <f t="shared" si="10"/>
        <v>0.88946732536735651</v>
      </c>
      <c r="K73" s="3">
        <f t="shared" si="9"/>
        <v>0.862895918688938</v>
      </c>
      <c r="L73" s="2">
        <f t="shared" si="11"/>
        <v>0.85808564776780571</v>
      </c>
      <c r="M73" s="2">
        <f t="shared" si="12"/>
        <v>1.0307932927980357</v>
      </c>
      <c r="R73">
        <f t="shared" si="13"/>
        <v>1.0219239336760519</v>
      </c>
      <c r="S73">
        <f t="shared" si="14"/>
        <v>1.3054062250829017</v>
      </c>
    </row>
    <row r="74" spans="1:19" x14ac:dyDescent="0.3">
      <c r="A74">
        <v>43.825899999999997</v>
      </c>
      <c r="B74">
        <f t="shared" si="8"/>
        <v>31.002599999999997</v>
      </c>
      <c r="C74">
        <v>1931.3330000000001</v>
      </c>
      <c r="D74">
        <v>110.69499999999999</v>
      </c>
      <c r="E74">
        <v>106.03400000000001</v>
      </c>
      <c r="I74">
        <f>WS_250kDa_3!C74/$F$2</f>
        <v>0.73892008023188993</v>
      </c>
      <c r="J74">
        <f t="shared" si="10"/>
        <v>0.87525855688884113</v>
      </c>
      <c r="K74" s="3">
        <f t="shared" si="9"/>
        <v>0.87024963231431884</v>
      </c>
      <c r="L74" s="2">
        <f t="shared" si="11"/>
        <v>0.84908979308250376</v>
      </c>
      <c r="M74" s="2">
        <f t="shared" si="12"/>
        <v>1.0057557330546658</v>
      </c>
      <c r="R74">
        <f t="shared" si="13"/>
        <v>0.97805929797334812</v>
      </c>
      <c r="S74">
        <f t="shared" si="14"/>
        <v>1.1366276982742367</v>
      </c>
    </row>
    <row r="75" spans="1:19" x14ac:dyDescent="0.3">
      <c r="A75">
        <v>44.326099999999997</v>
      </c>
      <c r="B75">
        <f t="shared" si="8"/>
        <v>31.502799999999997</v>
      </c>
      <c r="C75">
        <v>1927.4290000000001</v>
      </c>
      <c r="D75">
        <v>110.254</v>
      </c>
      <c r="E75">
        <v>104.60299999999999</v>
      </c>
      <c r="I75">
        <f>WS_250kDa_3!C75/$F$2</f>
        <v>0.73742642585264762</v>
      </c>
      <c r="J75">
        <f t="shared" si="10"/>
        <v>0.87177159701180995</v>
      </c>
      <c r="K75" s="3">
        <f t="shared" si="9"/>
        <v>0.85850502941485451</v>
      </c>
      <c r="L75" s="2">
        <f t="shared" si="11"/>
        <v>0.85896576092893429</v>
      </c>
      <c r="M75" s="2">
        <f t="shared" si="12"/>
        <v>1.0154531041081936</v>
      </c>
      <c r="R75">
        <f t="shared" si="13"/>
        <v>1.0262154484393058</v>
      </c>
      <c r="S75">
        <f t="shared" si="14"/>
        <v>1.2019978069073203</v>
      </c>
    </row>
    <row r="76" spans="1:19" x14ac:dyDescent="0.3">
      <c r="A76">
        <v>44.8262</v>
      </c>
      <c r="B76">
        <f t="shared" si="8"/>
        <v>32.002899999999997</v>
      </c>
      <c r="C76">
        <v>1951.1590000000001</v>
      </c>
      <c r="D76">
        <v>103.492</v>
      </c>
      <c r="E76">
        <v>102.94799999999999</v>
      </c>
      <c r="I76">
        <f>WS_250kDa_3!C76/$F$2</f>
        <v>0.74650542647237639</v>
      </c>
      <c r="J76">
        <f t="shared" si="10"/>
        <v>0.81830487889733017</v>
      </c>
      <c r="K76" s="3">
        <f t="shared" si="9"/>
        <v>0.844921998109045</v>
      </c>
      <c r="L76" s="2">
        <f t="shared" si="11"/>
        <v>0.88351993218672586</v>
      </c>
      <c r="M76" s="2">
        <f t="shared" si="12"/>
        <v>0.96849754264738686</v>
      </c>
      <c r="R76">
        <f t="shared" si="13"/>
        <v>1.1459439028089169</v>
      </c>
      <c r="S76">
        <f t="shared" si="14"/>
        <v>0.88546973587886046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9F77C-4900-4E12-9EDA-73E6FD10422E}">
  <dimension ref="A1:S101"/>
  <sheetViews>
    <sheetView topLeftCell="B1" workbookViewId="0">
      <selection activeCell="B24" sqref="B24"/>
    </sheetView>
  </sheetViews>
  <sheetFormatPr baseColWidth="10" defaultRowHeight="14.4" x14ac:dyDescent="0.3"/>
  <cols>
    <col min="14" max="14" width="12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2" t="s">
        <v>11</v>
      </c>
      <c r="M1" s="2" t="s">
        <v>12</v>
      </c>
      <c r="R1" t="s">
        <v>13</v>
      </c>
      <c r="S1" t="s">
        <v>14</v>
      </c>
    </row>
    <row r="2" spans="1:19" x14ac:dyDescent="0.3">
      <c r="A2">
        <v>0</v>
      </c>
      <c r="B2">
        <f>A2-$A$12</f>
        <v>-7.5106000000000002</v>
      </c>
      <c r="C2">
        <v>1856.31</v>
      </c>
      <c r="D2">
        <v>164.5</v>
      </c>
      <c r="E2">
        <v>169.63900000000001</v>
      </c>
      <c r="F2">
        <f>AVERAGE(C2:C11)</f>
        <v>1792.2878000000001</v>
      </c>
      <c r="G2">
        <f>AVERAGE(D2:D11)</f>
        <v>162.10890000000001</v>
      </c>
      <c r="H2">
        <f>AVERAGE(E2:E11)</f>
        <v>163.28190000000001</v>
      </c>
      <c r="I2">
        <f>C2/$F$2</f>
        <v>1.0357209372289427</v>
      </c>
      <c r="J2">
        <f>D2/$G$2</f>
        <v>1.0147499612914528</v>
      </c>
      <c r="K2" s="3">
        <f>E2/$H$2</f>
        <v>1.0389332804187115</v>
      </c>
      <c r="L2" s="2">
        <f>I2/K2</f>
        <v>0.99690803707002806</v>
      </c>
      <c r="M2" s="2">
        <f>J2/K2</f>
        <v>0.97672293343272987</v>
      </c>
      <c r="R2">
        <f>(L2-$L$12)/($N$12-$L$12)</f>
        <v>1.7788705930562729</v>
      </c>
      <c r="S2">
        <f>(M2-$M$12)/($O$12-$M$12)</f>
        <v>1.7544173282257007</v>
      </c>
    </row>
    <row r="3" spans="1:19" x14ac:dyDescent="0.3">
      <c r="A3">
        <v>0.50280000000000002</v>
      </c>
      <c r="B3">
        <f t="shared" ref="B3:B66" si="0">A3-$A$12</f>
        <v>-7.0078000000000005</v>
      </c>
      <c r="C3">
        <v>1862.2070000000001</v>
      </c>
      <c r="D3">
        <v>164.357</v>
      </c>
      <c r="E3">
        <v>162.36099999999999</v>
      </c>
      <c r="I3">
        <f t="shared" ref="I3:I66" si="1">C3/$F$2</f>
        <v>1.0390111454198372</v>
      </c>
      <c r="J3">
        <f t="shared" ref="J3:J66" si="2">D3/$G$2</f>
        <v>1.0138678382247983</v>
      </c>
      <c r="K3" s="3">
        <f t="shared" ref="K3:K66" si="3">E3/$H$2</f>
        <v>0.99436006072932748</v>
      </c>
      <c r="L3" s="2">
        <f t="shared" ref="L3:L66" si="4">I3/K3</f>
        <v>1.0449043424549451</v>
      </c>
      <c r="M3" s="2">
        <f t="shared" ref="M3:M66" si="5">J3/K3</f>
        <v>1.0196184242166391</v>
      </c>
      <c r="R3">
        <f t="shared" ref="R3:R66" si="6">(L3-$L$12)/($N$12-$L$12)</f>
        <v>1.8842312003897173</v>
      </c>
      <c r="S3">
        <f t="shared" ref="S3:S66" si="7">(M3-$M$12)/($O$12-$M$12)</f>
        <v>1.8830270139951328</v>
      </c>
    </row>
    <row r="4" spans="1:19" x14ac:dyDescent="0.3">
      <c r="A4">
        <v>1.0029999999999999</v>
      </c>
      <c r="B4">
        <f t="shared" si="0"/>
        <v>-6.5076000000000001</v>
      </c>
      <c r="C4">
        <v>1820.6379999999999</v>
      </c>
      <c r="D4">
        <v>167.107</v>
      </c>
      <c r="E4">
        <v>160.934</v>
      </c>
      <c r="I4">
        <f t="shared" si="1"/>
        <v>1.0158178837126492</v>
      </c>
      <c r="J4">
        <f t="shared" si="2"/>
        <v>1.0308317433527709</v>
      </c>
      <c r="K4" s="3">
        <f t="shared" si="3"/>
        <v>0.98562057398891112</v>
      </c>
      <c r="L4" s="2">
        <f t="shared" si="4"/>
        <v>1.0306378646313423</v>
      </c>
      <c r="M4" s="2">
        <f t="shared" si="5"/>
        <v>1.0458707646299279</v>
      </c>
      <c r="R4">
        <f t="shared" si="6"/>
        <v>1.8529136905116284</v>
      </c>
      <c r="S4">
        <f t="shared" si="7"/>
        <v>1.9617370413095132</v>
      </c>
    </row>
    <row r="5" spans="1:19" x14ac:dyDescent="0.3">
      <c r="A5">
        <v>1.5025999999999999</v>
      </c>
      <c r="B5">
        <f t="shared" si="0"/>
        <v>-6.008</v>
      </c>
      <c r="C5">
        <v>1810.741</v>
      </c>
      <c r="D5">
        <v>163.804</v>
      </c>
      <c r="E5">
        <v>163.08199999999999</v>
      </c>
      <c r="I5">
        <f t="shared" si="1"/>
        <v>1.0102958910951689</v>
      </c>
      <c r="J5">
        <f t="shared" si="2"/>
        <v>1.0104565511208823</v>
      </c>
      <c r="K5" s="3">
        <f t="shared" si="3"/>
        <v>0.99877573693103761</v>
      </c>
      <c r="L5" s="2">
        <f t="shared" si="4"/>
        <v>1.0115342751512262</v>
      </c>
      <c r="M5" s="2">
        <f t="shared" si="5"/>
        <v>1.0116951321081713</v>
      </c>
      <c r="R5">
        <f t="shared" si="6"/>
        <v>1.810977842038876</v>
      </c>
      <c r="S5">
        <f t="shared" si="7"/>
        <v>1.8592713210375014</v>
      </c>
    </row>
    <row r="6" spans="1:19" x14ac:dyDescent="0.3">
      <c r="A6">
        <v>2.0026000000000002</v>
      </c>
      <c r="B6">
        <f t="shared" si="0"/>
        <v>-5.508</v>
      </c>
      <c r="C6">
        <v>1813.3789999999999</v>
      </c>
      <c r="D6">
        <v>159.446</v>
      </c>
      <c r="E6">
        <v>162.852</v>
      </c>
      <c r="I6">
        <f t="shared" si="1"/>
        <v>1.0117677529245024</v>
      </c>
      <c r="J6">
        <f t="shared" si="2"/>
        <v>0.98357338801262606</v>
      </c>
      <c r="K6" s="3">
        <f t="shared" si="3"/>
        <v>0.99736713009831457</v>
      </c>
      <c r="L6" s="2">
        <f t="shared" si="4"/>
        <v>1.0144386378812869</v>
      </c>
      <c r="M6" s="2">
        <f t="shared" si="5"/>
        <v>0.98616984491525317</v>
      </c>
      <c r="R6">
        <f t="shared" si="6"/>
        <v>1.8173534457171536</v>
      </c>
      <c r="S6">
        <f t="shared" si="7"/>
        <v>1.7827411518970391</v>
      </c>
    </row>
    <row r="7" spans="1:19" x14ac:dyDescent="0.3">
      <c r="A7">
        <v>2.5026999999999999</v>
      </c>
      <c r="B7">
        <f t="shared" si="0"/>
        <v>-5.0079000000000002</v>
      </c>
      <c r="C7">
        <v>1770.7929999999999</v>
      </c>
      <c r="D7">
        <v>157.339</v>
      </c>
      <c r="E7">
        <v>163.803</v>
      </c>
      <c r="I7">
        <f t="shared" si="1"/>
        <v>0.98800706002685501</v>
      </c>
      <c r="J7">
        <f t="shared" si="2"/>
        <v>0.97057595233821214</v>
      </c>
      <c r="K7" s="3">
        <f t="shared" si="3"/>
        <v>1.0031914131327477</v>
      </c>
      <c r="L7" s="2">
        <f t="shared" si="4"/>
        <v>0.98486395227559287</v>
      </c>
      <c r="M7" s="2">
        <f t="shared" si="5"/>
        <v>0.96748829747985521</v>
      </c>
      <c r="R7">
        <f t="shared" si="6"/>
        <v>1.7524316395047361</v>
      </c>
      <c r="S7">
        <f t="shared" si="7"/>
        <v>1.7267299511520293</v>
      </c>
    </row>
    <row r="8" spans="1:19" x14ac:dyDescent="0.3">
      <c r="A8">
        <v>3.0026999999999999</v>
      </c>
      <c r="B8">
        <f t="shared" si="0"/>
        <v>-4.5079000000000002</v>
      </c>
      <c r="C8">
        <v>1779.4480000000001</v>
      </c>
      <c r="D8">
        <v>163.607</v>
      </c>
      <c r="E8">
        <v>163.47499999999999</v>
      </c>
      <c r="I8">
        <f t="shared" si="1"/>
        <v>0.9928360835798804</v>
      </c>
      <c r="J8">
        <f t="shared" si="2"/>
        <v>1.009241318644442</v>
      </c>
      <c r="K8" s="3">
        <f t="shared" si="3"/>
        <v>1.001182617301734</v>
      </c>
      <c r="L8" s="2">
        <f t="shared" si="4"/>
        <v>0.99166332537379831</v>
      </c>
      <c r="M8" s="2">
        <f t="shared" si="5"/>
        <v>1.0080491822405255</v>
      </c>
      <c r="R8">
        <f t="shared" si="6"/>
        <v>1.767357498346753</v>
      </c>
      <c r="S8">
        <f t="shared" si="7"/>
        <v>1.8483399979953854</v>
      </c>
    </row>
    <row r="9" spans="1:19" x14ac:dyDescent="0.3">
      <c r="A9">
        <v>3.5028999999999999</v>
      </c>
      <c r="B9">
        <f t="shared" si="0"/>
        <v>-4.0076999999999998</v>
      </c>
      <c r="C9">
        <v>1747.914</v>
      </c>
      <c r="D9">
        <v>162.286</v>
      </c>
      <c r="E9">
        <v>167.95099999999999</v>
      </c>
      <c r="I9">
        <f t="shared" si="1"/>
        <v>0.97524181105288998</v>
      </c>
      <c r="J9">
        <f t="shared" si="2"/>
        <v>1.0010924754902415</v>
      </c>
      <c r="K9" s="3">
        <f t="shared" si="3"/>
        <v>1.0285953311420311</v>
      </c>
      <c r="L9" s="2">
        <f t="shared" si="4"/>
        <v>0.9481297275286058</v>
      </c>
      <c r="M9" s="2">
        <f t="shared" si="5"/>
        <v>0.97326173392090587</v>
      </c>
      <c r="R9">
        <f t="shared" si="6"/>
        <v>1.6717933445729338</v>
      </c>
      <c r="S9">
        <f t="shared" si="7"/>
        <v>1.7440399255321766</v>
      </c>
    </row>
    <row r="10" spans="1:19" x14ac:dyDescent="0.3">
      <c r="A10">
        <v>4.0030999999999999</v>
      </c>
      <c r="B10">
        <f t="shared" si="0"/>
        <v>-3.5075000000000003</v>
      </c>
      <c r="C10">
        <v>1735.172</v>
      </c>
      <c r="D10">
        <v>155.357</v>
      </c>
      <c r="E10">
        <v>159.65600000000001</v>
      </c>
      <c r="I10">
        <f t="shared" si="1"/>
        <v>0.96813246176200052</v>
      </c>
      <c r="J10">
        <f t="shared" si="2"/>
        <v>0.95834960326052421</v>
      </c>
      <c r="K10" s="3">
        <f t="shared" si="3"/>
        <v>0.97779361950099797</v>
      </c>
      <c r="L10" s="2">
        <f t="shared" si="4"/>
        <v>0.99011943057684515</v>
      </c>
      <c r="M10" s="2">
        <f t="shared" si="5"/>
        <v>0.98011439648133858</v>
      </c>
      <c r="R10">
        <f t="shared" si="6"/>
        <v>1.7639683688676944</v>
      </c>
      <c r="S10">
        <f t="shared" si="7"/>
        <v>1.7645856463637888</v>
      </c>
    </row>
    <row r="11" spans="1:19" x14ac:dyDescent="0.3">
      <c r="A11">
        <v>4.5025000000000004</v>
      </c>
      <c r="B11">
        <f t="shared" si="0"/>
        <v>-3.0080999999999998</v>
      </c>
      <c r="C11">
        <v>1726.2760000000001</v>
      </c>
      <c r="D11">
        <v>163.286</v>
      </c>
      <c r="E11">
        <v>159.066</v>
      </c>
      <c r="I11">
        <f t="shared" si="1"/>
        <v>0.96316897319727335</v>
      </c>
      <c r="J11">
        <f t="shared" si="2"/>
        <v>1.0072611682640495</v>
      </c>
      <c r="K11" s="3">
        <f t="shared" si="3"/>
        <v>0.9741802367561867</v>
      </c>
      <c r="L11" s="2">
        <f t="shared" si="4"/>
        <v>0.9886968928916291</v>
      </c>
      <c r="M11" s="2">
        <f t="shared" si="5"/>
        <v>1.0339577115811909</v>
      </c>
      <c r="R11">
        <f t="shared" si="6"/>
        <v>1.7608456402895865</v>
      </c>
      <c r="S11">
        <f t="shared" si="7"/>
        <v>1.9260192075430005</v>
      </c>
    </row>
    <row r="12" spans="1:19" x14ac:dyDescent="0.3">
      <c r="A12" s="4">
        <v>7.5106000000000002</v>
      </c>
      <c r="B12" s="4">
        <f t="shared" si="0"/>
        <v>0</v>
      </c>
      <c r="C12" s="4">
        <v>322.06900000000002</v>
      </c>
      <c r="D12" s="4">
        <v>61.143000000000001</v>
      </c>
      <c r="E12" s="4">
        <v>157.279</v>
      </c>
      <c r="F12" s="4"/>
      <c r="G12" s="4"/>
      <c r="H12" s="4"/>
      <c r="I12" s="4">
        <f t="shared" si="1"/>
        <v>0.17969714462152786</v>
      </c>
      <c r="J12" s="4">
        <f t="shared" si="2"/>
        <v>0.37717238226895622</v>
      </c>
      <c r="K12" s="4">
        <f t="shared" si="3"/>
        <v>0.963235974103682</v>
      </c>
      <c r="L12" s="4">
        <f t="shared" si="4"/>
        <v>0.18655568256650826</v>
      </c>
      <c r="M12" s="4">
        <f t="shared" si="5"/>
        <v>0.39156799829857442</v>
      </c>
      <c r="N12" s="4">
        <f>AVERAGE(L66:L76)</f>
        <v>0.64209885567122271</v>
      </c>
      <c r="O12" s="4">
        <f>AVERAGE(M66:M76)</f>
        <v>0.72510034873764673</v>
      </c>
      <c r="P12" s="5">
        <f>(N12-L12)/(1-L12)</f>
        <v>0.56001764760248662</v>
      </c>
      <c r="Q12" s="5">
        <f>(O12-M12)/(1-M12)</f>
        <v>0.54818344450387058</v>
      </c>
      <c r="R12">
        <f t="shared" si="6"/>
        <v>0</v>
      </c>
      <c r="S12">
        <f t="shared" si="7"/>
        <v>0</v>
      </c>
    </row>
    <row r="13" spans="1:19" x14ac:dyDescent="0.3">
      <c r="A13">
        <v>8.0137</v>
      </c>
      <c r="B13">
        <f t="shared" si="0"/>
        <v>0.50309999999999988</v>
      </c>
      <c r="C13">
        <v>410.93099999999998</v>
      </c>
      <c r="D13">
        <v>69.25</v>
      </c>
      <c r="E13">
        <v>156.148</v>
      </c>
      <c r="I13">
        <f t="shared" si="1"/>
        <v>0.22927735155034809</v>
      </c>
      <c r="J13">
        <f t="shared" si="2"/>
        <v>0.42718197458621948</v>
      </c>
      <c r="K13" s="3">
        <f t="shared" si="3"/>
        <v>0.95630930311320472</v>
      </c>
      <c r="L13" s="2">
        <f t="shared" si="4"/>
        <v>0.23975229646302729</v>
      </c>
      <c r="M13" s="2">
        <f t="shared" si="5"/>
        <v>0.44669854533000514</v>
      </c>
      <c r="R13">
        <f t="shared" si="6"/>
        <v>0.1167762289882695</v>
      </c>
      <c r="S13">
        <f t="shared" si="7"/>
        <v>0.16529295271914451</v>
      </c>
    </row>
    <row r="14" spans="1:19" x14ac:dyDescent="0.3">
      <c r="A14">
        <v>8.5130999999999997</v>
      </c>
      <c r="B14">
        <f t="shared" si="0"/>
        <v>1.0024999999999995</v>
      </c>
      <c r="C14">
        <v>460.06900000000002</v>
      </c>
      <c r="D14">
        <v>69.195999999999998</v>
      </c>
      <c r="E14">
        <v>160.852</v>
      </c>
      <c r="I14">
        <f t="shared" si="1"/>
        <v>0.25669370733874325</v>
      </c>
      <c r="J14">
        <f t="shared" si="2"/>
        <v>0.42684886517643383</v>
      </c>
      <c r="K14" s="3">
        <f t="shared" si="3"/>
        <v>0.98511837503115773</v>
      </c>
      <c r="L14" s="2">
        <f t="shared" si="4"/>
        <v>0.26057143369254931</v>
      </c>
      <c r="M14" s="2">
        <f t="shared" si="5"/>
        <v>0.43329702906306389</v>
      </c>
      <c r="R14">
        <f t="shared" si="6"/>
        <v>0.16247801634605388</v>
      </c>
      <c r="S14">
        <f t="shared" si="7"/>
        <v>0.12511239377396552</v>
      </c>
    </row>
    <row r="15" spans="1:19" x14ac:dyDescent="0.3">
      <c r="A15">
        <v>9.0132999999999992</v>
      </c>
      <c r="B15">
        <f t="shared" si="0"/>
        <v>1.502699999999999</v>
      </c>
      <c r="C15">
        <v>503.79300000000001</v>
      </c>
      <c r="D15">
        <v>73.570999999999998</v>
      </c>
      <c r="E15">
        <v>157.42599999999999</v>
      </c>
      <c r="I15">
        <f t="shared" si="1"/>
        <v>0.28108934290575432</v>
      </c>
      <c r="J15">
        <f t="shared" si="2"/>
        <v>0.4538368960618448</v>
      </c>
      <c r="K15" s="3">
        <f t="shared" si="3"/>
        <v>0.96413625760111799</v>
      </c>
      <c r="L15" s="2">
        <f t="shared" si="4"/>
        <v>0.29154524652473601</v>
      </c>
      <c r="M15" s="2">
        <f t="shared" si="5"/>
        <v>0.47071862766684375</v>
      </c>
      <c r="R15">
        <f t="shared" si="6"/>
        <v>0.23047116092791076</v>
      </c>
      <c r="S15">
        <f t="shared" si="7"/>
        <v>0.23731020173627235</v>
      </c>
    </row>
    <row r="16" spans="1:19" x14ac:dyDescent="0.3">
      <c r="A16">
        <v>9.5129000000000001</v>
      </c>
      <c r="B16">
        <f t="shared" si="0"/>
        <v>2.0023</v>
      </c>
      <c r="C16">
        <v>535.15499999999997</v>
      </c>
      <c r="D16">
        <v>79.554000000000002</v>
      </c>
      <c r="E16">
        <v>158.88499999999999</v>
      </c>
      <c r="I16">
        <f t="shared" si="1"/>
        <v>0.29858764870240145</v>
      </c>
      <c r="J16">
        <f t="shared" si="2"/>
        <v>0.49074418492753946</v>
      </c>
      <c r="K16" s="3">
        <f t="shared" si="3"/>
        <v>0.97307172442260892</v>
      </c>
      <c r="L16" s="2">
        <f t="shared" si="4"/>
        <v>0.30685060639242628</v>
      </c>
      <c r="M16" s="2">
        <f t="shared" si="5"/>
        <v>0.50432478162771821</v>
      </c>
      <c r="R16">
        <f t="shared" si="6"/>
        <v>0.26406920557289565</v>
      </c>
      <c r="S16">
        <f t="shared" si="7"/>
        <v>0.3380685057407693</v>
      </c>
    </row>
    <row r="17" spans="1:19" x14ac:dyDescent="0.3">
      <c r="A17">
        <v>10.013299999999999</v>
      </c>
      <c r="B17">
        <f t="shared" si="0"/>
        <v>2.502699999999999</v>
      </c>
      <c r="C17">
        <v>561.86199999999997</v>
      </c>
      <c r="D17">
        <v>81.338999999999999</v>
      </c>
      <c r="E17">
        <v>155.50800000000001</v>
      </c>
      <c r="I17">
        <f t="shared" si="1"/>
        <v>0.31348871537260919</v>
      </c>
      <c r="J17">
        <f t="shared" si="2"/>
        <v>0.50175530152878711</v>
      </c>
      <c r="K17" s="3">
        <f t="shared" si="3"/>
        <v>0.95238970149171465</v>
      </c>
      <c r="L17" s="2">
        <f t="shared" si="4"/>
        <v>0.32916012728990685</v>
      </c>
      <c r="M17" s="2">
        <f t="shared" si="5"/>
        <v>0.52683822677092662</v>
      </c>
      <c r="R17">
        <f t="shared" si="6"/>
        <v>0.31304265576298845</v>
      </c>
      <c r="S17">
        <f t="shared" si="7"/>
        <v>0.40556854018591687</v>
      </c>
    </row>
    <row r="18" spans="1:19" x14ac:dyDescent="0.3">
      <c r="A18">
        <v>10.513400000000001</v>
      </c>
      <c r="B18">
        <f t="shared" si="0"/>
        <v>3.0028000000000006</v>
      </c>
      <c r="C18">
        <v>574.89700000000005</v>
      </c>
      <c r="D18">
        <v>78.804000000000002</v>
      </c>
      <c r="E18">
        <v>152.96700000000001</v>
      </c>
      <c r="I18">
        <f t="shared" si="1"/>
        <v>0.32076154287274622</v>
      </c>
      <c r="J18">
        <f t="shared" si="2"/>
        <v>0.48611766534718326</v>
      </c>
      <c r="K18" s="3">
        <f t="shared" si="3"/>
        <v>0.93682765817889191</v>
      </c>
      <c r="L18" s="2">
        <f t="shared" si="4"/>
        <v>0.34239119657961165</v>
      </c>
      <c r="M18" s="2">
        <f t="shared" si="5"/>
        <v>0.51889764473025057</v>
      </c>
      <c r="R18">
        <f t="shared" si="6"/>
        <v>0.34208725585990046</v>
      </c>
      <c r="S18">
        <f t="shared" si="7"/>
        <v>0.38176100838211185</v>
      </c>
    </row>
    <row r="19" spans="1:19" x14ac:dyDescent="0.3">
      <c r="A19">
        <v>11.013400000000001</v>
      </c>
      <c r="B19">
        <f t="shared" si="0"/>
        <v>3.5028000000000006</v>
      </c>
      <c r="C19">
        <v>608.80999999999995</v>
      </c>
      <c r="D19">
        <v>79.820999999999998</v>
      </c>
      <c r="E19">
        <v>154.18</v>
      </c>
      <c r="I19">
        <f t="shared" si="1"/>
        <v>0.33968316918744856</v>
      </c>
      <c r="J19">
        <f t="shared" si="2"/>
        <v>0.49239122589814621</v>
      </c>
      <c r="K19" s="3">
        <f t="shared" si="3"/>
        <v>0.94425652812712246</v>
      </c>
      <c r="L19" s="2">
        <f t="shared" si="4"/>
        <v>0.35973610885295149</v>
      </c>
      <c r="M19" s="2">
        <f t="shared" si="5"/>
        <v>0.52145917050187129</v>
      </c>
      <c r="R19">
        <f t="shared" si="6"/>
        <v>0.38016248845558864</v>
      </c>
      <c r="S19">
        <f t="shared" si="7"/>
        <v>0.38944100034765478</v>
      </c>
    </row>
    <row r="20" spans="1:19" x14ac:dyDescent="0.3">
      <c r="A20">
        <v>11.513400000000001</v>
      </c>
      <c r="B20">
        <f t="shared" si="0"/>
        <v>4.0028000000000006</v>
      </c>
      <c r="C20">
        <v>622.48299999999995</v>
      </c>
      <c r="D20">
        <v>82</v>
      </c>
      <c r="E20">
        <v>151.21299999999999</v>
      </c>
      <c r="I20">
        <f t="shared" si="1"/>
        <v>0.34731196630362599</v>
      </c>
      <c r="J20">
        <f t="shared" si="2"/>
        <v>0.50583280745227432</v>
      </c>
      <c r="K20" s="3">
        <f t="shared" si="3"/>
        <v>0.92608549998499523</v>
      </c>
      <c r="L20" s="2">
        <f t="shared" si="4"/>
        <v>0.3750322905490403</v>
      </c>
      <c r="M20" s="2">
        <f t="shared" si="5"/>
        <v>0.54620529903607173</v>
      </c>
      <c r="R20">
        <f t="shared" si="6"/>
        <v>0.41374038534698321</v>
      </c>
      <c r="S20">
        <f t="shared" si="7"/>
        <v>0.46363508827233096</v>
      </c>
    </row>
    <row r="21" spans="1:19" x14ac:dyDescent="0.3">
      <c r="A21">
        <v>12.013500000000001</v>
      </c>
      <c r="B21" s="6">
        <f t="shared" si="0"/>
        <v>4.5029000000000003</v>
      </c>
      <c r="C21">
        <v>643.58600000000001</v>
      </c>
      <c r="D21">
        <v>85.356999999999999</v>
      </c>
      <c r="E21">
        <v>153.65600000000001</v>
      </c>
      <c r="I21">
        <f t="shared" si="1"/>
        <v>0.35908630299218686</v>
      </c>
      <c r="J21">
        <f t="shared" si="2"/>
        <v>0.52654110909394858</v>
      </c>
      <c r="K21" s="3">
        <f t="shared" si="3"/>
        <v>0.94104735429952735</v>
      </c>
      <c r="L21" s="2">
        <f t="shared" si="4"/>
        <v>0.38158154459663118</v>
      </c>
      <c r="M21" s="2">
        <f t="shared" si="5"/>
        <v>0.55952668767224978</v>
      </c>
      <c r="R21">
        <f t="shared" si="6"/>
        <v>0.42811718744667226</v>
      </c>
      <c r="S21" s="4">
        <f t="shared" si="7"/>
        <v>0.50357540776050458</v>
      </c>
    </row>
    <row r="22" spans="1:19" x14ac:dyDescent="0.3">
      <c r="A22">
        <v>12.5129</v>
      </c>
      <c r="B22">
        <f t="shared" si="0"/>
        <v>5.0023</v>
      </c>
      <c r="C22">
        <v>651.96600000000001</v>
      </c>
      <c r="D22">
        <v>84.625</v>
      </c>
      <c r="E22">
        <v>153.197</v>
      </c>
      <c r="I22">
        <f t="shared" si="1"/>
        <v>0.36376189136588444</v>
      </c>
      <c r="J22">
        <f t="shared" si="2"/>
        <v>0.52202562598352098</v>
      </c>
      <c r="K22" s="3">
        <f t="shared" si="3"/>
        <v>0.93823626501161483</v>
      </c>
      <c r="L22" s="2">
        <f t="shared" si="4"/>
        <v>0.38770819774418042</v>
      </c>
      <c r="M22" s="2">
        <f t="shared" si="5"/>
        <v>0.55639037356657561</v>
      </c>
      <c r="R22">
        <f t="shared" si="6"/>
        <v>0.44156630381865863</v>
      </c>
      <c r="S22">
        <f t="shared" si="7"/>
        <v>0.49417207971287919</v>
      </c>
    </row>
    <row r="23" spans="1:19" x14ac:dyDescent="0.3">
      <c r="A23">
        <v>13.013500000000001</v>
      </c>
      <c r="B23">
        <f t="shared" si="0"/>
        <v>5.5029000000000003</v>
      </c>
      <c r="C23">
        <v>664.96600000000001</v>
      </c>
      <c r="D23">
        <v>89</v>
      </c>
      <c r="E23">
        <v>154.65600000000001</v>
      </c>
      <c r="I23">
        <f t="shared" si="1"/>
        <v>0.37101519075228878</v>
      </c>
      <c r="J23">
        <f t="shared" si="2"/>
        <v>0.54901365686893189</v>
      </c>
      <c r="K23" s="3">
        <f t="shared" si="3"/>
        <v>0.94717173183310577</v>
      </c>
      <c r="L23" s="2">
        <f t="shared" si="4"/>
        <v>0.39170847089602823</v>
      </c>
      <c r="M23" s="2">
        <f t="shared" si="5"/>
        <v>0.57963475726455649</v>
      </c>
      <c r="R23">
        <f t="shared" si="6"/>
        <v>0.45034762991028743</v>
      </c>
      <c r="S23">
        <f t="shared" si="7"/>
        <v>0.56386362138007051</v>
      </c>
    </row>
    <row r="24" spans="1:19" x14ac:dyDescent="0.3">
      <c r="A24">
        <v>13.5131</v>
      </c>
      <c r="B24" s="6">
        <f t="shared" si="0"/>
        <v>6.0024999999999995</v>
      </c>
      <c r="C24">
        <v>676.96600000000001</v>
      </c>
      <c r="D24">
        <v>86.945999999999998</v>
      </c>
      <c r="E24">
        <v>148.59</v>
      </c>
      <c r="I24">
        <f t="shared" si="1"/>
        <v>0.37771054403204662</v>
      </c>
      <c r="J24">
        <f t="shared" si="2"/>
        <v>0.53634316191152986</v>
      </c>
      <c r="K24" s="3">
        <f t="shared" si="3"/>
        <v>0.910021257714419</v>
      </c>
      <c r="L24" s="2">
        <f t="shared" si="4"/>
        <v>0.41505683612346883</v>
      </c>
      <c r="M24" s="2">
        <f t="shared" si="5"/>
        <v>0.58937432215439955</v>
      </c>
      <c r="R24" s="4">
        <f t="shared" si="6"/>
        <v>0.50160153207791702</v>
      </c>
      <c r="S24">
        <f t="shared" si="7"/>
        <v>0.59306488139884117</v>
      </c>
    </row>
    <row r="25" spans="1:19" x14ac:dyDescent="0.3">
      <c r="A25">
        <v>14.013500000000001</v>
      </c>
      <c r="B25">
        <f t="shared" si="0"/>
        <v>6.5029000000000003</v>
      </c>
      <c r="C25">
        <v>690.75900000000001</v>
      </c>
      <c r="D25">
        <v>88.161000000000001</v>
      </c>
      <c r="E25">
        <v>152.607</v>
      </c>
      <c r="I25">
        <f t="shared" si="1"/>
        <v>0.38540629468102167</v>
      </c>
      <c r="J25">
        <f t="shared" si="2"/>
        <v>0.5438381236317068</v>
      </c>
      <c r="K25" s="3">
        <f t="shared" si="3"/>
        <v>0.93462288226680357</v>
      </c>
      <c r="L25" s="2">
        <f t="shared" si="4"/>
        <v>0.41236556689717452</v>
      </c>
      <c r="M25" s="2">
        <f t="shared" si="5"/>
        <v>0.58187974417307198</v>
      </c>
      <c r="R25">
        <f t="shared" si="6"/>
        <v>0.49569370734211388</v>
      </c>
      <c r="S25">
        <f t="shared" si="7"/>
        <v>0.57059456338782522</v>
      </c>
    </row>
    <row r="26" spans="1:19" x14ac:dyDescent="0.3">
      <c r="A26">
        <v>14.513</v>
      </c>
      <c r="B26">
        <f t="shared" si="0"/>
        <v>7.0023999999999997</v>
      </c>
      <c r="C26">
        <v>714.37900000000002</v>
      </c>
      <c r="D26">
        <v>88.786000000000001</v>
      </c>
      <c r="E26">
        <v>150.78700000000001</v>
      </c>
      <c r="I26">
        <f t="shared" si="1"/>
        <v>0.39858498172001172</v>
      </c>
      <c r="J26">
        <f t="shared" si="2"/>
        <v>0.54769355661533692</v>
      </c>
      <c r="K26" s="3">
        <f t="shared" si="3"/>
        <v>0.92347651515569085</v>
      </c>
      <c r="L26" s="2">
        <f t="shared" si="4"/>
        <v>0.43161355505918136</v>
      </c>
      <c r="M26" s="2">
        <f t="shared" si="5"/>
        <v>0.59307794797900204</v>
      </c>
      <c r="R26">
        <f t="shared" si="6"/>
        <v>0.53794653714707807</v>
      </c>
      <c r="S26">
        <f t="shared" si="7"/>
        <v>0.60416912906695164</v>
      </c>
    </row>
    <row r="27" spans="1:19" x14ac:dyDescent="0.3">
      <c r="A27">
        <v>15.0136</v>
      </c>
      <c r="B27">
        <f t="shared" si="0"/>
        <v>7.5030000000000001</v>
      </c>
      <c r="C27">
        <v>705</v>
      </c>
      <c r="D27">
        <v>91.054000000000002</v>
      </c>
      <c r="E27">
        <v>148.066</v>
      </c>
      <c r="I27">
        <f t="shared" si="1"/>
        <v>0.39335200518577429</v>
      </c>
      <c r="J27">
        <f t="shared" si="2"/>
        <v>0.56168415182633402</v>
      </c>
      <c r="K27" s="3">
        <f t="shared" si="3"/>
        <v>0.90681208388682388</v>
      </c>
      <c r="L27" s="2">
        <f t="shared" si="4"/>
        <v>0.43377455172384671</v>
      </c>
      <c r="M27" s="2">
        <f t="shared" si="5"/>
        <v>0.61940523489587274</v>
      </c>
      <c r="R27">
        <f t="shared" si="6"/>
        <v>0.54269031730283646</v>
      </c>
      <c r="S27">
        <f t="shared" si="7"/>
        <v>0.68310386173145221</v>
      </c>
    </row>
    <row r="28" spans="1:19" x14ac:dyDescent="0.3">
      <c r="A28">
        <v>15.513400000000001</v>
      </c>
      <c r="B28">
        <f t="shared" si="0"/>
        <v>8.0028000000000006</v>
      </c>
      <c r="C28">
        <v>721.31</v>
      </c>
      <c r="D28">
        <v>91.518000000000001</v>
      </c>
      <c r="E28">
        <v>147.83600000000001</v>
      </c>
      <c r="I28">
        <f t="shared" si="1"/>
        <v>0.40245210618517846</v>
      </c>
      <c r="J28">
        <f t="shared" si="2"/>
        <v>0.56454642527338106</v>
      </c>
      <c r="K28" s="3">
        <f t="shared" si="3"/>
        <v>0.90540347705410096</v>
      </c>
      <c r="L28" s="2">
        <f t="shared" si="4"/>
        <v>0.44450028786572748</v>
      </c>
      <c r="M28" s="2">
        <f t="shared" si="5"/>
        <v>0.62353021562302602</v>
      </c>
      <c r="R28">
        <f t="shared" si="6"/>
        <v>0.56623525612560599</v>
      </c>
      <c r="S28">
        <f t="shared" si="7"/>
        <v>0.69547141984604899</v>
      </c>
    </row>
    <row r="29" spans="1:19" x14ac:dyDescent="0.3">
      <c r="A29">
        <v>16.013500000000001</v>
      </c>
      <c r="B29">
        <f t="shared" si="0"/>
        <v>8.5029000000000003</v>
      </c>
      <c r="C29">
        <v>727.08600000000001</v>
      </c>
      <c r="D29">
        <v>88.445999999999998</v>
      </c>
      <c r="E29">
        <v>145.148</v>
      </c>
      <c r="I29">
        <f t="shared" si="1"/>
        <v>0.40567480289716862</v>
      </c>
      <c r="J29">
        <f t="shared" si="2"/>
        <v>0.54559620107224216</v>
      </c>
      <c r="K29" s="3">
        <f t="shared" si="3"/>
        <v>0.88894115024384202</v>
      </c>
      <c r="L29" s="2">
        <f t="shared" si="4"/>
        <v>0.45635732217581504</v>
      </c>
      <c r="M29" s="2">
        <f t="shared" si="5"/>
        <v>0.61375964080702283</v>
      </c>
      <c r="R29">
        <f t="shared" si="6"/>
        <v>0.59226359989218458</v>
      </c>
      <c r="S29">
        <f t="shared" si="7"/>
        <v>0.66617718555920724</v>
      </c>
    </row>
    <row r="30" spans="1:19" x14ac:dyDescent="0.3">
      <c r="A30">
        <v>16.512899999999998</v>
      </c>
      <c r="B30">
        <f t="shared" si="0"/>
        <v>9.0022999999999982</v>
      </c>
      <c r="C30">
        <v>748.39700000000005</v>
      </c>
      <c r="D30">
        <v>90.393000000000001</v>
      </c>
      <c r="E30">
        <v>148.197</v>
      </c>
      <c r="I30">
        <f t="shared" si="1"/>
        <v>0.41756519237591194</v>
      </c>
      <c r="J30">
        <f t="shared" si="2"/>
        <v>0.55760664590284681</v>
      </c>
      <c r="K30" s="3">
        <f t="shared" si="3"/>
        <v>0.90761437734372274</v>
      </c>
      <c r="L30" s="2">
        <f t="shared" si="4"/>
        <v>0.46006894866295817</v>
      </c>
      <c r="M30" s="2">
        <f t="shared" si="5"/>
        <v>0.61436515311135875</v>
      </c>
      <c r="R30">
        <f t="shared" si="6"/>
        <v>0.60041129413123295</v>
      </c>
      <c r="S30">
        <f t="shared" si="7"/>
        <v>0.66799263855361335</v>
      </c>
    </row>
    <row r="31" spans="1:19" x14ac:dyDescent="0.3">
      <c r="A31">
        <v>17.0137</v>
      </c>
      <c r="B31">
        <f t="shared" si="0"/>
        <v>9.5030999999999999</v>
      </c>
      <c r="C31">
        <v>759.43100000000004</v>
      </c>
      <c r="D31">
        <v>91.661000000000001</v>
      </c>
      <c r="E31">
        <v>145.197</v>
      </c>
      <c r="I31">
        <f t="shared" si="1"/>
        <v>0.42372156971664932</v>
      </c>
      <c r="J31">
        <f t="shared" si="2"/>
        <v>0.56542854834003564</v>
      </c>
      <c r="K31" s="3">
        <f t="shared" si="3"/>
        <v>0.88924124474298738</v>
      </c>
      <c r="L31" s="2">
        <f t="shared" si="4"/>
        <v>0.47649788201076443</v>
      </c>
      <c r="M31" s="2">
        <f t="shared" si="5"/>
        <v>0.63585506372172207</v>
      </c>
      <c r="R31">
        <f t="shared" si="6"/>
        <v>0.636475786626722</v>
      </c>
      <c r="S31">
        <f t="shared" si="7"/>
        <v>0.73242390161422299</v>
      </c>
    </row>
    <row r="32" spans="1:19" x14ac:dyDescent="0.3">
      <c r="A32">
        <v>17.513300000000001</v>
      </c>
      <c r="B32">
        <f t="shared" si="0"/>
        <v>10.002700000000001</v>
      </c>
      <c r="C32">
        <v>756.08600000000001</v>
      </c>
      <c r="D32">
        <v>89.981999999999999</v>
      </c>
      <c r="E32">
        <v>146.11500000000001</v>
      </c>
      <c r="I32">
        <f t="shared" si="1"/>
        <v>0.42185523998991681</v>
      </c>
      <c r="J32">
        <f t="shared" si="2"/>
        <v>0.55507131317281155</v>
      </c>
      <c r="K32" s="3">
        <f t="shared" si="3"/>
        <v>0.89486342331881241</v>
      </c>
      <c r="L32" s="2">
        <f t="shared" si="4"/>
        <v>0.47141857516688634</v>
      </c>
      <c r="M32" s="2">
        <f t="shared" si="5"/>
        <v>0.62028606679910825</v>
      </c>
      <c r="R32">
        <f t="shared" si="6"/>
        <v>0.62532578560868357</v>
      </c>
      <c r="S32">
        <f t="shared" si="7"/>
        <v>0.6857447806770236</v>
      </c>
    </row>
    <row r="33" spans="1:19" x14ac:dyDescent="0.3">
      <c r="A33">
        <v>18.013500000000001</v>
      </c>
      <c r="B33">
        <f t="shared" si="0"/>
        <v>10.5029</v>
      </c>
      <c r="C33">
        <v>768.53399999999999</v>
      </c>
      <c r="D33">
        <v>92.731999999999999</v>
      </c>
      <c r="E33">
        <v>147.65600000000001</v>
      </c>
      <c r="I33">
        <f t="shared" si="1"/>
        <v>0.42880055312545229</v>
      </c>
      <c r="J33">
        <f t="shared" si="2"/>
        <v>0.57203521830078419</v>
      </c>
      <c r="K33" s="3">
        <f t="shared" si="3"/>
        <v>0.90430108909805684</v>
      </c>
      <c r="L33" s="2">
        <f t="shared" si="4"/>
        <v>0.47417896350554523</v>
      </c>
      <c r="M33" s="2">
        <f t="shared" si="5"/>
        <v>0.63257163482057488</v>
      </c>
      <c r="R33">
        <f t="shared" si="6"/>
        <v>0.63138533934943153</v>
      </c>
      <c r="S33">
        <f t="shared" si="7"/>
        <v>0.72257949252819353</v>
      </c>
    </row>
    <row r="34" spans="1:19" x14ac:dyDescent="0.3">
      <c r="A34">
        <v>18.512899999999998</v>
      </c>
      <c r="B34">
        <f t="shared" si="0"/>
        <v>11.002299999999998</v>
      </c>
      <c r="C34">
        <v>770.93100000000004</v>
      </c>
      <c r="D34">
        <v>91.804000000000002</v>
      </c>
      <c r="E34">
        <v>144.70500000000001</v>
      </c>
      <c r="I34">
        <f t="shared" si="1"/>
        <v>0.43013794994308391</v>
      </c>
      <c r="J34">
        <f t="shared" si="2"/>
        <v>0.56631067140669022</v>
      </c>
      <c r="K34" s="3">
        <f t="shared" si="3"/>
        <v>0.88622805099646684</v>
      </c>
      <c r="L34" s="2">
        <f t="shared" si="4"/>
        <v>0.48535808526873042</v>
      </c>
      <c r="M34" s="2">
        <f t="shared" si="5"/>
        <v>0.63901235214788743</v>
      </c>
      <c r="R34">
        <f t="shared" si="6"/>
        <v>0.65592554195414809</v>
      </c>
      <c r="S34">
        <f t="shared" si="7"/>
        <v>0.7418901150775018</v>
      </c>
    </row>
    <row r="35" spans="1:19" x14ac:dyDescent="0.3">
      <c r="A35">
        <v>19.013500000000001</v>
      </c>
      <c r="B35">
        <f t="shared" si="0"/>
        <v>11.5029</v>
      </c>
      <c r="C35">
        <v>778.58600000000001</v>
      </c>
      <c r="D35">
        <v>96.518000000000001</v>
      </c>
      <c r="E35">
        <v>147.68899999999999</v>
      </c>
      <c r="I35">
        <f t="shared" si="1"/>
        <v>0.4344090273894628</v>
      </c>
      <c r="J35">
        <f t="shared" si="2"/>
        <v>0.59538988914242219</v>
      </c>
      <c r="K35" s="3">
        <f t="shared" si="3"/>
        <v>0.90450319355666475</v>
      </c>
      <c r="L35" s="2">
        <f t="shared" si="4"/>
        <v>0.48027362477438085</v>
      </c>
      <c r="M35" s="2">
        <f t="shared" si="5"/>
        <v>0.65825073187552274</v>
      </c>
      <c r="R35">
        <f t="shared" si="6"/>
        <v>0.64476422773732678</v>
      </c>
      <c r="S35">
        <f t="shared" si="7"/>
        <v>0.79957081592199053</v>
      </c>
    </row>
    <row r="36" spans="1:19" x14ac:dyDescent="0.3">
      <c r="A36">
        <v>19.513400000000001</v>
      </c>
      <c r="B36">
        <f t="shared" si="0"/>
        <v>12.002800000000001</v>
      </c>
      <c r="C36">
        <v>800.89700000000005</v>
      </c>
      <c r="D36">
        <v>92.445999999999998</v>
      </c>
      <c r="E36">
        <v>150</v>
      </c>
      <c r="I36">
        <f t="shared" si="1"/>
        <v>0.44685736297485262</v>
      </c>
      <c r="J36">
        <f t="shared" si="2"/>
        <v>0.57027097216747502</v>
      </c>
      <c r="K36" s="3">
        <f t="shared" si="3"/>
        <v>0.91865663003676457</v>
      </c>
      <c r="L36" s="2">
        <f t="shared" si="4"/>
        <v>0.48642479503682395</v>
      </c>
      <c r="M36" s="2">
        <f t="shared" si="5"/>
        <v>0.62076618566901631</v>
      </c>
      <c r="R36">
        <f t="shared" si="6"/>
        <v>0.65826716362926496</v>
      </c>
      <c r="S36">
        <f t="shared" si="7"/>
        <v>0.68718427783307467</v>
      </c>
    </row>
    <row r="37" spans="1:19" x14ac:dyDescent="0.3">
      <c r="A37">
        <v>20.013400000000001</v>
      </c>
      <c r="B37">
        <f t="shared" si="0"/>
        <v>12.502800000000001</v>
      </c>
      <c r="C37">
        <v>809.53399999999999</v>
      </c>
      <c r="D37">
        <v>91.536000000000001</v>
      </c>
      <c r="E37">
        <v>146.24600000000001</v>
      </c>
      <c r="I37">
        <f t="shared" si="1"/>
        <v>0.45167634349795827</v>
      </c>
      <c r="J37">
        <f t="shared" si="2"/>
        <v>0.56465746174330955</v>
      </c>
      <c r="K37" s="3">
        <f t="shared" si="3"/>
        <v>0.89566571677571127</v>
      </c>
      <c r="L37" s="2">
        <f t="shared" si="4"/>
        <v>0.5042912048972229</v>
      </c>
      <c r="M37" s="2">
        <f t="shared" si="5"/>
        <v>0.63043326451749027</v>
      </c>
      <c r="R37">
        <f t="shared" si="6"/>
        <v>0.69748717814212013</v>
      </c>
      <c r="S37">
        <f t="shared" si="7"/>
        <v>0.71616820948392623</v>
      </c>
    </row>
    <row r="38" spans="1:19" x14ac:dyDescent="0.3">
      <c r="A38">
        <v>20.513400000000001</v>
      </c>
      <c r="B38">
        <f t="shared" si="0"/>
        <v>13.002800000000001</v>
      </c>
      <c r="C38">
        <v>806.34500000000003</v>
      </c>
      <c r="D38">
        <v>89.320999999999998</v>
      </c>
      <c r="E38">
        <v>145.11500000000001</v>
      </c>
      <c r="I38">
        <f t="shared" si="1"/>
        <v>0.44989705336386265</v>
      </c>
      <c r="J38">
        <f t="shared" si="2"/>
        <v>0.55099380724932434</v>
      </c>
      <c r="K38" s="3">
        <f t="shared" si="3"/>
        <v>0.88873904578523399</v>
      </c>
      <c r="L38" s="2">
        <f t="shared" si="4"/>
        <v>0.50621952022639205</v>
      </c>
      <c r="M38" s="2">
        <f t="shared" si="5"/>
        <v>0.61997254409195091</v>
      </c>
      <c r="R38">
        <f t="shared" si="6"/>
        <v>0.70172018050724594</v>
      </c>
      <c r="S38">
        <f t="shared" si="7"/>
        <v>0.68480477378790294</v>
      </c>
    </row>
    <row r="39" spans="1:19" x14ac:dyDescent="0.3">
      <c r="A39">
        <v>21.013500000000001</v>
      </c>
      <c r="B39">
        <f t="shared" si="0"/>
        <v>13.5029</v>
      </c>
      <c r="C39">
        <v>814.39700000000005</v>
      </c>
      <c r="D39">
        <v>92.768000000000001</v>
      </c>
      <c r="E39">
        <v>138.91800000000001</v>
      </c>
      <c r="I39">
        <f t="shared" si="1"/>
        <v>0.45438963541458022</v>
      </c>
      <c r="J39">
        <f t="shared" si="2"/>
        <v>0.57225729124064129</v>
      </c>
      <c r="K39" s="3">
        <f t="shared" si="3"/>
        <v>0.85078627820964847</v>
      </c>
      <c r="L39" s="2">
        <f t="shared" si="4"/>
        <v>0.53408199809095969</v>
      </c>
      <c r="M39" s="2">
        <f t="shared" si="5"/>
        <v>0.67262167467588985</v>
      </c>
      <c r="R39">
        <f t="shared" si="6"/>
        <v>0.76288337975941201</v>
      </c>
      <c r="S39">
        <f t="shared" si="7"/>
        <v>0.84265791911137755</v>
      </c>
    </row>
    <row r="40" spans="1:19" x14ac:dyDescent="0.3">
      <c r="A40">
        <v>21.513000000000002</v>
      </c>
      <c r="B40">
        <f t="shared" si="0"/>
        <v>14.002400000000002</v>
      </c>
      <c r="C40">
        <v>819.67200000000003</v>
      </c>
      <c r="D40">
        <v>95.018000000000001</v>
      </c>
      <c r="E40">
        <v>144.63900000000001</v>
      </c>
      <c r="I40">
        <f t="shared" si="1"/>
        <v>0.45733280112714042</v>
      </c>
      <c r="J40">
        <f t="shared" si="2"/>
        <v>0.58613684998170978</v>
      </c>
      <c r="K40" s="3">
        <f t="shared" si="3"/>
        <v>0.88582384207925069</v>
      </c>
      <c r="L40" s="2">
        <f t="shared" si="4"/>
        <v>0.51627962513818282</v>
      </c>
      <c r="M40" s="2">
        <f t="shared" si="5"/>
        <v>0.66168556561528036</v>
      </c>
      <c r="R40">
        <f t="shared" si="6"/>
        <v>0.72380393788906994</v>
      </c>
      <c r="S40">
        <f t="shared" si="7"/>
        <v>0.80986916849629376</v>
      </c>
    </row>
    <row r="41" spans="1:19" x14ac:dyDescent="0.3">
      <c r="A41">
        <v>22.013200000000001</v>
      </c>
      <c r="B41">
        <f t="shared" si="0"/>
        <v>14.502600000000001</v>
      </c>
      <c r="C41">
        <v>818.56899999999996</v>
      </c>
      <c r="D41">
        <v>95.106999999999999</v>
      </c>
      <c r="E41">
        <v>141.869</v>
      </c>
      <c r="I41">
        <f t="shared" si="1"/>
        <v>0.45671738657150929</v>
      </c>
      <c r="J41">
        <f t="shared" si="2"/>
        <v>0.58668586363857878</v>
      </c>
      <c r="K41" s="3">
        <f t="shared" si="3"/>
        <v>0.86885931631123836</v>
      </c>
      <c r="L41" s="2">
        <f t="shared" si="4"/>
        <v>0.52565171138466138</v>
      </c>
      <c r="M41" s="2">
        <f t="shared" si="5"/>
        <v>0.67523689120278607</v>
      </c>
      <c r="R41">
        <f t="shared" si="6"/>
        <v>0.74437736934366494</v>
      </c>
      <c r="S41">
        <f t="shared" si="7"/>
        <v>0.85049888723172173</v>
      </c>
    </row>
    <row r="42" spans="1:19" x14ac:dyDescent="0.3">
      <c r="A42">
        <v>22.513300000000001</v>
      </c>
      <c r="B42">
        <f t="shared" si="0"/>
        <v>15.002700000000001</v>
      </c>
      <c r="C42">
        <v>836.37900000000002</v>
      </c>
      <c r="D42">
        <v>96.911000000000001</v>
      </c>
      <c r="E42">
        <v>140</v>
      </c>
      <c r="I42">
        <f t="shared" si="1"/>
        <v>0.46665440673088326</v>
      </c>
      <c r="J42">
        <f t="shared" si="2"/>
        <v>0.59781418540252873</v>
      </c>
      <c r="K42" s="3">
        <f t="shared" si="3"/>
        <v>0.85741285470098028</v>
      </c>
      <c r="L42" s="2">
        <f t="shared" si="4"/>
        <v>0.5442587012456529</v>
      </c>
      <c r="M42" s="2">
        <f t="shared" si="5"/>
        <v>0.69723025742483691</v>
      </c>
      <c r="R42">
        <f t="shared" si="6"/>
        <v>0.7852230914607965</v>
      </c>
      <c r="S42">
        <f t="shared" si="7"/>
        <v>0.91643961589896517</v>
      </c>
    </row>
    <row r="43" spans="1:19" x14ac:dyDescent="0.3">
      <c r="A43">
        <v>23.013300000000001</v>
      </c>
      <c r="B43">
        <f t="shared" si="0"/>
        <v>15.502700000000001</v>
      </c>
      <c r="C43">
        <v>829.94799999999998</v>
      </c>
      <c r="D43">
        <v>93.088999999999999</v>
      </c>
      <c r="E43">
        <v>139.22999999999999</v>
      </c>
      <c r="I43">
        <f t="shared" si="1"/>
        <v>0.46306625531903972</v>
      </c>
      <c r="J43">
        <f t="shared" si="2"/>
        <v>0.57423744162103374</v>
      </c>
      <c r="K43" s="3">
        <f t="shared" si="3"/>
        <v>0.85269708400012478</v>
      </c>
      <c r="L43" s="2">
        <f t="shared" si="4"/>
        <v>0.54306067653794388</v>
      </c>
      <c r="M43" s="2">
        <f t="shared" si="5"/>
        <v>0.673436619399709</v>
      </c>
      <c r="R43">
        <f t="shared" si="6"/>
        <v>0.78259320964401058</v>
      </c>
      <c r="S43">
        <f t="shared" si="7"/>
        <v>0.84510129446236326</v>
      </c>
    </row>
    <row r="44" spans="1:19" x14ac:dyDescent="0.3">
      <c r="A44">
        <v>23.512899999999998</v>
      </c>
      <c r="B44">
        <f t="shared" si="0"/>
        <v>16.002299999999998</v>
      </c>
      <c r="C44">
        <v>832.39700000000005</v>
      </c>
      <c r="D44">
        <v>91.088999999999999</v>
      </c>
      <c r="E44">
        <v>142.01599999999999</v>
      </c>
      <c r="I44">
        <f t="shared" si="1"/>
        <v>0.46443266533421701</v>
      </c>
      <c r="J44">
        <f t="shared" si="2"/>
        <v>0.56190005607341731</v>
      </c>
      <c r="K44" s="3">
        <f t="shared" si="3"/>
        <v>0.86975959980867434</v>
      </c>
      <c r="L44" s="2">
        <f t="shared" si="4"/>
        <v>0.53397819976506233</v>
      </c>
      <c r="M44" s="2">
        <f t="shared" si="5"/>
        <v>0.64604064869996425</v>
      </c>
      <c r="R44">
        <f t="shared" si="6"/>
        <v>0.76265552358237854</v>
      </c>
      <c r="S44">
        <f t="shared" si="7"/>
        <v>0.76296242348424126</v>
      </c>
    </row>
    <row r="45" spans="1:19" x14ac:dyDescent="0.3">
      <c r="A45">
        <v>24.0137</v>
      </c>
      <c r="B45">
        <f t="shared" si="0"/>
        <v>16.5031</v>
      </c>
      <c r="C45">
        <v>841.65499999999997</v>
      </c>
      <c r="D45">
        <v>95.036000000000001</v>
      </c>
      <c r="E45">
        <v>141.721</v>
      </c>
      <c r="I45">
        <f t="shared" si="1"/>
        <v>0.46959813038955012</v>
      </c>
      <c r="J45">
        <f t="shared" si="2"/>
        <v>0.58624788645163839</v>
      </c>
      <c r="K45" s="3">
        <f t="shared" si="3"/>
        <v>0.86795290843626882</v>
      </c>
      <c r="L45" s="2">
        <f t="shared" si="4"/>
        <v>0.54104102402927923</v>
      </c>
      <c r="M45" s="2">
        <f t="shared" si="5"/>
        <v>0.67543743531874434</v>
      </c>
      <c r="R45">
        <f t="shared" si="6"/>
        <v>0.77815970558137726</v>
      </c>
      <c r="S45">
        <f t="shared" si="7"/>
        <v>0.85110016058854687</v>
      </c>
    </row>
    <row r="46" spans="1:19" x14ac:dyDescent="0.3">
      <c r="A46">
        <v>24.513100000000001</v>
      </c>
      <c r="B46">
        <f t="shared" si="0"/>
        <v>17.002500000000001</v>
      </c>
      <c r="C46">
        <v>855.31</v>
      </c>
      <c r="D46">
        <v>95.286000000000001</v>
      </c>
      <c r="E46">
        <v>144.78700000000001</v>
      </c>
      <c r="I46">
        <f t="shared" si="1"/>
        <v>0.4772168844758079</v>
      </c>
      <c r="J46">
        <f t="shared" si="2"/>
        <v>0.58779005964509046</v>
      </c>
      <c r="K46" s="3">
        <f t="shared" si="3"/>
        <v>0.88673024995422023</v>
      </c>
      <c r="L46" s="2">
        <f t="shared" si="4"/>
        <v>0.53817593851167866</v>
      </c>
      <c r="M46" s="2">
        <f t="shared" si="5"/>
        <v>0.66287358492104742</v>
      </c>
      <c r="R46">
        <f t="shared" si="6"/>
        <v>0.77187032251791521</v>
      </c>
      <c r="S46">
        <f t="shared" si="7"/>
        <v>0.81343109975784333</v>
      </c>
    </row>
    <row r="47" spans="1:19" x14ac:dyDescent="0.3">
      <c r="A47">
        <v>25.0138</v>
      </c>
      <c r="B47">
        <f t="shared" si="0"/>
        <v>17.5032</v>
      </c>
      <c r="C47">
        <v>841.32799999999997</v>
      </c>
      <c r="D47">
        <v>97.786000000000001</v>
      </c>
      <c r="E47">
        <v>139.41</v>
      </c>
      <c r="I47">
        <f t="shared" si="1"/>
        <v>0.46941568201267675</v>
      </c>
      <c r="J47">
        <f t="shared" si="2"/>
        <v>0.60321179157961102</v>
      </c>
      <c r="K47" s="3">
        <f t="shared" si="3"/>
        <v>0.85379947195616901</v>
      </c>
      <c r="L47" s="2">
        <f t="shared" si="4"/>
        <v>0.54979617279123227</v>
      </c>
      <c r="M47" s="2">
        <f t="shared" si="5"/>
        <v>0.70650288667615591</v>
      </c>
      <c r="R47">
        <f t="shared" si="6"/>
        <v>0.79737884721022245</v>
      </c>
      <c r="S47">
        <f t="shared" si="7"/>
        <v>0.94424090485672962</v>
      </c>
    </row>
    <row r="48" spans="1:19" x14ac:dyDescent="0.3">
      <c r="A48">
        <v>25.513200000000001</v>
      </c>
      <c r="B48">
        <f t="shared" si="0"/>
        <v>18.002600000000001</v>
      </c>
      <c r="C48">
        <v>852.41399999999999</v>
      </c>
      <c r="D48">
        <v>94.481999999999999</v>
      </c>
      <c r="E48">
        <v>135.066</v>
      </c>
      <c r="I48">
        <f t="shared" si="1"/>
        <v>0.47560107255095968</v>
      </c>
      <c r="J48">
        <f t="shared" si="2"/>
        <v>0.58283043065494855</v>
      </c>
      <c r="K48" s="3">
        <f t="shared" si="3"/>
        <v>0.82719517595030434</v>
      </c>
      <c r="L48" s="2">
        <f t="shared" si="4"/>
        <v>0.57495629372424251</v>
      </c>
      <c r="M48" s="2">
        <f t="shared" si="5"/>
        <v>0.70458635108138423</v>
      </c>
      <c r="R48">
        <f t="shared" si="6"/>
        <v>0.85260988219980127</v>
      </c>
      <c r="S48">
        <f t="shared" si="7"/>
        <v>0.93849472883437779</v>
      </c>
    </row>
    <row r="49" spans="1:19" x14ac:dyDescent="0.3">
      <c r="A49">
        <v>26.013200000000001</v>
      </c>
      <c r="B49">
        <f t="shared" si="0"/>
        <v>18.502600000000001</v>
      </c>
      <c r="C49">
        <v>861.39700000000005</v>
      </c>
      <c r="D49">
        <v>91.5</v>
      </c>
      <c r="E49">
        <v>135.90199999999999</v>
      </c>
      <c r="I49">
        <f t="shared" si="1"/>
        <v>0.48061310242696514</v>
      </c>
      <c r="J49">
        <f t="shared" si="2"/>
        <v>0.56443538880345245</v>
      </c>
      <c r="K49" s="3">
        <f t="shared" si="3"/>
        <v>0.83231515556837576</v>
      </c>
      <c r="L49" s="2">
        <f t="shared" si="4"/>
        <v>0.57744124831988852</v>
      </c>
      <c r="M49" s="2">
        <f t="shared" si="5"/>
        <v>0.67815104053705211</v>
      </c>
      <c r="R49">
        <f t="shared" si="6"/>
        <v>0.8580648088507925</v>
      </c>
      <c r="S49">
        <f t="shared" si="7"/>
        <v>0.85923611865898741</v>
      </c>
    </row>
    <row r="50" spans="1:19" x14ac:dyDescent="0.3">
      <c r="A50">
        <v>26.513200000000001</v>
      </c>
      <c r="B50">
        <f t="shared" si="0"/>
        <v>19.002600000000001</v>
      </c>
      <c r="C50">
        <v>862.89700000000005</v>
      </c>
      <c r="D50">
        <v>94.018000000000001</v>
      </c>
      <c r="E50">
        <v>139.44300000000001</v>
      </c>
      <c r="I50">
        <f t="shared" si="1"/>
        <v>0.4814500215869349</v>
      </c>
      <c r="J50">
        <f t="shared" si="2"/>
        <v>0.57996815720790162</v>
      </c>
      <c r="K50" s="3">
        <f t="shared" si="3"/>
        <v>0.85400157641477714</v>
      </c>
      <c r="L50" s="2">
        <f t="shared" si="4"/>
        <v>0.56375776682770551</v>
      </c>
      <c r="M50" s="2">
        <f t="shared" si="5"/>
        <v>0.67911836842584339</v>
      </c>
      <c r="R50">
        <f t="shared" si="6"/>
        <v>0.82802708180304752</v>
      </c>
      <c r="S50">
        <f t="shared" si="7"/>
        <v>0.86213637072604432</v>
      </c>
    </row>
    <row r="51" spans="1:19" x14ac:dyDescent="0.3">
      <c r="A51">
        <v>27.013400000000001</v>
      </c>
      <c r="B51">
        <f t="shared" si="0"/>
        <v>19.502800000000001</v>
      </c>
      <c r="C51">
        <v>877.67200000000003</v>
      </c>
      <c r="D51">
        <v>93.588999999999999</v>
      </c>
      <c r="E51">
        <v>136.869</v>
      </c>
      <c r="I51">
        <f t="shared" si="1"/>
        <v>0.48969367531263674</v>
      </c>
      <c r="J51">
        <f t="shared" si="2"/>
        <v>0.57732178800793787</v>
      </c>
      <c r="K51" s="3">
        <f t="shared" si="3"/>
        <v>0.83823742864334627</v>
      </c>
      <c r="L51" s="2">
        <f t="shared" si="4"/>
        <v>0.5841944759078419</v>
      </c>
      <c r="M51" s="2">
        <f t="shared" si="5"/>
        <v>0.6887330108156946</v>
      </c>
      <c r="R51">
        <f t="shared" si="6"/>
        <v>0.872889369916931</v>
      </c>
      <c r="S51">
        <f t="shared" si="7"/>
        <v>0.89096308686675507</v>
      </c>
    </row>
    <row r="52" spans="1:19" x14ac:dyDescent="0.3">
      <c r="A52">
        <v>27.513000000000002</v>
      </c>
      <c r="B52">
        <f t="shared" si="0"/>
        <v>20.002400000000002</v>
      </c>
      <c r="C52">
        <v>865.93100000000004</v>
      </c>
      <c r="D52">
        <v>93.643000000000001</v>
      </c>
      <c r="E52">
        <v>135.65600000000001</v>
      </c>
      <c r="I52">
        <f t="shared" si="1"/>
        <v>0.48314283007450032</v>
      </c>
      <c r="J52">
        <f t="shared" si="2"/>
        <v>0.57765489741772347</v>
      </c>
      <c r="K52" s="3">
        <f t="shared" si="3"/>
        <v>0.83080855869511561</v>
      </c>
      <c r="L52" s="2">
        <f t="shared" si="4"/>
        <v>0.58153328467551424</v>
      </c>
      <c r="M52" s="2">
        <f t="shared" si="5"/>
        <v>0.6952924249179615</v>
      </c>
      <c r="R52">
        <f t="shared" si="6"/>
        <v>0.86704757184060266</v>
      </c>
      <c r="S52">
        <f t="shared" si="7"/>
        <v>0.91062958726358878</v>
      </c>
    </row>
    <row r="53" spans="1:19" x14ac:dyDescent="0.3">
      <c r="A53">
        <v>28.013200000000001</v>
      </c>
      <c r="B53">
        <f t="shared" si="0"/>
        <v>20.502600000000001</v>
      </c>
      <c r="C53">
        <v>869.20699999999999</v>
      </c>
      <c r="D53">
        <v>94.213999999999999</v>
      </c>
      <c r="E53">
        <v>135.44300000000001</v>
      </c>
      <c r="I53">
        <f t="shared" si="1"/>
        <v>0.48497066151987417</v>
      </c>
      <c r="J53">
        <f t="shared" si="2"/>
        <v>0.58117722099156799</v>
      </c>
      <c r="K53" s="3">
        <f t="shared" si="3"/>
        <v>0.82950406628046347</v>
      </c>
      <c r="L53" s="2">
        <f t="shared" si="4"/>
        <v>0.58465133714715367</v>
      </c>
      <c r="M53" s="2">
        <f t="shared" si="5"/>
        <v>0.70063215433963433</v>
      </c>
      <c r="R53">
        <f t="shared" si="6"/>
        <v>0.8738922633116406</v>
      </c>
      <c r="S53">
        <f t="shared" si="7"/>
        <v>0.92663921695811002</v>
      </c>
    </row>
    <row r="54" spans="1:19" x14ac:dyDescent="0.3">
      <c r="A54">
        <v>28.513200000000001</v>
      </c>
      <c r="B54">
        <f t="shared" si="0"/>
        <v>21.002600000000001</v>
      </c>
      <c r="C54">
        <v>878.84500000000003</v>
      </c>
      <c r="D54">
        <v>93.570999999999998</v>
      </c>
      <c r="E54">
        <v>136.869</v>
      </c>
      <c r="I54">
        <f t="shared" si="1"/>
        <v>0.49034814609573307</v>
      </c>
      <c r="J54">
        <f t="shared" si="2"/>
        <v>0.57721075153800927</v>
      </c>
      <c r="K54" s="3">
        <f t="shared" si="3"/>
        <v>0.83823742864334627</v>
      </c>
      <c r="L54" s="2">
        <f t="shared" si="4"/>
        <v>0.58497524608193874</v>
      </c>
      <c r="M54" s="2">
        <f t="shared" si="5"/>
        <v>0.68860054659239178</v>
      </c>
      <c r="R54">
        <f t="shared" si="6"/>
        <v>0.87460330225132554</v>
      </c>
      <c r="S54">
        <f t="shared" si="7"/>
        <v>0.89056593131908957</v>
      </c>
    </row>
    <row r="55" spans="1:19" x14ac:dyDescent="0.3">
      <c r="A55">
        <v>29.013200000000001</v>
      </c>
      <c r="B55">
        <f t="shared" si="0"/>
        <v>21.502600000000001</v>
      </c>
      <c r="C55">
        <v>873.93100000000004</v>
      </c>
      <c r="D55">
        <v>91.695999999999998</v>
      </c>
      <c r="E55">
        <v>135.70500000000001</v>
      </c>
      <c r="I55">
        <f t="shared" si="1"/>
        <v>0.48760639892767221</v>
      </c>
      <c r="J55">
        <f t="shared" si="2"/>
        <v>0.56564445258711893</v>
      </c>
      <c r="K55" s="3">
        <f t="shared" si="3"/>
        <v>0.83110865319426097</v>
      </c>
      <c r="L55" s="2">
        <f t="shared" si="4"/>
        <v>0.58669392630388184</v>
      </c>
      <c r="M55" s="2">
        <f t="shared" si="5"/>
        <v>0.68059025785995131</v>
      </c>
      <c r="R55">
        <f t="shared" si="6"/>
        <v>0.87837611748249145</v>
      </c>
      <c r="S55">
        <f t="shared" si="7"/>
        <v>0.86654940422090698</v>
      </c>
    </row>
    <row r="56" spans="1:19" x14ac:dyDescent="0.3">
      <c r="A56">
        <v>29.513500000000001</v>
      </c>
      <c r="B56">
        <f t="shared" si="0"/>
        <v>22.0029</v>
      </c>
      <c r="C56">
        <v>877.91399999999999</v>
      </c>
      <c r="D56">
        <v>93.213999999999999</v>
      </c>
      <c r="E56">
        <v>133</v>
      </c>
      <c r="I56">
        <f t="shared" si="1"/>
        <v>0.48982869827044517</v>
      </c>
      <c r="J56">
        <f t="shared" si="2"/>
        <v>0.57500852821775972</v>
      </c>
      <c r="K56" s="3">
        <f t="shared" si="3"/>
        <v>0.81454221196593124</v>
      </c>
      <c r="L56" s="2">
        <f t="shared" si="4"/>
        <v>0.6013545904370301</v>
      </c>
      <c r="M56" s="2">
        <f t="shared" si="5"/>
        <v>0.70592845867367993</v>
      </c>
      <c r="R56">
        <f t="shared" si="6"/>
        <v>0.91055893790153053</v>
      </c>
      <c r="S56">
        <f t="shared" si="7"/>
        <v>0.94251864912435535</v>
      </c>
    </row>
    <row r="57" spans="1:19" x14ac:dyDescent="0.3">
      <c r="A57">
        <v>30.0137</v>
      </c>
      <c r="B57">
        <f t="shared" si="0"/>
        <v>22.5031</v>
      </c>
      <c r="C57">
        <v>891.48299999999995</v>
      </c>
      <c r="D57">
        <v>95.643000000000001</v>
      </c>
      <c r="E57">
        <v>130.803</v>
      </c>
      <c r="I57">
        <f t="shared" si="1"/>
        <v>0.49739946899153131</v>
      </c>
      <c r="J57">
        <f t="shared" si="2"/>
        <v>0.5899922829653399</v>
      </c>
      <c r="K57" s="3">
        <f t="shared" si="3"/>
        <v>0.8010869545246595</v>
      </c>
      <c r="L57" s="2">
        <f t="shared" si="4"/>
        <v>0.62090571589281829</v>
      </c>
      <c r="M57" s="2">
        <f t="shared" si="5"/>
        <v>0.73648969020525779</v>
      </c>
      <c r="R57">
        <f t="shared" si="6"/>
        <v>0.95347720912166356</v>
      </c>
      <c r="S57">
        <f t="shared" si="7"/>
        <v>1.0341476365114741</v>
      </c>
    </row>
    <row r="58" spans="1:19" x14ac:dyDescent="0.3">
      <c r="A58">
        <v>30.513100000000001</v>
      </c>
      <c r="B58">
        <f t="shared" si="0"/>
        <v>23.002500000000001</v>
      </c>
      <c r="C58">
        <v>882.34500000000003</v>
      </c>
      <c r="D58">
        <v>94.393000000000001</v>
      </c>
      <c r="E58">
        <v>134.541</v>
      </c>
      <c r="I58">
        <f t="shared" si="1"/>
        <v>0.49230095746899577</v>
      </c>
      <c r="J58">
        <f t="shared" si="2"/>
        <v>0.58228141699807967</v>
      </c>
      <c r="K58" s="3">
        <f t="shared" si="3"/>
        <v>0.82397987774517567</v>
      </c>
      <c r="L58" s="2">
        <f t="shared" si="4"/>
        <v>0.59746720856361124</v>
      </c>
      <c r="M58" s="2">
        <f t="shared" si="5"/>
        <v>0.70666946211295256</v>
      </c>
      <c r="R58">
        <f t="shared" si="6"/>
        <v>0.90202542866918978</v>
      </c>
      <c r="S58">
        <f t="shared" si="7"/>
        <v>0.94474033298289906</v>
      </c>
    </row>
    <row r="59" spans="1:19" x14ac:dyDescent="0.3">
      <c r="A59">
        <v>31.0137</v>
      </c>
      <c r="B59">
        <f t="shared" si="0"/>
        <v>23.5031</v>
      </c>
      <c r="C59">
        <v>888.56899999999996</v>
      </c>
      <c r="D59">
        <v>93.393000000000001</v>
      </c>
      <c r="E59">
        <v>133.29499999999999</v>
      </c>
      <c r="I59">
        <f t="shared" si="1"/>
        <v>0.49577361403676345</v>
      </c>
      <c r="J59">
        <f t="shared" si="2"/>
        <v>0.5761127242242714</v>
      </c>
      <c r="K59" s="3">
        <f t="shared" si="3"/>
        <v>0.81634890333833687</v>
      </c>
      <c r="L59" s="2">
        <f t="shared" si="4"/>
        <v>0.60730603300791042</v>
      </c>
      <c r="M59" s="2">
        <f t="shared" si="5"/>
        <v>0.70571874583078942</v>
      </c>
      <c r="R59">
        <f t="shared" si="6"/>
        <v>0.923623435236259</v>
      </c>
      <c r="S59">
        <f t="shared" si="7"/>
        <v>0.94188988599953571</v>
      </c>
    </row>
    <row r="60" spans="1:19" x14ac:dyDescent="0.3">
      <c r="A60">
        <v>31.513100000000001</v>
      </c>
      <c r="B60">
        <f t="shared" si="0"/>
        <v>24.002500000000001</v>
      </c>
      <c r="C60">
        <v>882.13800000000003</v>
      </c>
      <c r="D60">
        <v>92.893000000000001</v>
      </c>
      <c r="E60">
        <v>134.803</v>
      </c>
      <c r="I60">
        <f t="shared" si="1"/>
        <v>0.49218546262491997</v>
      </c>
      <c r="J60">
        <f t="shared" si="2"/>
        <v>0.57302837783736738</v>
      </c>
      <c r="K60" s="3">
        <f t="shared" si="3"/>
        <v>0.82558446465897317</v>
      </c>
      <c r="L60" s="2">
        <f t="shared" si="4"/>
        <v>0.59616609044142876</v>
      </c>
      <c r="M60" s="2">
        <f t="shared" si="5"/>
        <v>0.69408813073301956</v>
      </c>
      <c r="R60">
        <f t="shared" si="6"/>
        <v>0.89916923808397076</v>
      </c>
      <c r="S60">
        <f t="shared" si="7"/>
        <v>0.90701886049793456</v>
      </c>
    </row>
    <row r="61" spans="1:19" x14ac:dyDescent="0.3">
      <c r="A61">
        <v>32.013300000000001</v>
      </c>
      <c r="B61">
        <f t="shared" si="0"/>
        <v>24.502700000000001</v>
      </c>
      <c r="C61">
        <v>895.37900000000002</v>
      </c>
      <c r="D61">
        <v>92.268000000000001</v>
      </c>
      <c r="E61">
        <v>128.50800000000001</v>
      </c>
      <c r="I61">
        <f t="shared" si="1"/>
        <v>0.49957322702302609</v>
      </c>
      <c r="J61">
        <f t="shared" si="2"/>
        <v>0.56917294485373715</v>
      </c>
      <c r="K61" s="3">
        <f t="shared" si="3"/>
        <v>0.78703150808509703</v>
      </c>
      <c r="L61" s="2">
        <f t="shared" si="4"/>
        <v>0.63475632410006411</v>
      </c>
      <c r="M61" s="2">
        <f t="shared" si="5"/>
        <v>0.7231895280006958</v>
      </c>
      <c r="R61">
        <f t="shared" si="6"/>
        <v>0.98388180966226269</v>
      </c>
      <c r="S61">
        <f t="shared" si="7"/>
        <v>0.99427095832102808</v>
      </c>
    </row>
    <row r="62" spans="1:19" x14ac:dyDescent="0.3">
      <c r="A62">
        <v>32.512900000000002</v>
      </c>
      <c r="B62">
        <f t="shared" si="0"/>
        <v>25.002300000000002</v>
      </c>
      <c r="C62">
        <v>907.65499999999997</v>
      </c>
      <c r="D62">
        <v>92.320999999999998</v>
      </c>
      <c r="E62">
        <v>129.869</v>
      </c>
      <c r="I62">
        <f t="shared" si="1"/>
        <v>0.50642257342821839</v>
      </c>
      <c r="J62">
        <f t="shared" si="2"/>
        <v>0.56949988557074904</v>
      </c>
      <c r="K62" s="3">
        <f t="shared" si="3"/>
        <v>0.79536678590829724</v>
      </c>
      <c r="L62" s="2">
        <f t="shared" si="4"/>
        <v>0.63671576736749347</v>
      </c>
      <c r="M62" s="2">
        <f t="shared" si="5"/>
        <v>0.71602170930533449</v>
      </c>
      <c r="R62">
        <f t="shared" si="6"/>
        <v>0.98818314350527681</v>
      </c>
      <c r="S62">
        <f t="shared" si="7"/>
        <v>0.97278033324095592</v>
      </c>
    </row>
    <row r="63" spans="1:19" x14ac:dyDescent="0.3">
      <c r="A63">
        <v>33.013399999999997</v>
      </c>
      <c r="B63">
        <f t="shared" si="0"/>
        <v>25.502799999999997</v>
      </c>
      <c r="C63">
        <v>904.60299999999995</v>
      </c>
      <c r="D63">
        <v>96.911000000000001</v>
      </c>
      <c r="E63">
        <v>133.37700000000001</v>
      </c>
      <c r="I63">
        <f t="shared" si="1"/>
        <v>0.50471972191073322</v>
      </c>
      <c r="J63">
        <f t="shared" si="2"/>
        <v>0.59781418540252873</v>
      </c>
      <c r="K63" s="3">
        <f t="shared" si="3"/>
        <v>0.81685110229609037</v>
      </c>
      <c r="L63" s="2">
        <f t="shared" si="4"/>
        <v>0.61788460649929267</v>
      </c>
      <c r="M63" s="2">
        <f t="shared" si="5"/>
        <v>0.73185208873701735</v>
      </c>
      <c r="R63">
        <f t="shared" si="6"/>
        <v>0.94684532531373489</v>
      </c>
      <c r="S63">
        <f t="shared" si="7"/>
        <v>1.020243133808407</v>
      </c>
    </row>
    <row r="64" spans="1:19" x14ac:dyDescent="0.3">
      <c r="A64">
        <v>33.512900000000002</v>
      </c>
      <c r="B64">
        <f t="shared" si="0"/>
        <v>26.002300000000002</v>
      </c>
      <c r="C64">
        <v>891.56899999999996</v>
      </c>
      <c r="D64">
        <v>93.338999999999999</v>
      </c>
      <c r="E64">
        <v>134.148</v>
      </c>
      <c r="I64">
        <f t="shared" si="1"/>
        <v>0.49744745235670296</v>
      </c>
      <c r="J64">
        <f t="shared" si="2"/>
        <v>0.57577961481448581</v>
      </c>
      <c r="K64" s="3">
        <f t="shared" si="3"/>
        <v>0.82157299737447931</v>
      </c>
      <c r="L64" s="2">
        <f t="shared" si="4"/>
        <v>0.60548174531831966</v>
      </c>
      <c r="M64" s="2">
        <f t="shared" si="5"/>
        <v>0.70082587506468519</v>
      </c>
      <c r="R64">
        <f t="shared" si="6"/>
        <v>0.91961879243334421</v>
      </c>
      <c r="S64">
        <f t="shared" si="7"/>
        <v>0.92722003235666384</v>
      </c>
    </row>
    <row r="65" spans="1:19" x14ac:dyDescent="0.3">
      <c r="A65">
        <v>34.013399999999997</v>
      </c>
      <c r="B65">
        <f t="shared" si="0"/>
        <v>26.502799999999997</v>
      </c>
      <c r="C65">
        <v>904.17200000000003</v>
      </c>
      <c r="D65">
        <v>94.911000000000001</v>
      </c>
      <c r="E65">
        <v>128.75399999999999</v>
      </c>
      <c r="I65">
        <f t="shared" si="1"/>
        <v>0.50447924713876868</v>
      </c>
      <c r="J65">
        <f t="shared" si="2"/>
        <v>0.5854767998549123</v>
      </c>
      <c r="K65" s="3">
        <f t="shared" si="3"/>
        <v>0.78853810495835719</v>
      </c>
      <c r="L65" s="2">
        <f t="shared" si="4"/>
        <v>0.63976521104888173</v>
      </c>
      <c r="M65" s="2">
        <f t="shared" si="5"/>
        <v>0.74248383961841824</v>
      </c>
      <c r="R65">
        <f t="shared" si="6"/>
        <v>0.99487722622109287</v>
      </c>
      <c r="S65">
        <f t="shared" si="7"/>
        <v>1.0521193547129306</v>
      </c>
    </row>
    <row r="66" spans="1:19" x14ac:dyDescent="0.3">
      <c r="A66">
        <v>34.513399999999997</v>
      </c>
      <c r="B66">
        <f t="shared" si="0"/>
        <v>27.002799999999997</v>
      </c>
      <c r="C66">
        <v>912.22400000000005</v>
      </c>
      <c r="D66">
        <v>94.320999999999998</v>
      </c>
      <c r="E66">
        <v>132.95099999999999</v>
      </c>
      <c r="I66">
        <f t="shared" si="1"/>
        <v>0.50897182918948625</v>
      </c>
      <c r="J66">
        <f t="shared" si="2"/>
        <v>0.58183727111836547</v>
      </c>
      <c r="K66" s="3">
        <f t="shared" si="3"/>
        <v>0.81424211746678588</v>
      </c>
      <c r="L66" s="2">
        <f t="shared" si="4"/>
        <v>0.62508659067276506</v>
      </c>
      <c r="M66" s="2">
        <f t="shared" si="5"/>
        <v>0.71457525794482069</v>
      </c>
      <c r="R66">
        <f t="shared" si="6"/>
        <v>0.9626549885875535</v>
      </c>
      <c r="S66">
        <f t="shared" si="7"/>
        <v>0.96844356843055712</v>
      </c>
    </row>
    <row r="67" spans="1:19" x14ac:dyDescent="0.3">
      <c r="A67">
        <v>35.013500000000001</v>
      </c>
      <c r="B67">
        <f t="shared" ref="B67:B76" si="8">A67-$A$12</f>
        <v>27.5029</v>
      </c>
      <c r="C67">
        <v>909.10299999999995</v>
      </c>
      <c r="D67">
        <v>94.106999999999999</v>
      </c>
      <c r="E67">
        <v>127.91800000000001</v>
      </c>
      <c r="I67">
        <f t="shared" ref="I67:I76" si="9">C67/$F$2</f>
        <v>0.50723047939064247</v>
      </c>
      <c r="J67">
        <f t="shared" ref="J67:J76" si="10">D67/$G$2</f>
        <v>0.5805171708647705</v>
      </c>
      <c r="K67" s="3">
        <f t="shared" ref="K67:K76" si="11">E67/$H$2</f>
        <v>0.78341812534028576</v>
      </c>
      <c r="L67" s="2">
        <f t="shared" ref="L67:L76" si="12">I67/K67</f>
        <v>0.6474581873764047</v>
      </c>
      <c r="M67" s="2">
        <f t="shared" ref="M67:M76" si="13">J67/K67</f>
        <v>0.74100553981006867</v>
      </c>
      <c r="R67">
        <f t="shared" ref="R67:R76" si="14">(L67-$L$12)/($N$12-$L$12)</f>
        <v>1.0117647064462758</v>
      </c>
      <c r="S67">
        <f t="shared" ref="S67:S76" si="15">(M67-$M$12)/($O$12-$M$12)</f>
        <v>1.047687101570459</v>
      </c>
    </row>
    <row r="68" spans="1:19" x14ac:dyDescent="0.3">
      <c r="A68">
        <v>35.512900000000002</v>
      </c>
      <c r="B68">
        <f t="shared" si="8"/>
        <v>28.002300000000002</v>
      </c>
      <c r="C68">
        <v>903.01700000000005</v>
      </c>
      <c r="D68">
        <v>92.054000000000002</v>
      </c>
      <c r="E68">
        <v>129.393</v>
      </c>
      <c r="I68">
        <f t="shared" si="9"/>
        <v>0.50383481938559194</v>
      </c>
      <c r="J68">
        <f t="shared" si="10"/>
        <v>0.56785284460014229</v>
      </c>
      <c r="K68" s="3">
        <f t="shared" si="11"/>
        <v>0.79245158220231393</v>
      </c>
      <c r="L68" s="2">
        <f t="shared" si="12"/>
        <v>0.63579255906761789</v>
      </c>
      <c r="M68" s="2">
        <f t="shared" si="13"/>
        <v>0.71657733715669292</v>
      </c>
      <c r="R68">
        <f t="shared" si="14"/>
        <v>0.98615653361540945</v>
      </c>
      <c r="S68">
        <f t="shared" si="15"/>
        <v>0.97444622217384957</v>
      </c>
    </row>
    <row r="69" spans="1:19" x14ac:dyDescent="0.3">
      <c r="A69">
        <v>36.0137</v>
      </c>
      <c r="B69">
        <f t="shared" si="8"/>
        <v>28.5031</v>
      </c>
      <c r="C69">
        <v>897.25900000000001</v>
      </c>
      <c r="D69">
        <v>91.106999999999999</v>
      </c>
      <c r="E69">
        <v>133.55699999999999</v>
      </c>
      <c r="I69">
        <f t="shared" si="9"/>
        <v>0.50062216570352147</v>
      </c>
      <c r="J69">
        <f t="shared" si="10"/>
        <v>0.5620110925433458</v>
      </c>
      <c r="K69" s="3">
        <f t="shared" si="11"/>
        <v>0.81795349025213437</v>
      </c>
      <c r="L69" s="2">
        <f t="shared" si="12"/>
        <v>0.61204233696613308</v>
      </c>
      <c r="M69" s="2">
        <f t="shared" si="13"/>
        <v>0.68709419207943689</v>
      </c>
      <c r="R69">
        <f t="shared" si="14"/>
        <v>0.93402048262463888</v>
      </c>
      <c r="S69">
        <f t="shared" si="15"/>
        <v>0.88604956428311277</v>
      </c>
    </row>
    <row r="70" spans="1:19" x14ac:dyDescent="0.3">
      <c r="A70">
        <v>36.513300000000001</v>
      </c>
      <c r="B70">
        <f t="shared" si="8"/>
        <v>29.002700000000001</v>
      </c>
      <c r="C70">
        <v>917.91399999999999</v>
      </c>
      <c r="D70">
        <v>97.018000000000001</v>
      </c>
      <c r="E70">
        <v>128.131</v>
      </c>
      <c r="I70">
        <f t="shared" si="9"/>
        <v>0.51214654253630465</v>
      </c>
      <c r="J70">
        <f t="shared" si="10"/>
        <v>0.59847423552932622</v>
      </c>
      <c r="K70" s="3">
        <f t="shared" si="11"/>
        <v>0.7847226177549379</v>
      </c>
      <c r="L70" s="2">
        <f t="shared" si="12"/>
        <v>0.65264659250110157</v>
      </c>
      <c r="M70" s="2">
        <f t="shared" si="13"/>
        <v>0.76265704847598081</v>
      </c>
      <c r="R70">
        <f t="shared" si="14"/>
        <v>1.0231541980049699</v>
      </c>
      <c r="S70">
        <f t="shared" si="15"/>
        <v>1.1126028695234309</v>
      </c>
    </row>
    <row r="71" spans="1:19" x14ac:dyDescent="0.3">
      <c r="A71">
        <v>37.013500000000001</v>
      </c>
      <c r="B71">
        <f t="shared" si="8"/>
        <v>29.5029</v>
      </c>
      <c r="C71">
        <v>916.01700000000005</v>
      </c>
      <c r="D71">
        <v>91.661000000000001</v>
      </c>
      <c r="E71">
        <v>126.869</v>
      </c>
      <c r="I71">
        <f t="shared" si="9"/>
        <v>0.51108811877199634</v>
      </c>
      <c r="J71">
        <f t="shared" si="10"/>
        <v>0.56542854834003564</v>
      </c>
      <c r="K71" s="3">
        <f t="shared" si="11"/>
        <v>0.77699365330756187</v>
      </c>
      <c r="L71" s="2">
        <f t="shared" si="12"/>
        <v>0.65777643948101772</v>
      </c>
      <c r="M71" s="2">
        <f t="shared" si="13"/>
        <v>0.72771321352893836</v>
      </c>
      <c r="R71">
        <f t="shared" si="14"/>
        <v>1.0344151438006322</v>
      </c>
      <c r="S71">
        <f t="shared" si="15"/>
        <v>1.0078339171233375</v>
      </c>
    </row>
    <row r="72" spans="1:19" x14ac:dyDescent="0.3">
      <c r="A72">
        <v>37.512999999999998</v>
      </c>
      <c r="B72">
        <f t="shared" si="8"/>
        <v>30.002399999999998</v>
      </c>
      <c r="C72">
        <v>914.81</v>
      </c>
      <c r="D72">
        <v>95.963999999999999</v>
      </c>
      <c r="E72">
        <v>127.262</v>
      </c>
      <c r="I72">
        <f t="shared" si="9"/>
        <v>0.51041467782127392</v>
      </c>
      <c r="J72">
        <f t="shared" si="10"/>
        <v>0.59197243334573235</v>
      </c>
      <c r="K72" s="3">
        <f t="shared" si="11"/>
        <v>0.77940053367825823</v>
      </c>
      <c r="L72" s="2">
        <f t="shared" si="12"/>
        <v>0.65488109869831901</v>
      </c>
      <c r="M72" s="2">
        <f t="shared" si="13"/>
        <v>0.75952274570818112</v>
      </c>
      <c r="R72">
        <f t="shared" si="14"/>
        <v>1.0280593449353659</v>
      </c>
      <c r="S72">
        <f t="shared" si="15"/>
        <v>1.1032055718889628</v>
      </c>
    </row>
    <row r="73" spans="1:19" x14ac:dyDescent="0.3">
      <c r="A73">
        <v>38.013199999999998</v>
      </c>
      <c r="B73">
        <f t="shared" si="8"/>
        <v>30.502599999999997</v>
      </c>
      <c r="C73">
        <v>920.58600000000001</v>
      </c>
      <c r="D73">
        <v>91.213999999999999</v>
      </c>
      <c r="E73">
        <v>132.934</v>
      </c>
      <c r="I73">
        <f t="shared" si="9"/>
        <v>0.51363737453326408</v>
      </c>
      <c r="J73">
        <f t="shared" si="10"/>
        <v>0.56267114267014329</v>
      </c>
      <c r="K73" s="3">
        <f t="shared" si="11"/>
        <v>0.81413800304871509</v>
      </c>
      <c r="L73" s="2">
        <f t="shared" si="12"/>
        <v>0.63089718525586369</v>
      </c>
      <c r="M73" s="2">
        <f t="shared" si="13"/>
        <v>0.69112501880897348</v>
      </c>
      <c r="R73">
        <f t="shared" si="14"/>
        <v>0.97541029900851106</v>
      </c>
      <c r="S73">
        <f t="shared" si="15"/>
        <v>0.89813482894853502</v>
      </c>
    </row>
    <row r="74" spans="1:19" x14ac:dyDescent="0.3">
      <c r="A74">
        <v>38.513300000000001</v>
      </c>
      <c r="B74">
        <f t="shared" si="8"/>
        <v>31.002700000000001</v>
      </c>
      <c r="C74">
        <v>917.51700000000005</v>
      </c>
      <c r="D74">
        <v>92.768000000000001</v>
      </c>
      <c r="E74">
        <v>129.42599999999999</v>
      </c>
      <c r="I74">
        <f t="shared" si="9"/>
        <v>0.51192503793196609</v>
      </c>
      <c r="J74">
        <f t="shared" si="10"/>
        <v>0.57225729124064129</v>
      </c>
      <c r="K74" s="3">
        <f t="shared" si="11"/>
        <v>0.79265368666092184</v>
      </c>
      <c r="L74" s="2">
        <f t="shared" si="12"/>
        <v>0.64583694814877624</v>
      </c>
      <c r="M74" s="2">
        <f t="shared" si="13"/>
        <v>0.72195121384130923</v>
      </c>
      <c r="R74">
        <f t="shared" si="14"/>
        <v>1.0082057918947109</v>
      </c>
      <c r="S74">
        <f t="shared" si="15"/>
        <v>0.99055823253069186</v>
      </c>
    </row>
    <row r="75" spans="1:19" x14ac:dyDescent="0.3">
      <c r="A75">
        <v>39.013300000000001</v>
      </c>
      <c r="B75">
        <f t="shared" si="8"/>
        <v>31.502700000000001</v>
      </c>
      <c r="C75">
        <v>914.77599999999995</v>
      </c>
      <c r="D75">
        <v>92.695999999999998</v>
      </c>
      <c r="E75">
        <v>132.36099999999999</v>
      </c>
      <c r="I75">
        <f t="shared" si="9"/>
        <v>0.51039570765364795</v>
      </c>
      <c r="J75">
        <f t="shared" si="10"/>
        <v>0.57181314536092709</v>
      </c>
      <c r="K75" s="3">
        <f t="shared" si="11"/>
        <v>0.81062873472197461</v>
      </c>
      <c r="L75" s="2">
        <f t="shared" si="12"/>
        <v>0.62962942934498978</v>
      </c>
      <c r="M75" s="2">
        <f t="shared" si="13"/>
        <v>0.70539461638630996</v>
      </c>
      <c r="R75">
        <f t="shared" si="14"/>
        <v>0.97262734453630673</v>
      </c>
      <c r="S75">
        <f t="shared" si="15"/>
        <v>0.94091807788541193</v>
      </c>
    </row>
    <row r="76" spans="1:19" x14ac:dyDescent="0.3">
      <c r="A76">
        <v>39.513300000000001</v>
      </c>
      <c r="B76">
        <f t="shared" si="8"/>
        <v>32.002700000000004</v>
      </c>
      <c r="C76">
        <v>927.48299999999995</v>
      </c>
      <c r="D76">
        <v>93.570999999999998</v>
      </c>
      <c r="E76">
        <v>125.91800000000001</v>
      </c>
      <c r="I76">
        <f t="shared" si="9"/>
        <v>0.5174855288308049</v>
      </c>
      <c r="J76">
        <f t="shared" si="10"/>
        <v>0.57721075153800927</v>
      </c>
      <c r="K76" s="3">
        <f t="shared" si="11"/>
        <v>0.77116937027312882</v>
      </c>
      <c r="L76" s="2">
        <f t="shared" si="12"/>
        <v>0.67104004487046021</v>
      </c>
      <c r="M76" s="2">
        <f t="shared" si="13"/>
        <v>0.74848765237340242</v>
      </c>
      <c r="R76">
        <f t="shared" si="14"/>
        <v>1.0635311665456237</v>
      </c>
      <c r="S76">
        <f t="shared" si="15"/>
        <v>1.0701200456416535</v>
      </c>
    </row>
    <row r="77" spans="1:19" x14ac:dyDescent="0.3">
      <c r="K77" s="3"/>
      <c r="L77" s="2"/>
      <c r="M77" s="2"/>
    </row>
    <row r="78" spans="1:19" x14ac:dyDescent="0.3">
      <c r="K78" s="3"/>
      <c r="L78" s="2"/>
      <c r="M78" s="2"/>
    </row>
    <row r="79" spans="1:19" x14ac:dyDescent="0.3">
      <c r="K79" s="3"/>
      <c r="L79" s="2"/>
      <c r="M79" s="2"/>
    </row>
    <row r="80" spans="1:19" x14ac:dyDescent="0.3">
      <c r="K80" s="3"/>
      <c r="L80" s="2"/>
      <c r="M80" s="2"/>
    </row>
    <row r="81" spans="11:13" x14ac:dyDescent="0.3">
      <c r="K81" s="3"/>
      <c r="L81" s="2"/>
      <c r="M81" s="2"/>
    </row>
    <row r="82" spans="11:13" x14ac:dyDescent="0.3">
      <c r="K82" s="3"/>
      <c r="L82" s="2"/>
      <c r="M82" s="2"/>
    </row>
    <row r="83" spans="11:13" x14ac:dyDescent="0.3">
      <c r="K83" s="3"/>
      <c r="L83" s="2"/>
      <c r="M83" s="2"/>
    </row>
    <row r="84" spans="11:13" x14ac:dyDescent="0.3">
      <c r="K84" s="3"/>
      <c r="L84" s="2"/>
      <c r="M84" s="2"/>
    </row>
    <row r="85" spans="11:13" x14ac:dyDescent="0.3">
      <c r="K85" s="3"/>
      <c r="L85" s="2"/>
      <c r="M85" s="2"/>
    </row>
    <row r="86" spans="11:13" x14ac:dyDescent="0.3">
      <c r="K86" s="3"/>
      <c r="L86" s="2"/>
      <c r="M86" s="2"/>
    </row>
    <row r="87" spans="11:13" x14ac:dyDescent="0.3">
      <c r="K87" s="3"/>
      <c r="L87" s="2"/>
      <c r="M87" s="2"/>
    </row>
    <row r="88" spans="11:13" x14ac:dyDescent="0.3">
      <c r="K88" s="3"/>
      <c r="L88" s="2"/>
      <c r="M88" s="2"/>
    </row>
    <row r="89" spans="11:13" x14ac:dyDescent="0.3">
      <c r="K89" s="3"/>
      <c r="L89" s="2"/>
      <c r="M89" s="2"/>
    </row>
    <row r="90" spans="11:13" x14ac:dyDescent="0.3">
      <c r="K90" s="3"/>
      <c r="L90" s="2"/>
      <c r="M90" s="2"/>
    </row>
    <row r="91" spans="11:13" x14ac:dyDescent="0.3">
      <c r="K91" s="3"/>
      <c r="L91" s="2"/>
      <c r="M91" s="2"/>
    </row>
    <row r="92" spans="11:13" x14ac:dyDescent="0.3">
      <c r="K92" s="3"/>
      <c r="L92" s="2"/>
      <c r="M92" s="2"/>
    </row>
    <row r="93" spans="11:13" x14ac:dyDescent="0.3">
      <c r="K93" s="3"/>
      <c r="L93" s="2"/>
      <c r="M93" s="2"/>
    </row>
    <row r="94" spans="11:13" x14ac:dyDescent="0.3">
      <c r="K94" s="3"/>
      <c r="L94" s="2"/>
      <c r="M94" s="2"/>
    </row>
    <row r="95" spans="11:13" x14ac:dyDescent="0.3">
      <c r="K95" s="3"/>
      <c r="L95" s="2"/>
      <c r="M95" s="2"/>
    </row>
    <row r="96" spans="11:13" x14ac:dyDescent="0.3">
      <c r="K96" s="3"/>
      <c r="L96" s="2"/>
      <c r="M96" s="2"/>
    </row>
    <row r="97" spans="11:13" x14ac:dyDescent="0.3">
      <c r="K97" s="3"/>
      <c r="L97" s="2"/>
      <c r="M97" s="2"/>
    </row>
    <row r="98" spans="11:13" x14ac:dyDescent="0.3">
      <c r="K98" s="3"/>
      <c r="L98" s="2"/>
      <c r="M98" s="2"/>
    </row>
    <row r="99" spans="11:13" x14ac:dyDescent="0.3">
      <c r="K99" s="3"/>
      <c r="L99" s="2"/>
      <c r="M99" s="2"/>
    </row>
    <row r="100" spans="11:13" x14ac:dyDescent="0.3">
      <c r="K100" s="3"/>
      <c r="L100" s="2"/>
      <c r="M100" s="2"/>
    </row>
    <row r="101" spans="11:13" x14ac:dyDescent="0.3">
      <c r="K101" s="3"/>
      <c r="L101" s="2"/>
      <c r="M101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EFF08-975A-499D-A933-F906B696FA1F}">
  <dimension ref="A1:S76"/>
  <sheetViews>
    <sheetView workbookViewId="0">
      <selection activeCell="B28" sqref="B28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2" t="s">
        <v>11</v>
      </c>
      <c r="M1" s="2" t="s">
        <v>12</v>
      </c>
      <c r="R1" t="s">
        <v>13</v>
      </c>
      <c r="S1" t="s">
        <v>14</v>
      </c>
    </row>
    <row r="2" spans="1:19" x14ac:dyDescent="0.3">
      <c r="A2">
        <v>0</v>
      </c>
      <c r="B2">
        <f>A2-$A$12</f>
        <v>-7.5110000000000001</v>
      </c>
      <c r="C2">
        <v>1898.2070000000001</v>
      </c>
      <c r="D2">
        <v>263.73200000000003</v>
      </c>
      <c r="E2">
        <v>217.38900000000001</v>
      </c>
      <c r="F2">
        <f>AVERAGE(C2:C11)</f>
        <v>1823.6673000000003</v>
      </c>
      <c r="G2">
        <f>AVERAGE(D2:D11)</f>
        <v>261.33940000000001</v>
      </c>
      <c r="H2">
        <f>AVERAGE(E2:E11)</f>
        <v>213.0592</v>
      </c>
      <c r="I2">
        <f>C2/$F$2</f>
        <v>1.0408735189801341</v>
      </c>
      <c r="J2">
        <f>D2/$G$2</f>
        <v>1.0091551446127145</v>
      </c>
      <c r="K2" s="3">
        <f>E2/$H$2</f>
        <v>1.0203220513359668</v>
      </c>
      <c r="L2" s="2">
        <f>I2/K2</f>
        <v>1.0201421380800877</v>
      </c>
      <c r="M2" s="2">
        <f>J2/K2</f>
        <v>0.98905550780890128</v>
      </c>
      <c r="R2">
        <f>(L2-$L$12)/($N$12-$L$12)</f>
        <v>1.3299197894870884</v>
      </c>
      <c r="S2">
        <f>(M2-$M$12)/($O$12-$M$12)</f>
        <v>1.467710427524352</v>
      </c>
    </row>
    <row r="3" spans="1:19" x14ac:dyDescent="0.3">
      <c r="A3">
        <v>0.50309999999999999</v>
      </c>
      <c r="B3">
        <f t="shared" ref="B3:B66" si="0">A3-$A$12</f>
        <v>-7.0079000000000002</v>
      </c>
      <c r="C3">
        <v>1855.2070000000001</v>
      </c>
      <c r="D3">
        <v>267.80399999999997</v>
      </c>
      <c r="E3">
        <v>213.75899999999999</v>
      </c>
      <c r="I3">
        <f t="shared" ref="I3:I66" si="1">C3/$F$2</f>
        <v>1.0172946567611316</v>
      </c>
      <c r="J3">
        <f t="shared" ref="J3:J66" si="2">D3/$G$2</f>
        <v>1.0247364155576999</v>
      </c>
      <c r="K3" s="3">
        <f t="shared" ref="K3:K66" si="3">E3/$H$2</f>
        <v>1.0032845331250657</v>
      </c>
      <c r="L3" s="2">
        <f t="shared" ref="L3:L66" si="4">I3/K3</f>
        <v>1.0139642575695118</v>
      </c>
      <c r="M3" s="2">
        <f t="shared" ref="M3:M66" si="5">J3/K3</f>
        <v>1.0213816536828442</v>
      </c>
      <c r="R3">
        <f t="shared" ref="R3:R66" si="6">(L3-$L$12)/($N$12-$L$12)</f>
        <v>1.3208290569416026</v>
      </c>
      <c r="S3">
        <f t="shared" ref="S3:S66" si="7">(M3-$M$12)/($O$12-$M$12)</f>
        <v>1.5401169549252587</v>
      </c>
    </row>
    <row r="4" spans="1:19" x14ac:dyDescent="0.3">
      <c r="A4">
        <v>1.0026999999999999</v>
      </c>
      <c r="B4">
        <f t="shared" si="0"/>
        <v>-6.5083000000000002</v>
      </c>
      <c r="C4">
        <v>1868.7760000000001</v>
      </c>
      <c r="D4">
        <v>264</v>
      </c>
      <c r="E4">
        <v>217.648</v>
      </c>
      <c r="I4">
        <f t="shared" si="1"/>
        <v>1.0247351586553095</v>
      </c>
      <c r="J4">
        <f t="shared" si="2"/>
        <v>1.0101806310108616</v>
      </c>
      <c r="K4" s="3">
        <f t="shared" si="3"/>
        <v>1.0215376759135488</v>
      </c>
      <c r="L4" s="2">
        <f t="shared" si="4"/>
        <v>1.0031300683441766</v>
      </c>
      <c r="M4" s="2">
        <f t="shared" si="5"/>
        <v>0.98888240231322777</v>
      </c>
      <c r="R4">
        <f t="shared" si="6"/>
        <v>1.304886580160755</v>
      </c>
      <c r="S4">
        <f t="shared" si="7"/>
        <v>1.4673226928446719</v>
      </c>
    </row>
    <row r="5" spans="1:19" x14ac:dyDescent="0.3">
      <c r="A5">
        <v>1.5028999999999999</v>
      </c>
      <c r="B5">
        <f t="shared" si="0"/>
        <v>-6.0081000000000007</v>
      </c>
      <c r="C5">
        <v>1814.0519999999999</v>
      </c>
      <c r="D5">
        <v>263.786</v>
      </c>
      <c r="E5">
        <v>218.852</v>
      </c>
      <c r="I5">
        <f t="shared" si="1"/>
        <v>0.99472749223501433</v>
      </c>
      <c r="J5">
        <f t="shared" si="2"/>
        <v>1.0093617724690573</v>
      </c>
      <c r="K5" s="3">
        <f t="shared" si="3"/>
        <v>1.0271886874633904</v>
      </c>
      <c r="L5" s="2">
        <f t="shared" si="4"/>
        <v>0.96839802109918283</v>
      </c>
      <c r="M5" s="2">
        <f t="shared" si="5"/>
        <v>0.98264494614095088</v>
      </c>
      <c r="R5">
        <f t="shared" si="6"/>
        <v>1.2537784773541529</v>
      </c>
      <c r="S5">
        <f t="shared" si="7"/>
        <v>1.453351570428437</v>
      </c>
    </row>
    <row r="6" spans="1:19" x14ac:dyDescent="0.3">
      <c r="A6">
        <v>2.0023</v>
      </c>
      <c r="B6">
        <f t="shared" si="0"/>
        <v>-5.5087000000000002</v>
      </c>
      <c r="C6">
        <v>1839.7239999999999</v>
      </c>
      <c r="D6">
        <v>259.60700000000003</v>
      </c>
      <c r="E6">
        <v>211.40700000000001</v>
      </c>
      <c r="I6">
        <f t="shared" si="1"/>
        <v>1.0088046213253918</v>
      </c>
      <c r="J6">
        <f t="shared" si="2"/>
        <v>0.99337107225316967</v>
      </c>
      <c r="K6" s="3">
        <f t="shared" si="3"/>
        <v>0.99224534777188689</v>
      </c>
      <c r="L6" s="2">
        <f t="shared" si="4"/>
        <v>1.0166886885291921</v>
      </c>
      <c r="M6" s="2">
        <f t="shared" si="5"/>
        <v>1.0011345223072203</v>
      </c>
      <c r="R6">
        <f t="shared" si="6"/>
        <v>1.3248380488848259</v>
      </c>
      <c r="S6">
        <f t="shared" si="7"/>
        <v>1.4947659106511999</v>
      </c>
    </row>
    <row r="7" spans="1:19" x14ac:dyDescent="0.3">
      <c r="A7">
        <v>2.5030000000000001</v>
      </c>
      <c r="B7">
        <f t="shared" si="0"/>
        <v>-5.008</v>
      </c>
      <c r="C7">
        <v>1820.9480000000001</v>
      </c>
      <c r="D7">
        <v>259</v>
      </c>
      <c r="E7">
        <v>215.25899999999999</v>
      </c>
      <c r="I7">
        <f t="shared" si="1"/>
        <v>0.99850888372018287</v>
      </c>
      <c r="J7">
        <f t="shared" si="2"/>
        <v>0.99104842209020139</v>
      </c>
      <c r="K7" s="3">
        <f t="shared" si="3"/>
        <v>1.0103248299064296</v>
      </c>
      <c r="L7" s="2">
        <f t="shared" si="4"/>
        <v>0.9883048047157853</v>
      </c>
      <c r="M7" s="2">
        <f t="shared" si="5"/>
        <v>0.980920583909619</v>
      </c>
      <c r="R7">
        <f t="shared" si="6"/>
        <v>1.2830712494285876</v>
      </c>
      <c r="S7">
        <f t="shared" si="7"/>
        <v>1.4494892145002389</v>
      </c>
    </row>
    <row r="8" spans="1:19" x14ac:dyDescent="0.3">
      <c r="A8">
        <v>3.0024000000000002</v>
      </c>
      <c r="B8">
        <f t="shared" si="0"/>
        <v>-4.5085999999999995</v>
      </c>
      <c r="C8">
        <v>1788.2929999999999</v>
      </c>
      <c r="D8">
        <v>257.875</v>
      </c>
      <c r="E8">
        <v>210.77799999999999</v>
      </c>
      <c r="I8">
        <f t="shared" si="1"/>
        <v>0.98060265707456595</v>
      </c>
      <c r="J8">
        <f t="shared" si="2"/>
        <v>0.98674367508305283</v>
      </c>
      <c r="K8" s="3">
        <f t="shared" si="3"/>
        <v>0.98929311665490149</v>
      </c>
      <c r="L8" s="2">
        <f t="shared" si="4"/>
        <v>0.99121548564926787</v>
      </c>
      <c r="M8" s="2">
        <f t="shared" si="5"/>
        <v>0.99742296643034467</v>
      </c>
      <c r="R8">
        <f t="shared" si="6"/>
        <v>1.2873543076467318</v>
      </c>
      <c r="S8">
        <f t="shared" si="7"/>
        <v>1.4864524892694195</v>
      </c>
    </row>
    <row r="9" spans="1:19" x14ac:dyDescent="0.3">
      <c r="A9">
        <v>3.5032000000000001</v>
      </c>
      <c r="B9">
        <f t="shared" si="0"/>
        <v>-4.0077999999999996</v>
      </c>
      <c r="C9">
        <v>1794.5</v>
      </c>
      <c r="D9">
        <v>257.911</v>
      </c>
      <c r="E9">
        <v>211.833</v>
      </c>
      <c r="I9">
        <f t="shared" si="1"/>
        <v>0.98400623841859736</v>
      </c>
      <c r="J9">
        <f t="shared" si="2"/>
        <v>0.98688142698728165</v>
      </c>
      <c r="K9" s="3">
        <f t="shared" si="3"/>
        <v>0.99424479205779426</v>
      </c>
      <c r="L9" s="2">
        <f t="shared" si="4"/>
        <v>0.98970218026688772</v>
      </c>
      <c r="M9" s="2">
        <f t="shared" si="5"/>
        <v>0.99259401192811625</v>
      </c>
      <c r="R9">
        <f t="shared" si="6"/>
        <v>1.2851274833390569</v>
      </c>
      <c r="S9">
        <f t="shared" si="7"/>
        <v>1.4756362345928862</v>
      </c>
    </row>
    <row r="10" spans="1:19" x14ac:dyDescent="0.3">
      <c r="A10">
        <v>4.0027999999999997</v>
      </c>
      <c r="B10">
        <f t="shared" si="0"/>
        <v>-3.5082000000000004</v>
      </c>
      <c r="C10">
        <v>1786</v>
      </c>
      <c r="D10">
        <v>261.05399999999997</v>
      </c>
      <c r="E10">
        <v>210.03700000000001</v>
      </c>
      <c r="I10">
        <f t="shared" si="1"/>
        <v>0.97934530053809687</v>
      </c>
      <c r="J10">
        <f t="shared" si="2"/>
        <v>0.99890793351480855</v>
      </c>
      <c r="K10" s="3">
        <f t="shared" si="3"/>
        <v>0.98581521004490769</v>
      </c>
      <c r="L10" s="2">
        <f t="shared" si="4"/>
        <v>0.99343699565508214</v>
      </c>
      <c r="M10" s="2">
        <f t="shared" si="5"/>
        <v>1.0132811132720345</v>
      </c>
      <c r="R10">
        <f t="shared" si="6"/>
        <v>1.2906232529226087</v>
      </c>
      <c r="S10">
        <f t="shared" si="7"/>
        <v>1.5219727566188894</v>
      </c>
    </row>
    <row r="11" spans="1:19" x14ac:dyDescent="0.3">
      <c r="A11">
        <v>4.5030000000000001</v>
      </c>
      <c r="B11">
        <f t="shared" si="0"/>
        <v>-3.008</v>
      </c>
      <c r="C11">
        <v>1770.9659999999999</v>
      </c>
      <c r="D11">
        <v>258.625</v>
      </c>
      <c r="E11">
        <v>203.63</v>
      </c>
      <c r="I11">
        <f t="shared" si="1"/>
        <v>0.97110147229157406</v>
      </c>
      <c r="J11">
        <f t="shared" si="2"/>
        <v>0.98961350642115187</v>
      </c>
      <c r="K11" s="3">
        <f t="shared" si="3"/>
        <v>0.95574375572610804</v>
      </c>
      <c r="L11" s="2">
        <f t="shared" si="4"/>
        <v>1.0160688641421447</v>
      </c>
      <c r="M11" s="2">
        <f t="shared" si="5"/>
        <v>1.0354381082713033</v>
      </c>
      <c r="R11">
        <f t="shared" si="6"/>
        <v>1.3239259791680076</v>
      </c>
      <c r="S11">
        <f t="shared" si="7"/>
        <v>1.5716016567603532</v>
      </c>
    </row>
    <row r="12" spans="1:19" x14ac:dyDescent="0.3">
      <c r="A12" s="4">
        <v>7.5110000000000001</v>
      </c>
      <c r="B12" s="4">
        <f t="shared" si="0"/>
        <v>0</v>
      </c>
      <c r="C12" s="4">
        <v>211.93100000000001</v>
      </c>
      <c r="D12" s="4">
        <v>87.125</v>
      </c>
      <c r="E12" s="4">
        <v>212.79599999999999</v>
      </c>
      <c r="F12" s="4"/>
      <c r="G12" s="4"/>
      <c r="H12" s="4"/>
      <c r="I12" s="4">
        <f t="shared" si="1"/>
        <v>0.11621143834733451</v>
      </c>
      <c r="J12" s="4">
        <f t="shared" si="2"/>
        <v>0.33337874044250504</v>
      </c>
      <c r="K12" s="4">
        <f t="shared" si="3"/>
        <v>0.99876466259142993</v>
      </c>
      <c r="L12" s="4">
        <f t="shared" si="4"/>
        <v>0.11635517624923596</v>
      </c>
      <c r="M12" s="4">
        <f t="shared" si="5"/>
        <v>0.33379108505652255</v>
      </c>
      <c r="N12" s="4">
        <f>AVERAGE(L66:L76)</f>
        <v>0.79593522985488707</v>
      </c>
      <c r="O12" s="4">
        <f>AVERAGE(M66:M76)</f>
        <v>0.78024456148077903</v>
      </c>
      <c r="P12" s="5">
        <f>(N12-L12)/(1-L12)</f>
        <v>0.76906471394363052</v>
      </c>
      <c r="Q12" s="5">
        <f>(O12-M12)/(1-M12)</f>
        <v>0.6701403514873927</v>
      </c>
      <c r="R12">
        <f t="shared" si="6"/>
        <v>0</v>
      </c>
      <c r="S12">
        <f t="shared" si="7"/>
        <v>0</v>
      </c>
    </row>
    <row r="13" spans="1:19" x14ac:dyDescent="0.3">
      <c r="A13">
        <v>8.0136000000000003</v>
      </c>
      <c r="B13">
        <f t="shared" si="0"/>
        <v>0.50260000000000016</v>
      </c>
      <c r="C13">
        <v>313.06900000000002</v>
      </c>
      <c r="D13">
        <v>103.821</v>
      </c>
      <c r="E13">
        <v>209.648</v>
      </c>
      <c r="I13">
        <f t="shared" si="1"/>
        <v>0.17167001897769399</v>
      </c>
      <c r="J13">
        <f t="shared" si="2"/>
        <v>0.39726501247037377</v>
      </c>
      <c r="K13" s="3">
        <f t="shared" si="3"/>
        <v>0.98398942641294063</v>
      </c>
      <c r="L13" s="2">
        <f t="shared" si="4"/>
        <v>0.17446327609789886</v>
      </c>
      <c r="M13" s="2">
        <f t="shared" si="5"/>
        <v>0.40372894444463031</v>
      </c>
      <c r="R13">
        <f t="shared" si="6"/>
        <v>8.5505893735930719E-2</v>
      </c>
      <c r="S13">
        <f t="shared" si="7"/>
        <v>0.15665206585074748</v>
      </c>
    </row>
    <row r="14" spans="1:19" x14ac:dyDescent="0.3">
      <c r="A14">
        <v>8.5142000000000007</v>
      </c>
      <c r="B14">
        <f t="shared" si="0"/>
        <v>1.0032000000000005</v>
      </c>
      <c r="C14">
        <v>382.5</v>
      </c>
      <c r="D14">
        <v>112</v>
      </c>
      <c r="E14">
        <v>204.167</v>
      </c>
      <c r="I14">
        <f t="shared" si="1"/>
        <v>0.20974220462252074</v>
      </c>
      <c r="J14">
        <f t="shared" si="2"/>
        <v>0.4285614798227898</v>
      </c>
      <c r="K14" s="3">
        <f t="shared" si="3"/>
        <v>0.95826418197383634</v>
      </c>
      <c r="L14" s="2">
        <f t="shared" si="4"/>
        <v>0.21887722464017484</v>
      </c>
      <c r="M14" s="2">
        <f t="shared" si="5"/>
        <v>0.4472268586101561</v>
      </c>
      <c r="R14">
        <f t="shared" si="6"/>
        <v>0.15086088511130832</v>
      </c>
      <c r="S14">
        <f t="shared" si="7"/>
        <v>0.25408195824157415</v>
      </c>
    </row>
    <row r="15" spans="1:19" x14ac:dyDescent="0.3">
      <c r="A15">
        <v>9.0136000000000003</v>
      </c>
      <c r="B15">
        <f t="shared" si="0"/>
        <v>1.5026000000000002</v>
      </c>
      <c r="C15">
        <v>422.58600000000001</v>
      </c>
      <c r="D15">
        <v>116.054</v>
      </c>
      <c r="E15">
        <v>205.53700000000001</v>
      </c>
      <c r="I15">
        <f t="shared" si="1"/>
        <v>0.23172318766696093</v>
      </c>
      <c r="J15">
        <f t="shared" si="2"/>
        <v>0.44407387481566113</v>
      </c>
      <c r="K15" s="3">
        <f t="shared" si="3"/>
        <v>0.96469431970081554</v>
      </c>
      <c r="L15" s="2">
        <f t="shared" si="4"/>
        <v>0.2402037442687816</v>
      </c>
      <c r="M15" s="2">
        <f t="shared" si="5"/>
        <v>0.46032599731009455</v>
      </c>
      <c r="R15">
        <f t="shared" si="6"/>
        <v>0.18224279444701433</v>
      </c>
      <c r="S15">
        <f t="shared" si="7"/>
        <v>0.28342239210906761</v>
      </c>
    </row>
    <row r="16" spans="1:19" x14ac:dyDescent="0.3">
      <c r="A16">
        <v>9.5137999999999998</v>
      </c>
      <c r="B16">
        <f t="shared" si="0"/>
        <v>2.0027999999999997</v>
      </c>
      <c r="C16">
        <v>486.17200000000003</v>
      </c>
      <c r="D16">
        <v>129.875</v>
      </c>
      <c r="E16">
        <v>202.333</v>
      </c>
      <c r="I16">
        <f t="shared" si="1"/>
        <v>0.26659029308690241</v>
      </c>
      <c r="J16">
        <f t="shared" si="2"/>
        <v>0.49695912671415021</v>
      </c>
      <c r="K16" s="3">
        <f t="shared" si="3"/>
        <v>0.94965624577582186</v>
      </c>
      <c r="L16" s="2">
        <f t="shared" si="4"/>
        <v>0.28072293977186596</v>
      </c>
      <c r="M16" s="2">
        <f t="shared" si="5"/>
        <v>0.52330422605514415</v>
      </c>
      <c r="R16">
        <f t="shared" si="6"/>
        <v>0.24186666846759727</v>
      </c>
      <c r="S16">
        <f t="shared" si="7"/>
        <v>0.42448575496930563</v>
      </c>
    </row>
    <row r="17" spans="1:19" x14ac:dyDescent="0.3">
      <c r="A17">
        <v>10.013400000000001</v>
      </c>
      <c r="B17">
        <f t="shared" si="0"/>
        <v>2.5024000000000006</v>
      </c>
      <c r="C17">
        <v>537.89700000000005</v>
      </c>
      <c r="D17">
        <v>126.732</v>
      </c>
      <c r="E17">
        <v>206.48099999999999</v>
      </c>
      <c r="I17">
        <f t="shared" si="1"/>
        <v>0.29495347095383023</v>
      </c>
      <c r="J17">
        <f t="shared" si="2"/>
        <v>0.4849326201866232</v>
      </c>
      <c r="K17" s="3">
        <f t="shared" si="3"/>
        <v>0.96912501314188726</v>
      </c>
      <c r="L17" s="2">
        <f t="shared" si="4"/>
        <v>0.30435028190800273</v>
      </c>
      <c r="M17" s="2">
        <f t="shared" si="5"/>
        <v>0.50038190492522705</v>
      </c>
      <c r="R17">
        <f t="shared" si="6"/>
        <v>0.27663423118633373</v>
      </c>
      <c r="S17">
        <f t="shared" si="7"/>
        <v>0.37314261992753828</v>
      </c>
    </row>
    <row r="18" spans="1:19" x14ac:dyDescent="0.3">
      <c r="A18">
        <v>10.514200000000001</v>
      </c>
      <c r="B18">
        <f t="shared" si="0"/>
        <v>3.0032000000000005</v>
      </c>
      <c r="C18">
        <v>581.10299999999995</v>
      </c>
      <c r="D18">
        <v>133.786</v>
      </c>
      <c r="E18">
        <v>208.648</v>
      </c>
      <c r="I18">
        <f t="shared" si="1"/>
        <v>0.31864529237323053</v>
      </c>
      <c r="J18">
        <f t="shared" si="2"/>
        <v>0.51192434053189073</v>
      </c>
      <c r="K18" s="3">
        <f t="shared" si="3"/>
        <v>0.97929589522536453</v>
      </c>
      <c r="L18" s="2">
        <f t="shared" si="4"/>
        <v>0.32538203614128391</v>
      </c>
      <c r="M18" s="2">
        <f t="shared" si="5"/>
        <v>0.52274735657304272</v>
      </c>
      <c r="R18">
        <f t="shared" si="6"/>
        <v>0.30758239413151278</v>
      </c>
      <c r="S18">
        <f t="shared" si="7"/>
        <v>0.42323843691376817</v>
      </c>
    </row>
    <row r="19" spans="1:19" x14ac:dyDescent="0.3">
      <c r="A19">
        <v>11.0136</v>
      </c>
      <c r="B19" s="6">
        <f t="shared" si="0"/>
        <v>3.5026000000000002</v>
      </c>
      <c r="C19">
        <v>615.19000000000005</v>
      </c>
      <c r="D19">
        <v>136.196</v>
      </c>
      <c r="E19">
        <v>198.77799999999999</v>
      </c>
      <c r="I19">
        <f t="shared" si="1"/>
        <v>0.33733674996530338</v>
      </c>
      <c r="J19">
        <f t="shared" si="2"/>
        <v>0.52114606523164897</v>
      </c>
      <c r="K19" s="3">
        <f t="shared" si="3"/>
        <v>0.93297074240398903</v>
      </c>
      <c r="L19" s="2">
        <f t="shared" si="4"/>
        <v>0.36157269958550531</v>
      </c>
      <c r="M19" s="2">
        <f t="shared" si="5"/>
        <v>0.55858779010455362</v>
      </c>
      <c r="R19">
        <f t="shared" si="6"/>
        <v>0.36083684627766449</v>
      </c>
      <c r="S19" s="4">
        <f t="shared" si="7"/>
        <v>0.50351652953511983</v>
      </c>
    </row>
    <row r="20" spans="1:19" x14ac:dyDescent="0.3">
      <c r="A20">
        <v>11.5136</v>
      </c>
      <c r="B20">
        <f t="shared" si="0"/>
        <v>4.0026000000000002</v>
      </c>
      <c r="C20">
        <v>659.55200000000002</v>
      </c>
      <c r="D20">
        <v>140.607</v>
      </c>
      <c r="E20">
        <v>202.51900000000001</v>
      </c>
      <c r="I20">
        <f t="shared" si="1"/>
        <v>0.36166245893645177</v>
      </c>
      <c r="J20">
        <f t="shared" si="2"/>
        <v>0.5380244999414554</v>
      </c>
      <c r="K20" s="3">
        <f t="shared" si="3"/>
        <v>0.95052924257671112</v>
      </c>
      <c r="L20" s="2">
        <f t="shared" si="4"/>
        <v>0.38048535777400272</v>
      </c>
      <c r="M20" s="2">
        <f t="shared" si="5"/>
        <v>0.56602624710731597</v>
      </c>
      <c r="R20">
        <f t="shared" si="6"/>
        <v>0.38866676578185305</v>
      </c>
      <c r="S20">
        <f t="shared" si="7"/>
        <v>0.52017774373897951</v>
      </c>
    </row>
    <row r="21" spans="1:19" x14ac:dyDescent="0.3">
      <c r="A21">
        <v>12.0137</v>
      </c>
      <c r="B21">
        <f t="shared" si="0"/>
        <v>4.5026999999999999</v>
      </c>
      <c r="C21">
        <v>700.55200000000002</v>
      </c>
      <c r="D21">
        <v>138.054</v>
      </c>
      <c r="E21">
        <v>199.59299999999999</v>
      </c>
      <c r="I21">
        <f t="shared" si="1"/>
        <v>0.38414462988945403</v>
      </c>
      <c r="J21">
        <f t="shared" si="2"/>
        <v>0.5282555940665663</v>
      </c>
      <c r="K21" s="3">
        <f t="shared" si="3"/>
        <v>0.93679597032186357</v>
      </c>
      <c r="L21" s="2">
        <f t="shared" si="4"/>
        <v>0.41006221424871198</v>
      </c>
      <c r="M21" s="2">
        <f t="shared" si="5"/>
        <v>0.56389609990003342</v>
      </c>
      <c r="R21">
        <f t="shared" si="6"/>
        <v>0.43218902091247852</v>
      </c>
      <c r="S21">
        <f t="shared" si="7"/>
        <v>0.51540648017005541</v>
      </c>
    </row>
    <row r="22" spans="1:19" x14ac:dyDescent="0.3">
      <c r="A22">
        <v>12.5137</v>
      </c>
      <c r="B22">
        <f t="shared" si="0"/>
        <v>5.0026999999999999</v>
      </c>
      <c r="C22">
        <v>717.86199999999997</v>
      </c>
      <c r="D22">
        <v>144.696</v>
      </c>
      <c r="E22">
        <v>195.44399999999999</v>
      </c>
      <c r="I22">
        <f t="shared" si="1"/>
        <v>0.39363649279668494</v>
      </c>
      <c r="J22">
        <f t="shared" si="2"/>
        <v>0.5536708203967714</v>
      </c>
      <c r="K22" s="3">
        <f t="shared" si="3"/>
        <v>0.91732250942461058</v>
      </c>
      <c r="L22" s="2">
        <f t="shared" si="4"/>
        <v>0.42911461209383489</v>
      </c>
      <c r="M22" s="2">
        <f t="shared" si="5"/>
        <v>0.60357269630727883</v>
      </c>
      <c r="R22">
        <f t="shared" si="6"/>
        <v>0.46022456690008734</v>
      </c>
      <c r="S22">
        <f t="shared" si="7"/>
        <v>0.60427709828019749</v>
      </c>
    </row>
    <row r="23" spans="1:19" x14ac:dyDescent="0.3">
      <c r="A23">
        <v>13.0137</v>
      </c>
      <c r="B23">
        <f t="shared" si="0"/>
        <v>5.5026999999999999</v>
      </c>
      <c r="C23">
        <v>774.29300000000001</v>
      </c>
      <c r="D23">
        <v>150.786</v>
      </c>
      <c r="E23">
        <v>199.09299999999999</v>
      </c>
      <c r="I23">
        <f t="shared" si="1"/>
        <v>0.42458018521251101</v>
      </c>
      <c r="J23">
        <f t="shared" si="2"/>
        <v>0.5769738508621356</v>
      </c>
      <c r="K23" s="3">
        <f t="shared" si="3"/>
        <v>0.93444920472807547</v>
      </c>
      <c r="L23" s="2">
        <f t="shared" si="4"/>
        <v>0.45436411424424483</v>
      </c>
      <c r="M23" s="2">
        <f t="shared" si="5"/>
        <v>0.61744806239097272</v>
      </c>
      <c r="R23">
        <f t="shared" si="6"/>
        <v>0.49737913318914123</v>
      </c>
      <c r="S23">
        <f t="shared" si="7"/>
        <v>0.63535618449277387</v>
      </c>
    </row>
    <row r="24" spans="1:19" x14ac:dyDescent="0.3">
      <c r="A24">
        <v>13.514200000000001</v>
      </c>
      <c r="B24" s="6">
        <f t="shared" si="0"/>
        <v>6.0032000000000005</v>
      </c>
      <c r="C24">
        <v>786.53399999999999</v>
      </c>
      <c r="D24">
        <v>149.5</v>
      </c>
      <c r="E24">
        <v>197.333</v>
      </c>
      <c r="I24">
        <f t="shared" si="1"/>
        <v>0.43129248410606469</v>
      </c>
      <c r="J24">
        <f t="shared" si="2"/>
        <v>0.57205304672774171</v>
      </c>
      <c r="K24" s="3">
        <f t="shared" si="3"/>
        <v>0.92618858983794172</v>
      </c>
      <c r="L24" s="2">
        <f t="shared" si="4"/>
        <v>0.46566378471746167</v>
      </c>
      <c r="M24" s="2">
        <f t="shared" si="5"/>
        <v>0.61764207959831996</v>
      </c>
      <c r="R24" s="4">
        <f t="shared" si="6"/>
        <v>0.51400656422285695</v>
      </c>
      <c r="S24">
        <f t="shared" si="7"/>
        <v>0.6357907587935524</v>
      </c>
    </row>
    <row r="25" spans="1:19" x14ac:dyDescent="0.3">
      <c r="A25">
        <v>14.0136</v>
      </c>
      <c r="B25">
        <f t="shared" si="0"/>
        <v>6.5026000000000002</v>
      </c>
      <c r="C25">
        <v>817.5</v>
      </c>
      <c r="D25">
        <v>149.643</v>
      </c>
      <c r="E25">
        <v>202.648</v>
      </c>
      <c r="I25">
        <f t="shared" si="1"/>
        <v>0.44827255497754437</v>
      </c>
      <c r="J25">
        <f t="shared" si="2"/>
        <v>0.57260022790287268</v>
      </c>
      <c r="K25" s="3">
        <f t="shared" si="3"/>
        <v>0.9511347080999083</v>
      </c>
      <c r="L25" s="2">
        <f t="shared" si="4"/>
        <v>0.47130290920942536</v>
      </c>
      <c r="M25" s="2">
        <f t="shared" si="5"/>
        <v>0.60201801388024423</v>
      </c>
      <c r="R25">
        <f t="shared" si="6"/>
        <v>0.52230451891126217</v>
      </c>
      <c r="S25">
        <f t="shared" si="7"/>
        <v>0.60079480391105877</v>
      </c>
    </row>
    <row r="26" spans="1:19" x14ac:dyDescent="0.3">
      <c r="A26">
        <v>14.5138</v>
      </c>
      <c r="B26">
        <f t="shared" si="0"/>
        <v>7.0027999999999997</v>
      </c>
      <c r="C26">
        <v>832.15499999999997</v>
      </c>
      <c r="D26">
        <v>154.821</v>
      </c>
      <c r="E26">
        <v>199.87</v>
      </c>
      <c r="I26">
        <f t="shared" si="1"/>
        <v>0.45630856022916011</v>
      </c>
      <c r="J26">
        <f t="shared" si="2"/>
        <v>0.59241354346110842</v>
      </c>
      <c r="K26" s="3">
        <f t="shared" si="3"/>
        <v>0.93809607846082221</v>
      </c>
      <c r="L26" s="2">
        <f t="shared" si="4"/>
        <v>0.4864198568848585</v>
      </c>
      <c r="M26" s="2">
        <f t="shared" si="5"/>
        <v>0.63150625726216536</v>
      </c>
      <c r="R26">
        <f t="shared" si="6"/>
        <v>0.54454906183924701</v>
      </c>
      <c r="S26">
        <f t="shared" si="7"/>
        <v>0.66684478434373218</v>
      </c>
    </row>
    <row r="27" spans="1:19" x14ac:dyDescent="0.3">
      <c r="A27">
        <v>15.013400000000001</v>
      </c>
      <c r="B27">
        <f t="shared" si="0"/>
        <v>7.5024000000000006</v>
      </c>
      <c r="C27">
        <v>862.79300000000001</v>
      </c>
      <c r="D27">
        <v>150.429</v>
      </c>
      <c r="E27">
        <v>196.667</v>
      </c>
      <c r="I27">
        <f t="shared" si="1"/>
        <v>0.4731087737330158</v>
      </c>
      <c r="J27">
        <f t="shared" si="2"/>
        <v>0.57560781114520043</v>
      </c>
      <c r="K27" s="3">
        <f t="shared" si="3"/>
        <v>0.92306269806701613</v>
      </c>
      <c r="L27" s="2">
        <f t="shared" si="4"/>
        <v>0.51254240337492996</v>
      </c>
      <c r="M27" s="2">
        <f t="shared" si="5"/>
        <v>0.62358473844797291</v>
      </c>
      <c r="R27">
        <f t="shared" si="6"/>
        <v>0.58298831024195241</v>
      </c>
      <c r="S27">
        <f t="shared" si="7"/>
        <v>0.64910157204390273</v>
      </c>
    </row>
    <row r="28" spans="1:19" x14ac:dyDescent="0.3">
      <c r="A28">
        <v>15.514200000000001</v>
      </c>
      <c r="B28">
        <f t="shared" si="0"/>
        <v>8.0031999999999996</v>
      </c>
      <c r="C28">
        <v>890.69</v>
      </c>
      <c r="D28">
        <v>154.143</v>
      </c>
      <c r="E28">
        <v>203.05600000000001</v>
      </c>
      <c r="I28">
        <f t="shared" si="1"/>
        <v>0.48840597185681833</v>
      </c>
      <c r="J28">
        <f t="shared" si="2"/>
        <v>0.58981921593146691</v>
      </c>
      <c r="K28" s="3">
        <f t="shared" si="3"/>
        <v>0.95304966882443942</v>
      </c>
      <c r="L28" s="2">
        <f t="shared" si="4"/>
        <v>0.51246644097705174</v>
      </c>
      <c r="M28" s="2">
        <f t="shared" si="5"/>
        <v>0.61887563180100857</v>
      </c>
      <c r="R28">
        <f t="shared" si="6"/>
        <v>0.58287653180249532</v>
      </c>
      <c r="S28">
        <f t="shared" si="7"/>
        <v>0.63855376158741217</v>
      </c>
    </row>
    <row r="29" spans="1:19" x14ac:dyDescent="0.3">
      <c r="A29">
        <v>16.0136</v>
      </c>
      <c r="B29">
        <f t="shared" si="0"/>
        <v>8.502600000000001</v>
      </c>
      <c r="C29">
        <v>891</v>
      </c>
      <c r="D29">
        <v>156.964</v>
      </c>
      <c r="E29">
        <v>196.167</v>
      </c>
      <c r="I29">
        <f t="shared" si="1"/>
        <v>0.48857595900304834</v>
      </c>
      <c r="J29">
        <f t="shared" si="2"/>
        <v>0.60061360820450338</v>
      </c>
      <c r="K29" s="3">
        <f t="shared" si="3"/>
        <v>0.92071593247322814</v>
      </c>
      <c r="L29" s="2">
        <f t="shared" si="4"/>
        <v>0.53064788147049335</v>
      </c>
      <c r="M29" s="2">
        <f t="shared" si="5"/>
        <v>0.65233324092821388</v>
      </c>
      <c r="R29">
        <f t="shared" si="6"/>
        <v>0.60963046667297338</v>
      </c>
      <c r="S29">
        <f t="shared" si="7"/>
        <v>0.71349462529212471</v>
      </c>
    </row>
    <row r="30" spans="1:19" x14ac:dyDescent="0.3">
      <c r="A30">
        <v>16.514299999999999</v>
      </c>
      <c r="B30">
        <f t="shared" si="0"/>
        <v>9.0032999999999994</v>
      </c>
      <c r="C30">
        <v>908.12099999999998</v>
      </c>
      <c r="D30">
        <v>154.554</v>
      </c>
      <c r="E30">
        <v>199.87</v>
      </c>
      <c r="I30">
        <f t="shared" si="1"/>
        <v>0.49796418458564223</v>
      </c>
      <c r="J30">
        <f t="shared" si="2"/>
        <v>0.59139188350474514</v>
      </c>
      <c r="K30" s="3">
        <f t="shared" si="3"/>
        <v>0.93809607846082221</v>
      </c>
      <c r="L30" s="2">
        <f t="shared" si="4"/>
        <v>0.53082428977069729</v>
      </c>
      <c r="M30" s="2">
        <f t="shared" si="5"/>
        <v>0.63041717909648365</v>
      </c>
      <c r="R30">
        <f t="shared" si="6"/>
        <v>0.60989005095486626</v>
      </c>
      <c r="S30">
        <f t="shared" si="7"/>
        <v>0.66440538533982163</v>
      </c>
    </row>
    <row r="31" spans="1:19" x14ac:dyDescent="0.3">
      <c r="A31">
        <v>17.0137</v>
      </c>
      <c r="B31">
        <f t="shared" si="0"/>
        <v>9.5027000000000008</v>
      </c>
      <c r="C31">
        <v>926.93100000000004</v>
      </c>
      <c r="D31">
        <v>151.125</v>
      </c>
      <c r="E31">
        <v>193.59299999999999</v>
      </c>
      <c r="I31">
        <f t="shared" si="1"/>
        <v>0.50827856594237331</v>
      </c>
      <c r="J31">
        <f t="shared" si="2"/>
        <v>0.57827101462695629</v>
      </c>
      <c r="K31" s="3">
        <f t="shared" si="3"/>
        <v>0.90863478319640734</v>
      </c>
      <c r="L31" s="2">
        <f t="shared" si="4"/>
        <v>0.55938708856637021</v>
      </c>
      <c r="M31" s="2">
        <f t="shared" si="5"/>
        <v>0.63641743120674621</v>
      </c>
      <c r="R31">
        <f t="shared" si="6"/>
        <v>0.65192012326809434</v>
      </c>
      <c r="S31">
        <f t="shared" si="7"/>
        <v>0.67784520029729467</v>
      </c>
    </row>
    <row r="32" spans="1:19" x14ac:dyDescent="0.3">
      <c r="A32">
        <v>17.5139</v>
      </c>
      <c r="B32">
        <f t="shared" si="0"/>
        <v>10.0029</v>
      </c>
      <c r="C32">
        <v>945.08600000000001</v>
      </c>
      <c r="D32">
        <v>159.661</v>
      </c>
      <c r="E32">
        <v>195.79599999999999</v>
      </c>
      <c r="I32">
        <f t="shared" si="1"/>
        <v>0.51823378090948924</v>
      </c>
      <c r="J32">
        <f t="shared" si="2"/>
        <v>0.61093352169630755</v>
      </c>
      <c r="K32" s="3">
        <f t="shared" si="3"/>
        <v>0.91897463240263733</v>
      </c>
      <c r="L32" s="2">
        <f t="shared" si="4"/>
        <v>0.56392610050027103</v>
      </c>
      <c r="M32" s="2">
        <f t="shared" si="5"/>
        <v>0.66479911431182426</v>
      </c>
      <c r="R32">
        <f t="shared" si="6"/>
        <v>0.65859926564406346</v>
      </c>
      <c r="S32">
        <f t="shared" si="7"/>
        <v>0.74141662398155661</v>
      </c>
    </row>
    <row r="33" spans="1:19" x14ac:dyDescent="0.3">
      <c r="A33">
        <v>18.013400000000001</v>
      </c>
      <c r="B33">
        <f t="shared" si="0"/>
        <v>10.502400000000002</v>
      </c>
      <c r="C33">
        <v>950.81</v>
      </c>
      <c r="D33">
        <v>155.018</v>
      </c>
      <c r="E33">
        <v>192.09299999999999</v>
      </c>
      <c r="I33">
        <f t="shared" si="1"/>
        <v>0.52137251131278151</v>
      </c>
      <c r="J33">
        <f t="shared" si="2"/>
        <v>0.59316735249258246</v>
      </c>
      <c r="K33" s="3">
        <f t="shared" si="3"/>
        <v>0.90159448641504325</v>
      </c>
      <c r="L33" s="2">
        <f t="shared" si="4"/>
        <v>0.57827828271874659</v>
      </c>
      <c r="M33" s="2">
        <f t="shared" si="5"/>
        <v>0.65790925014543811</v>
      </c>
      <c r="R33">
        <f t="shared" si="6"/>
        <v>0.67971845850784318</v>
      </c>
      <c r="S33">
        <f t="shared" si="7"/>
        <v>0.72598418918102914</v>
      </c>
    </row>
    <row r="34" spans="1:19" x14ac:dyDescent="0.3">
      <c r="A34">
        <v>18.5136</v>
      </c>
      <c r="B34">
        <f t="shared" si="0"/>
        <v>11.002600000000001</v>
      </c>
      <c r="C34">
        <v>959.94799999999998</v>
      </c>
      <c r="D34">
        <v>157.875</v>
      </c>
      <c r="E34">
        <v>194.22200000000001</v>
      </c>
      <c r="I34">
        <f t="shared" si="1"/>
        <v>0.5263832937071361</v>
      </c>
      <c r="J34">
        <f t="shared" si="2"/>
        <v>0.60409949666984764</v>
      </c>
      <c r="K34" s="3">
        <f t="shared" si="3"/>
        <v>0.91158701431339273</v>
      </c>
      <c r="L34" s="2">
        <f t="shared" si="4"/>
        <v>0.57743614755592798</v>
      </c>
      <c r="M34" s="2">
        <f t="shared" si="5"/>
        <v>0.66268988827671638</v>
      </c>
      <c r="R34">
        <f t="shared" si="6"/>
        <v>0.67847925915472729</v>
      </c>
      <c r="S34">
        <f t="shared" si="7"/>
        <v>0.73669222122407074</v>
      </c>
    </row>
    <row r="35" spans="1:19" x14ac:dyDescent="0.3">
      <c r="A35">
        <v>19.0137</v>
      </c>
      <c r="B35">
        <f t="shared" si="0"/>
        <v>11.502700000000001</v>
      </c>
      <c r="C35">
        <v>986.24099999999999</v>
      </c>
      <c r="D35">
        <v>157.804</v>
      </c>
      <c r="E35">
        <v>196.185</v>
      </c>
      <c r="I35">
        <f t="shared" si="1"/>
        <v>0.54080094543560653</v>
      </c>
      <c r="J35">
        <f t="shared" si="2"/>
        <v>0.60382781930317431</v>
      </c>
      <c r="K35" s="3">
        <f t="shared" si="3"/>
        <v>0.9208004160346045</v>
      </c>
      <c r="L35" s="2">
        <f t="shared" si="4"/>
        <v>0.58731613932642135</v>
      </c>
      <c r="M35" s="2">
        <f t="shared" si="5"/>
        <v>0.65576406003761178</v>
      </c>
      <c r="R35">
        <f t="shared" si="6"/>
        <v>0.69301763725760579</v>
      </c>
      <c r="S35">
        <f t="shared" si="7"/>
        <v>0.72117923139459272</v>
      </c>
    </row>
    <row r="36" spans="1:19" x14ac:dyDescent="0.3">
      <c r="A36">
        <v>19.5137</v>
      </c>
      <c r="B36">
        <f t="shared" si="0"/>
        <v>12.002700000000001</v>
      </c>
      <c r="C36">
        <v>991.01700000000005</v>
      </c>
      <c r="D36">
        <v>161.321</v>
      </c>
      <c r="E36">
        <v>191.25899999999999</v>
      </c>
      <c r="I36">
        <f t="shared" si="1"/>
        <v>0.54341984417881484</v>
      </c>
      <c r="J36">
        <f t="shared" si="2"/>
        <v>0.61728541505796675</v>
      </c>
      <c r="K36" s="3">
        <f t="shared" si="3"/>
        <v>0.89768008140460487</v>
      </c>
      <c r="L36" s="2">
        <f t="shared" si="4"/>
        <v>0.60536025632709023</v>
      </c>
      <c r="M36" s="2">
        <f t="shared" si="5"/>
        <v>0.68764521776187448</v>
      </c>
      <c r="R36">
        <f t="shared" si="6"/>
        <v>0.7195695010224884</v>
      </c>
      <c r="S36">
        <f t="shared" si="7"/>
        <v>0.79258904094430416</v>
      </c>
    </row>
    <row r="37" spans="1:19" x14ac:dyDescent="0.3">
      <c r="A37">
        <v>20.0137</v>
      </c>
      <c r="B37">
        <f t="shared" si="0"/>
        <v>12.502700000000001</v>
      </c>
      <c r="C37">
        <v>987.46600000000001</v>
      </c>
      <c r="D37">
        <v>161</v>
      </c>
      <c r="E37">
        <v>194.44399999999999</v>
      </c>
      <c r="I37">
        <f t="shared" si="1"/>
        <v>0.54147266883603162</v>
      </c>
      <c r="J37">
        <f t="shared" si="2"/>
        <v>0.61605712724526041</v>
      </c>
      <c r="K37" s="3">
        <f t="shared" si="3"/>
        <v>0.91262897823703448</v>
      </c>
      <c r="L37" s="2">
        <f t="shared" si="4"/>
        <v>0.59331084345142993</v>
      </c>
      <c r="M37" s="2">
        <f t="shared" si="5"/>
        <v>0.67503568474817122</v>
      </c>
      <c r="R37">
        <f t="shared" si="6"/>
        <v>0.70183882630399175</v>
      </c>
      <c r="S37">
        <f t="shared" si="7"/>
        <v>0.76434526263464508</v>
      </c>
    </row>
    <row r="38" spans="1:19" x14ac:dyDescent="0.3">
      <c r="A38">
        <v>20.5138</v>
      </c>
      <c r="B38">
        <f t="shared" si="0"/>
        <v>13.002800000000001</v>
      </c>
      <c r="C38">
        <v>1007.724</v>
      </c>
      <c r="D38">
        <v>159.5</v>
      </c>
      <c r="E38">
        <v>190.09299999999999</v>
      </c>
      <c r="I38">
        <f t="shared" si="1"/>
        <v>0.55258105466934671</v>
      </c>
      <c r="J38">
        <f t="shared" si="2"/>
        <v>0.61031746456906222</v>
      </c>
      <c r="K38" s="3">
        <f t="shared" si="3"/>
        <v>0.89220742403989117</v>
      </c>
      <c r="L38" s="2">
        <f t="shared" si="4"/>
        <v>0.61934146677156598</v>
      </c>
      <c r="M38" s="2">
        <f t="shared" si="5"/>
        <v>0.68405333572047766</v>
      </c>
      <c r="R38">
        <f t="shared" si="6"/>
        <v>0.74014281003927829</v>
      </c>
      <c r="S38">
        <f t="shared" si="7"/>
        <v>0.78454367399999225</v>
      </c>
    </row>
    <row r="39" spans="1:19" x14ac:dyDescent="0.3">
      <c r="A39">
        <v>21.0138</v>
      </c>
      <c r="B39">
        <f t="shared" si="0"/>
        <v>13.502800000000001</v>
      </c>
      <c r="C39">
        <v>1033.6210000000001</v>
      </c>
      <c r="D39">
        <v>161.875</v>
      </c>
      <c r="E39">
        <v>191.27799999999999</v>
      </c>
      <c r="I39">
        <f t="shared" si="1"/>
        <v>0.56678156152714909</v>
      </c>
      <c r="J39">
        <f t="shared" si="2"/>
        <v>0.61940526380637595</v>
      </c>
      <c r="K39" s="3">
        <f t="shared" si="3"/>
        <v>0.89776925849716882</v>
      </c>
      <c r="L39" s="2">
        <f t="shared" si="4"/>
        <v>0.6313220865636674</v>
      </c>
      <c r="M39" s="2">
        <f t="shared" si="5"/>
        <v>0.68993815275345527</v>
      </c>
      <c r="R39">
        <f t="shared" si="6"/>
        <v>0.75777225594272379</v>
      </c>
      <c r="S39">
        <f t="shared" si="7"/>
        <v>0.79772492880869128</v>
      </c>
    </row>
    <row r="40" spans="1:19" x14ac:dyDescent="0.3">
      <c r="A40">
        <v>21.513999999999999</v>
      </c>
      <c r="B40">
        <f t="shared" si="0"/>
        <v>14.003</v>
      </c>
      <c r="C40">
        <v>1028.931</v>
      </c>
      <c r="D40">
        <v>158.929</v>
      </c>
      <c r="E40">
        <v>190.148</v>
      </c>
      <c r="I40">
        <f t="shared" si="1"/>
        <v>0.56420982050837887</v>
      </c>
      <c r="J40">
        <f t="shared" si="2"/>
        <v>0.60813256631032286</v>
      </c>
      <c r="K40" s="3">
        <f t="shared" si="3"/>
        <v>0.89246556825520795</v>
      </c>
      <c r="L40" s="2">
        <f t="shared" si="4"/>
        <v>0.6321922554518522</v>
      </c>
      <c r="M40" s="2">
        <f t="shared" si="5"/>
        <v>0.68140731468132365</v>
      </c>
      <c r="R40">
        <f t="shared" si="6"/>
        <v>0.75905270683819659</v>
      </c>
      <c r="S40">
        <f t="shared" si="7"/>
        <v>0.77861691750937967</v>
      </c>
    </row>
    <row r="41" spans="1:19" x14ac:dyDescent="0.3">
      <c r="A41">
        <v>22.0136</v>
      </c>
      <c r="B41">
        <f t="shared" si="0"/>
        <v>14.502600000000001</v>
      </c>
      <c r="C41">
        <v>1040.81</v>
      </c>
      <c r="D41">
        <v>160.107</v>
      </c>
      <c r="E41">
        <v>190.25899999999999</v>
      </c>
      <c r="I41">
        <f t="shared" si="1"/>
        <v>0.57072361828278639</v>
      </c>
      <c r="J41">
        <f t="shared" si="2"/>
        <v>0.61264011473203039</v>
      </c>
      <c r="K41" s="3">
        <f t="shared" si="3"/>
        <v>0.89298655021702877</v>
      </c>
      <c r="L41" s="2">
        <f t="shared" si="4"/>
        <v>0.63911782114084414</v>
      </c>
      <c r="M41" s="2">
        <f t="shared" si="5"/>
        <v>0.68605749390417603</v>
      </c>
      <c r="R41">
        <f t="shared" si="6"/>
        <v>0.76924365586950927</v>
      </c>
      <c r="S41">
        <f t="shared" si="7"/>
        <v>0.78903273789921446</v>
      </c>
    </row>
    <row r="42" spans="1:19" x14ac:dyDescent="0.3">
      <c r="A42">
        <v>22.513999999999999</v>
      </c>
      <c r="B42">
        <f t="shared" si="0"/>
        <v>15.003</v>
      </c>
      <c r="C42">
        <v>1057.828</v>
      </c>
      <c r="D42">
        <v>155.518</v>
      </c>
      <c r="E42">
        <v>192.01900000000001</v>
      </c>
      <c r="I42">
        <f t="shared" si="1"/>
        <v>0.58005536426518134</v>
      </c>
      <c r="J42">
        <f t="shared" si="2"/>
        <v>0.59508057338464848</v>
      </c>
      <c r="K42" s="3">
        <f t="shared" si="3"/>
        <v>0.90124716510716274</v>
      </c>
      <c r="L42" s="2">
        <f t="shared" si="4"/>
        <v>0.64361407915908386</v>
      </c>
      <c r="M42" s="2">
        <f t="shared" si="5"/>
        <v>0.66028565350759294</v>
      </c>
      <c r="R42">
        <f t="shared" si="6"/>
        <v>0.77585988598748279</v>
      </c>
      <c r="S42">
        <f t="shared" si="7"/>
        <v>0.73130703576560041</v>
      </c>
    </row>
    <row r="43" spans="1:19" x14ac:dyDescent="0.3">
      <c r="A43">
        <v>23.013400000000001</v>
      </c>
      <c r="B43">
        <f t="shared" si="0"/>
        <v>15.502400000000002</v>
      </c>
      <c r="C43">
        <v>1053.172</v>
      </c>
      <c r="D43">
        <v>159.607</v>
      </c>
      <c r="E43">
        <v>190.833</v>
      </c>
      <c r="I43">
        <f t="shared" si="1"/>
        <v>0.57750226699793317</v>
      </c>
      <c r="J43">
        <f t="shared" si="2"/>
        <v>0.61072689383996437</v>
      </c>
      <c r="K43" s="3">
        <f t="shared" si="3"/>
        <v>0.8956806371186975</v>
      </c>
      <c r="L43" s="2">
        <f t="shared" si="4"/>
        <v>0.6447635943718647</v>
      </c>
      <c r="M43" s="2">
        <f t="shared" si="5"/>
        <v>0.68185787269511955</v>
      </c>
      <c r="R43">
        <f t="shared" si="6"/>
        <v>0.77755139415739127</v>
      </c>
      <c r="S43">
        <f t="shared" si="7"/>
        <v>0.77962611116020419</v>
      </c>
    </row>
    <row r="44" spans="1:19" x14ac:dyDescent="0.3">
      <c r="A44">
        <v>23.514299999999999</v>
      </c>
      <c r="B44">
        <f t="shared" si="0"/>
        <v>16.003299999999999</v>
      </c>
      <c r="C44">
        <v>1064.569</v>
      </c>
      <c r="D44">
        <v>161.518</v>
      </c>
      <c r="E44">
        <v>188.815</v>
      </c>
      <c r="I44">
        <f t="shared" si="1"/>
        <v>0.58375176217723468</v>
      </c>
      <c r="J44">
        <f t="shared" si="2"/>
        <v>0.61803922408944079</v>
      </c>
      <c r="K44" s="3">
        <f t="shared" si="3"/>
        <v>0.88620909118216906</v>
      </c>
      <c r="L44" s="2">
        <f t="shared" si="4"/>
        <v>0.65870658288839279</v>
      </c>
      <c r="M44" s="2">
        <f t="shared" si="5"/>
        <v>0.69739661919400997</v>
      </c>
      <c r="R44">
        <f t="shared" si="6"/>
        <v>0.79806845972244245</v>
      </c>
      <c r="S44">
        <f t="shared" si="7"/>
        <v>0.81443096165289974</v>
      </c>
    </row>
    <row r="45" spans="1:19" x14ac:dyDescent="0.3">
      <c r="A45">
        <v>24.0138</v>
      </c>
      <c r="B45">
        <f t="shared" si="0"/>
        <v>16.502800000000001</v>
      </c>
      <c r="C45">
        <v>1071.2239999999999</v>
      </c>
      <c r="D45">
        <v>161.304</v>
      </c>
      <c r="E45">
        <v>187.90700000000001</v>
      </c>
      <c r="I45">
        <f t="shared" si="1"/>
        <v>0.58740100236485004</v>
      </c>
      <c r="J45">
        <f t="shared" si="2"/>
        <v>0.61722036554763648</v>
      </c>
      <c r="K45" s="3">
        <f t="shared" si="3"/>
        <v>0.88194736486385006</v>
      </c>
      <c r="L45" s="2">
        <f t="shared" si="4"/>
        <v>0.6660272775524757</v>
      </c>
      <c r="M45" s="2">
        <f t="shared" si="5"/>
        <v>0.69983809707614397</v>
      </c>
      <c r="R45">
        <f t="shared" si="6"/>
        <v>0.80884083984931854</v>
      </c>
      <c r="S45">
        <f t="shared" si="7"/>
        <v>0.81989956703075084</v>
      </c>
    </row>
    <row r="46" spans="1:19" x14ac:dyDescent="0.3">
      <c r="A46">
        <v>24.5137</v>
      </c>
      <c r="B46">
        <f t="shared" si="0"/>
        <v>17.002700000000001</v>
      </c>
      <c r="C46">
        <v>1071.3789999999999</v>
      </c>
      <c r="D46">
        <v>162.857</v>
      </c>
      <c r="E46">
        <v>183.94399999999999</v>
      </c>
      <c r="I46">
        <f t="shared" si="1"/>
        <v>0.58748599593796502</v>
      </c>
      <c r="J46">
        <f t="shared" si="2"/>
        <v>0.62316282963839353</v>
      </c>
      <c r="K46" s="3">
        <f t="shared" si="3"/>
        <v>0.8633469007674861</v>
      </c>
      <c r="L46" s="2">
        <f t="shared" si="4"/>
        <v>0.68047501579690606</v>
      </c>
      <c r="M46" s="2">
        <f t="shared" si="5"/>
        <v>0.72179888418481952</v>
      </c>
      <c r="R46">
        <f t="shared" si="6"/>
        <v>0.83010064311719689</v>
      </c>
      <c r="S46">
        <f t="shared" si="7"/>
        <v>0.86908898601470475</v>
      </c>
    </row>
    <row r="47" spans="1:19" x14ac:dyDescent="0.3">
      <c r="A47">
        <v>25.0137</v>
      </c>
      <c r="B47">
        <f t="shared" si="0"/>
        <v>17.502700000000001</v>
      </c>
      <c r="C47">
        <v>1062.7070000000001</v>
      </c>
      <c r="D47">
        <v>160.268</v>
      </c>
      <c r="E47">
        <v>180.74100000000001</v>
      </c>
      <c r="I47">
        <f t="shared" si="1"/>
        <v>0.5827307426085887</v>
      </c>
      <c r="J47">
        <f t="shared" si="2"/>
        <v>0.61325617185927572</v>
      </c>
      <c r="K47" s="3">
        <f t="shared" si="3"/>
        <v>0.84831352037368024</v>
      </c>
      <c r="L47" s="2">
        <f t="shared" si="4"/>
        <v>0.68692851005356736</v>
      </c>
      <c r="M47" s="2">
        <f t="shared" si="5"/>
        <v>0.72291217472183833</v>
      </c>
      <c r="R47">
        <f t="shared" si="6"/>
        <v>0.8395969404590935</v>
      </c>
      <c r="S47">
        <f t="shared" si="7"/>
        <v>0.87158261770492118</v>
      </c>
    </row>
    <row r="48" spans="1:19" x14ac:dyDescent="0.3">
      <c r="A48">
        <v>25.5137</v>
      </c>
      <c r="B48">
        <f t="shared" si="0"/>
        <v>18.002700000000001</v>
      </c>
      <c r="C48">
        <v>1080.845</v>
      </c>
      <c r="D48">
        <v>158.964</v>
      </c>
      <c r="E48">
        <v>179.42599999999999</v>
      </c>
      <c r="I48">
        <f t="shared" si="1"/>
        <v>0.59267663569994367</v>
      </c>
      <c r="J48">
        <f t="shared" si="2"/>
        <v>0.60826649177276748</v>
      </c>
      <c r="K48" s="3">
        <f t="shared" si="3"/>
        <v>0.8421415268620176</v>
      </c>
      <c r="L48" s="2">
        <f t="shared" si="4"/>
        <v>0.70377319820383588</v>
      </c>
      <c r="M48" s="2">
        <f t="shared" si="5"/>
        <v>0.72228535509855007</v>
      </c>
      <c r="R48">
        <f t="shared" si="6"/>
        <v>0.86438384828679615</v>
      </c>
      <c r="S48">
        <f t="shared" si="7"/>
        <v>0.87017862007383862</v>
      </c>
    </row>
    <row r="49" spans="1:19" x14ac:dyDescent="0.3">
      <c r="A49">
        <v>26.0138</v>
      </c>
      <c r="B49">
        <f t="shared" si="0"/>
        <v>18.502800000000001</v>
      </c>
      <c r="C49">
        <v>1080.9659999999999</v>
      </c>
      <c r="D49">
        <v>157.911</v>
      </c>
      <c r="E49">
        <v>177.94399999999999</v>
      </c>
      <c r="I49">
        <f t="shared" si="1"/>
        <v>0.59274298552153659</v>
      </c>
      <c r="J49">
        <f t="shared" si="2"/>
        <v>0.60423724857407646</v>
      </c>
      <c r="K49" s="3">
        <f t="shared" si="3"/>
        <v>0.83518571364202998</v>
      </c>
      <c r="L49" s="2">
        <f t="shared" si="4"/>
        <v>0.70971399036118199</v>
      </c>
      <c r="M49" s="2">
        <f t="shared" si="5"/>
        <v>0.7234765139110837</v>
      </c>
      <c r="R49">
        <f t="shared" si="6"/>
        <v>0.87312570603530715</v>
      </c>
      <c r="S49">
        <f t="shared" si="7"/>
        <v>0.87284666697107383</v>
      </c>
    </row>
    <row r="50" spans="1:19" x14ac:dyDescent="0.3">
      <c r="A50">
        <v>26.513999999999999</v>
      </c>
      <c r="B50">
        <f t="shared" si="0"/>
        <v>19.003</v>
      </c>
      <c r="C50">
        <v>1084.81</v>
      </c>
      <c r="D50">
        <v>157.571</v>
      </c>
      <c r="E50">
        <v>183.833</v>
      </c>
      <c r="I50">
        <f t="shared" si="1"/>
        <v>0.59485082613478879</v>
      </c>
      <c r="J50">
        <f t="shared" si="2"/>
        <v>0.60293625836747156</v>
      </c>
      <c r="K50" s="3">
        <f t="shared" si="3"/>
        <v>0.86282591880566528</v>
      </c>
      <c r="L50" s="2">
        <f t="shared" si="4"/>
        <v>0.68942160077688552</v>
      </c>
      <c r="M50" s="2">
        <f t="shared" si="5"/>
        <v>0.6987924739234348</v>
      </c>
      <c r="R50">
        <f t="shared" si="6"/>
        <v>0.84326551594198262</v>
      </c>
      <c r="S50">
        <f t="shared" si="7"/>
        <v>0.81755750182591969</v>
      </c>
    </row>
    <row r="51" spans="1:19" x14ac:dyDescent="0.3">
      <c r="A51">
        <v>27.0138</v>
      </c>
      <c r="B51">
        <f t="shared" si="0"/>
        <v>19.502800000000001</v>
      </c>
      <c r="C51">
        <v>1095.8789999999999</v>
      </c>
      <c r="D51">
        <v>160.107</v>
      </c>
      <c r="E51">
        <v>172.55600000000001</v>
      </c>
      <c r="I51">
        <f t="shared" si="1"/>
        <v>0.60092046394646637</v>
      </c>
      <c r="J51">
        <f t="shared" si="2"/>
        <v>0.61264011473203039</v>
      </c>
      <c r="K51" s="3">
        <f t="shared" si="3"/>
        <v>0.80989696760337038</v>
      </c>
      <c r="L51" s="2">
        <f t="shared" si="4"/>
        <v>0.74197149512078953</v>
      </c>
      <c r="M51" s="2">
        <f t="shared" si="5"/>
        <v>0.75644204045477759</v>
      </c>
      <c r="R51">
        <f t="shared" si="6"/>
        <v>0.92059252703521555</v>
      </c>
      <c r="S51">
        <f t="shared" si="7"/>
        <v>0.94668532717755716</v>
      </c>
    </row>
    <row r="52" spans="1:19" x14ac:dyDescent="0.3">
      <c r="A52">
        <v>27.5136</v>
      </c>
      <c r="B52">
        <f t="shared" si="0"/>
        <v>20.002600000000001</v>
      </c>
      <c r="C52">
        <v>1087.5170000000001</v>
      </c>
      <c r="D52">
        <v>158.643</v>
      </c>
      <c r="E52">
        <v>181.20400000000001</v>
      </c>
      <c r="I52">
        <f t="shared" si="1"/>
        <v>0.59633519776332</v>
      </c>
      <c r="J52">
        <f t="shared" si="2"/>
        <v>0.60703820396006114</v>
      </c>
      <c r="K52" s="3">
        <f t="shared" si="3"/>
        <v>0.85048662531352792</v>
      </c>
      <c r="L52" s="2">
        <f t="shared" si="4"/>
        <v>0.70116940115723025</v>
      </c>
      <c r="M52" s="2">
        <f t="shared" si="5"/>
        <v>0.71375396848395978</v>
      </c>
      <c r="R52">
        <f t="shared" si="6"/>
        <v>0.86055236878296038</v>
      </c>
      <c r="S52">
        <f t="shared" si="7"/>
        <v>0.8510693801079634</v>
      </c>
    </row>
    <row r="53" spans="1:19" x14ac:dyDescent="0.3">
      <c r="A53">
        <v>28.0137</v>
      </c>
      <c r="B53">
        <f t="shared" si="0"/>
        <v>20.502700000000001</v>
      </c>
      <c r="C53">
        <v>1100.914</v>
      </c>
      <c r="D53">
        <v>159.839</v>
      </c>
      <c r="E53">
        <v>177.167</v>
      </c>
      <c r="I53">
        <f t="shared" si="1"/>
        <v>0.60368138420862172</v>
      </c>
      <c r="J53">
        <f t="shared" si="2"/>
        <v>0.61161462833388303</v>
      </c>
      <c r="K53" s="3">
        <f t="shared" si="3"/>
        <v>0.83153883990928346</v>
      </c>
      <c r="L53" s="2">
        <f t="shared" si="4"/>
        <v>0.72598098276982492</v>
      </c>
      <c r="M53" s="2">
        <f t="shared" si="5"/>
        <v>0.73552142002243337</v>
      </c>
      <c r="R53">
        <f t="shared" si="6"/>
        <v>0.89706253632091526</v>
      </c>
      <c r="S53">
        <f t="shared" si="7"/>
        <v>0.89982575157316935</v>
      </c>
    </row>
    <row r="54" spans="1:19" x14ac:dyDescent="0.3">
      <c r="A54">
        <v>28.5137</v>
      </c>
      <c r="B54">
        <f t="shared" si="0"/>
        <v>21.002700000000001</v>
      </c>
      <c r="C54">
        <v>1100.759</v>
      </c>
      <c r="D54">
        <v>158.679</v>
      </c>
      <c r="E54">
        <v>178.09299999999999</v>
      </c>
      <c r="I54">
        <f t="shared" si="1"/>
        <v>0.60359639063550674</v>
      </c>
      <c r="J54">
        <f t="shared" si="2"/>
        <v>0.60717595586428985</v>
      </c>
      <c r="K54" s="3">
        <f t="shared" si="3"/>
        <v>0.83588504978897882</v>
      </c>
      <c r="L54" s="2">
        <f t="shared" si="4"/>
        <v>0.72210454151307779</v>
      </c>
      <c r="M54" s="2">
        <f t="shared" si="5"/>
        <v>0.72638690692885688</v>
      </c>
      <c r="R54">
        <f t="shared" si="6"/>
        <v>0.89135836469877916</v>
      </c>
      <c r="S54">
        <f t="shared" si="7"/>
        <v>0.87936558365883966</v>
      </c>
    </row>
    <row r="55" spans="1:19" x14ac:dyDescent="0.3">
      <c r="A55">
        <v>29.0137</v>
      </c>
      <c r="B55">
        <f t="shared" si="0"/>
        <v>21.502700000000001</v>
      </c>
      <c r="C55">
        <v>1102.1210000000001</v>
      </c>
      <c r="D55">
        <v>159.804</v>
      </c>
      <c r="E55">
        <v>177.61099999999999</v>
      </c>
      <c r="I55">
        <f t="shared" si="1"/>
        <v>0.60434323738765283</v>
      </c>
      <c r="J55">
        <f t="shared" si="2"/>
        <v>0.61148070287143841</v>
      </c>
      <c r="K55" s="3">
        <f t="shared" si="3"/>
        <v>0.83362276775656707</v>
      </c>
      <c r="L55" s="2">
        <f t="shared" si="4"/>
        <v>0.72496009077829315</v>
      </c>
      <c r="M55" s="2">
        <f t="shared" si="5"/>
        <v>0.73352207559906979</v>
      </c>
      <c r="R55">
        <f t="shared" si="6"/>
        <v>0.89556029683328586</v>
      </c>
      <c r="S55">
        <f t="shared" si="7"/>
        <v>0.89534746989558722</v>
      </c>
    </row>
    <row r="56" spans="1:19" x14ac:dyDescent="0.3">
      <c r="A56">
        <v>29.5137</v>
      </c>
      <c r="B56">
        <f t="shared" si="0"/>
        <v>22.002700000000001</v>
      </c>
      <c r="C56">
        <v>1094.2070000000001</v>
      </c>
      <c r="D56">
        <v>158.25</v>
      </c>
      <c r="E56">
        <v>178.29599999999999</v>
      </c>
      <c r="I56">
        <f t="shared" si="1"/>
        <v>0.60000363004809043</v>
      </c>
      <c r="J56">
        <f t="shared" si="2"/>
        <v>0.60553441233889715</v>
      </c>
      <c r="K56" s="3">
        <f t="shared" si="3"/>
        <v>0.83683783662005673</v>
      </c>
      <c r="L56" s="2">
        <f t="shared" si="4"/>
        <v>0.71698912715451901</v>
      </c>
      <c r="M56" s="2">
        <f t="shared" si="5"/>
        <v>0.72359827178060954</v>
      </c>
      <c r="R56">
        <f t="shared" si="6"/>
        <v>0.88383104789273415</v>
      </c>
      <c r="S56">
        <f t="shared" si="7"/>
        <v>0.87311938938439448</v>
      </c>
    </row>
    <row r="57" spans="1:19" x14ac:dyDescent="0.3">
      <c r="A57">
        <v>30.0138</v>
      </c>
      <c r="B57">
        <f t="shared" si="0"/>
        <v>22.502800000000001</v>
      </c>
      <c r="C57">
        <v>1098.69</v>
      </c>
      <c r="D57">
        <v>160</v>
      </c>
      <c r="E57">
        <v>173.648</v>
      </c>
      <c r="I57">
        <f t="shared" si="1"/>
        <v>0.60246186352082964</v>
      </c>
      <c r="J57">
        <f t="shared" si="2"/>
        <v>0.61223068546112824</v>
      </c>
      <c r="K57" s="3">
        <f t="shared" si="3"/>
        <v>0.81502230366020334</v>
      </c>
      <c r="L57" s="2">
        <f t="shared" si="4"/>
        <v>0.73919678126011901</v>
      </c>
      <c r="M57" s="2">
        <f t="shared" si="5"/>
        <v>0.75118273783631029</v>
      </c>
      <c r="R57">
        <f t="shared" si="6"/>
        <v>0.91650954395478412</v>
      </c>
      <c r="S57">
        <f t="shared" si="7"/>
        <v>0.93490514649537226</v>
      </c>
    </row>
    <row r="58" spans="1:19" x14ac:dyDescent="0.3">
      <c r="A58">
        <v>30.5138</v>
      </c>
      <c r="B58">
        <f t="shared" si="0"/>
        <v>23.002800000000001</v>
      </c>
      <c r="C58">
        <v>1111.2929999999999</v>
      </c>
      <c r="D58">
        <v>159.768</v>
      </c>
      <c r="E58">
        <v>175.46299999999999</v>
      </c>
      <c r="I58">
        <f t="shared" si="1"/>
        <v>0.60937266353352926</v>
      </c>
      <c r="J58">
        <f t="shared" si="2"/>
        <v>0.6113429509672097</v>
      </c>
      <c r="K58" s="3">
        <f t="shared" si="3"/>
        <v>0.82354106276565386</v>
      </c>
      <c r="L58" s="2">
        <f t="shared" si="4"/>
        <v>0.73994205156826753</v>
      </c>
      <c r="M58" s="2">
        <f t="shared" si="5"/>
        <v>0.74233450960437775</v>
      </c>
      <c r="R58">
        <f t="shared" si="6"/>
        <v>0.91760620696629303</v>
      </c>
      <c r="S58">
        <f t="shared" si="7"/>
        <v>0.91508622089801794</v>
      </c>
    </row>
    <row r="59" spans="1:19" x14ac:dyDescent="0.3">
      <c r="A59">
        <v>31.0138</v>
      </c>
      <c r="B59">
        <f t="shared" si="0"/>
        <v>23.502800000000001</v>
      </c>
      <c r="C59">
        <v>1108.759</v>
      </c>
      <c r="D59">
        <v>159.625</v>
      </c>
      <c r="E59">
        <v>176.72200000000001</v>
      </c>
      <c r="I59">
        <f t="shared" si="1"/>
        <v>0.60798315569950712</v>
      </c>
      <c r="J59">
        <f t="shared" si="2"/>
        <v>0.61079576979207872</v>
      </c>
      <c r="K59" s="3">
        <f t="shared" si="3"/>
        <v>0.82945021853081213</v>
      </c>
      <c r="L59" s="2">
        <f t="shared" si="4"/>
        <v>0.73299535296574514</v>
      </c>
      <c r="M59" s="2">
        <f t="shared" si="5"/>
        <v>0.73638629075771245</v>
      </c>
      <c r="R59">
        <f t="shared" si="6"/>
        <v>0.90738416091643426</v>
      </c>
      <c r="S59">
        <f t="shared" si="7"/>
        <v>0.90176295394911676</v>
      </c>
    </row>
    <row r="60" spans="1:19" x14ac:dyDescent="0.3">
      <c r="A60">
        <v>31.5139</v>
      </c>
      <c r="B60">
        <f t="shared" si="0"/>
        <v>24.0029</v>
      </c>
      <c r="C60">
        <v>1098.828</v>
      </c>
      <c r="D60">
        <v>160.821</v>
      </c>
      <c r="E60">
        <v>172.59299999999999</v>
      </c>
      <c r="I60">
        <f t="shared" si="1"/>
        <v>0.60253753521818365</v>
      </c>
      <c r="J60">
        <f t="shared" si="2"/>
        <v>0.61537219416590072</v>
      </c>
      <c r="K60" s="3">
        <f t="shared" si="3"/>
        <v>0.81007062825731058</v>
      </c>
      <c r="L60" s="2">
        <f t="shared" si="4"/>
        <v>0.74380864359248666</v>
      </c>
      <c r="M60" s="2">
        <f t="shared" si="5"/>
        <v>0.75965252003981321</v>
      </c>
      <c r="R60">
        <f t="shared" si="6"/>
        <v>0.92329588547245889</v>
      </c>
      <c r="S60">
        <f t="shared" si="7"/>
        <v>0.95387640027827314</v>
      </c>
    </row>
    <row r="61" spans="1:19" x14ac:dyDescent="0.3">
      <c r="A61">
        <v>32.0139</v>
      </c>
      <c r="B61">
        <f t="shared" si="0"/>
        <v>24.5029</v>
      </c>
      <c r="C61">
        <v>1117.31</v>
      </c>
      <c r="D61">
        <v>157.107</v>
      </c>
      <c r="E61">
        <v>174.815</v>
      </c>
      <c r="I61">
        <f t="shared" si="1"/>
        <v>0.61267205920729062</v>
      </c>
      <c r="J61">
        <f t="shared" si="2"/>
        <v>0.60116078937963424</v>
      </c>
      <c r="K61" s="3">
        <f t="shared" si="3"/>
        <v>0.82049965455610452</v>
      </c>
      <c r="L61" s="2">
        <f t="shared" si="4"/>
        <v>0.74670605381150346</v>
      </c>
      <c r="M61" s="2">
        <f t="shared" si="5"/>
        <v>0.73267646859018609</v>
      </c>
      <c r="R61">
        <f t="shared" si="6"/>
        <v>0.92755941587427682</v>
      </c>
      <c r="S61">
        <f t="shared" si="7"/>
        <v>0.89345341585964078</v>
      </c>
    </row>
    <row r="62" spans="1:19" x14ac:dyDescent="0.3">
      <c r="A62">
        <v>32.514099999999999</v>
      </c>
      <c r="B62">
        <f t="shared" si="0"/>
        <v>25.0031</v>
      </c>
      <c r="C62">
        <v>1110.3969999999999</v>
      </c>
      <c r="D62">
        <v>155.714</v>
      </c>
      <c r="E62">
        <v>172.05600000000001</v>
      </c>
      <c r="I62">
        <f t="shared" si="1"/>
        <v>0.60888134584636122</v>
      </c>
      <c r="J62">
        <f t="shared" si="2"/>
        <v>0.59583055597433832</v>
      </c>
      <c r="K62" s="3">
        <f t="shared" si="3"/>
        <v>0.80755020200958239</v>
      </c>
      <c r="L62" s="2">
        <f t="shared" si="4"/>
        <v>0.75398575138878643</v>
      </c>
      <c r="M62" s="2">
        <f t="shared" si="5"/>
        <v>0.73782478722885414</v>
      </c>
      <c r="R62">
        <f t="shared" si="6"/>
        <v>0.9382714689115299</v>
      </c>
      <c r="S62">
        <f t="shared" si="7"/>
        <v>0.90498500629522671</v>
      </c>
    </row>
    <row r="63" spans="1:19" x14ac:dyDescent="0.3">
      <c r="A63">
        <v>33.0137</v>
      </c>
      <c r="B63">
        <f t="shared" si="0"/>
        <v>25.502700000000001</v>
      </c>
      <c r="C63">
        <v>1120.241</v>
      </c>
      <c r="D63">
        <v>155.661</v>
      </c>
      <c r="E63">
        <v>172.55600000000001</v>
      </c>
      <c r="I63">
        <f t="shared" si="1"/>
        <v>0.61427926025761381</v>
      </c>
      <c r="J63">
        <f t="shared" si="2"/>
        <v>0.59562775455977934</v>
      </c>
      <c r="K63" s="3">
        <f t="shared" si="3"/>
        <v>0.80989696760337038</v>
      </c>
      <c r="L63" s="2">
        <f t="shared" si="4"/>
        <v>0.75846593434640919</v>
      </c>
      <c r="M63" s="2">
        <f t="shared" si="5"/>
        <v>0.73543645474108654</v>
      </c>
      <c r="R63">
        <f t="shared" si="6"/>
        <v>0.94486404462627049</v>
      </c>
      <c r="S63">
        <f t="shared" si="7"/>
        <v>0.89963543995990258</v>
      </c>
    </row>
    <row r="64" spans="1:19" x14ac:dyDescent="0.3">
      <c r="A64">
        <v>33.5139</v>
      </c>
      <c r="B64">
        <f t="shared" si="0"/>
        <v>26.0029</v>
      </c>
      <c r="C64">
        <v>1107.5170000000001</v>
      </c>
      <c r="D64">
        <v>159.125</v>
      </c>
      <c r="E64">
        <v>172.59299999999999</v>
      </c>
      <c r="I64">
        <f t="shared" si="1"/>
        <v>0.60730211042332116</v>
      </c>
      <c r="J64">
        <f t="shared" si="2"/>
        <v>0.6088825489000127</v>
      </c>
      <c r="K64" s="3">
        <f t="shared" si="3"/>
        <v>0.81007062825731058</v>
      </c>
      <c r="L64" s="2">
        <f t="shared" si="4"/>
        <v>0.74969032234855693</v>
      </c>
      <c r="M64" s="2">
        <f t="shared" si="5"/>
        <v>0.7516413108445742</v>
      </c>
      <c r="R64">
        <f t="shared" si="6"/>
        <v>0.93195075802921479</v>
      </c>
      <c r="S64">
        <f t="shared" si="7"/>
        <v>0.93593229273228085</v>
      </c>
    </row>
    <row r="65" spans="1:19" x14ac:dyDescent="0.3">
      <c r="A65">
        <v>34.0139</v>
      </c>
      <c r="B65">
        <f t="shared" si="0"/>
        <v>26.5029</v>
      </c>
      <c r="C65">
        <v>1119.9659999999999</v>
      </c>
      <c r="D65">
        <v>154.304</v>
      </c>
      <c r="E65">
        <v>175.87</v>
      </c>
      <c r="I65">
        <f t="shared" si="1"/>
        <v>0.6141284652085387</v>
      </c>
      <c r="J65">
        <f t="shared" si="2"/>
        <v>0.59043527305871213</v>
      </c>
      <c r="K65" s="3">
        <f t="shared" si="3"/>
        <v>0.82545132995899728</v>
      </c>
      <c r="L65" s="2">
        <f t="shared" si="4"/>
        <v>0.74399112693784664</v>
      </c>
      <c r="M65" s="2">
        <f t="shared" si="5"/>
        <v>0.71528780877733988</v>
      </c>
      <c r="R65">
        <f t="shared" si="6"/>
        <v>0.92356440916498306</v>
      </c>
      <c r="S65">
        <f t="shared" si="7"/>
        <v>0.85450499070207275</v>
      </c>
    </row>
    <row r="66" spans="1:19" x14ac:dyDescent="0.3">
      <c r="A66">
        <v>34.5139</v>
      </c>
      <c r="B66">
        <f t="shared" si="0"/>
        <v>27.0029</v>
      </c>
      <c r="C66">
        <v>1132.655</v>
      </c>
      <c r="D66">
        <v>163.625</v>
      </c>
      <c r="E66">
        <v>166.63</v>
      </c>
      <c r="I66">
        <f t="shared" si="1"/>
        <v>0.6210864229456764</v>
      </c>
      <c r="J66">
        <f t="shared" si="2"/>
        <v>0.62610153692860704</v>
      </c>
      <c r="K66" s="3">
        <f t="shared" si="3"/>
        <v>0.78208310178579465</v>
      </c>
      <c r="L66" s="2">
        <f t="shared" si="4"/>
        <v>0.79414377005141612</v>
      </c>
      <c r="M66" s="2">
        <f t="shared" si="5"/>
        <v>0.80055627784180217</v>
      </c>
      <c r="R66">
        <f t="shared" si="6"/>
        <v>0.99736387230030366</v>
      </c>
      <c r="S66">
        <f t="shared" si="7"/>
        <v>1.04549570657105</v>
      </c>
    </row>
    <row r="67" spans="1:19" x14ac:dyDescent="0.3">
      <c r="A67">
        <v>35.0139</v>
      </c>
      <c r="B67">
        <f t="shared" ref="B67:B76" si="8">A67-$A$12</f>
        <v>27.5029</v>
      </c>
      <c r="C67">
        <v>1110.8969999999999</v>
      </c>
      <c r="D67">
        <v>159.321</v>
      </c>
      <c r="E67">
        <v>164.667</v>
      </c>
      <c r="I67">
        <f t="shared" ref="I67:I76" si="9">C67/$F$2</f>
        <v>0.60915551866286122</v>
      </c>
      <c r="J67">
        <f t="shared" ref="J67:J76" si="10">D67/$G$2</f>
        <v>0.60963253148970264</v>
      </c>
      <c r="K67" s="3">
        <f t="shared" ref="K67:K76" si="11">E67/$H$2</f>
        <v>0.772869700064583</v>
      </c>
      <c r="L67" s="2">
        <f t="shared" ref="L67:L76" si="12">I67/K67</f>
        <v>0.7881736321296573</v>
      </c>
      <c r="M67" s="2">
        <f t="shared" ref="M67:M76" si="13">J67/K67</f>
        <v>0.78879082908640374</v>
      </c>
      <c r="R67">
        <f t="shared" ref="R67:R76" si="14">(L67-$L$12)/($N$12-$L$12)</f>
        <v>0.98857883234793453</v>
      </c>
      <c r="S67">
        <f t="shared" ref="S67:S76" si="15">(M67-$M$12)/($O$12-$M$12)</f>
        <v>1.019142571526318</v>
      </c>
    </row>
    <row r="68" spans="1:19" x14ac:dyDescent="0.3">
      <c r="A68">
        <v>35.514000000000003</v>
      </c>
      <c r="B68">
        <f t="shared" si="8"/>
        <v>28.003000000000004</v>
      </c>
      <c r="C68">
        <v>1108.172</v>
      </c>
      <c r="D68">
        <v>154</v>
      </c>
      <c r="E68">
        <v>165.88900000000001</v>
      </c>
      <c r="I68">
        <f t="shared" si="9"/>
        <v>0.60766127681293614</v>
      </c>
      <c r="J68">
        <f t="shared" si="10"/>
        <v>0.58927203475633594</v>
      </c>
      <c r="K68" s="3">
        <f t="shared" si="11"/>
        <v>0.77860519517580096</v>
      </c>
      <c r="L68" s="2">
        <f t="shared" si="12"/>
        <v>0.78044852587418523</v>
      </c>
      <c r="M68" s="2">
        <f t="shared" si="13"/>
        <v>0.75683034021277551</v>
      </c>
      <c r="R68">
        <f t="shared" si="14"/>
        <v>0.97721136178359858</v>
      </c>
      <c r="S68">
        <f t="shared" si="15"/>
        <v>0.94755507011495765</v>
      </c>
    </row>
    <row r="69" spans="1:19" x14ac:dyDescent="0.3">
      <c r="A69">
        <v>36.013399999999997</v>
      </c>
      <c r="B69">
        <f t="shared" si="8"/>
        <v>28.502399999999998</v>
      </c>
      <c r="C69">
        <v>1109.7929999999999</v>
      </c>
      <c r="D69">
        <v>158.571</v>
      </c>
      <c r="E69">
        <v>166.25899999999999</v>
      </c>
      <c r="I69">
        <f t="shared" si="9"/>
        <v>0.60855014508402916</v>
      </c>
      <c r="J69">
        <f t="shared" si="10"/>
        <v>0.60676270015160361</v>
      </c>
      <c r="K69" s="3">
        <f t="shared" si="11"/>
        <v>0.78034180171520395</v>
      </c>
      <c r="L69" s="2">
        <f t="shared" si="12"/>
        <v>0.77985075738147824</v>
      </c>
      <c r="M69" s="2">
        <f t="shared" si="13"/>
        <v>0.77756016506860115</v>
      </c>
      <c r="R69">
        <f t="shared" si="14"/>
        <v>0.97633174724880556</v>
      </c>
      <c r="S69">
        <f t="shared" si="15"/>
        <v>0.99398728746905995</v>
      </c>
    </row>
    <row r="70" spans="1:19" x14ac:dyDescent="0.3">
      <c r="A70">
        <v>36.514200000000002</v>
      </c>
      <c r="B70">
        <f t="shared" si="8"/>
        <v>29.003200000000003</v>
      </c>
      <c r="C70">
        <v>1122.1030000000001</v>
      </c>
      <c r="D70">
        <v>158.107</v>
      </c>
      <c r="E70">
        <v>162.667</v>
      </c>
      <c r="I70">
        <f t="shared" si="9"/>
        <v>0.6153002798262599</v>
      </c>
      <c r="J70">
        <f t="shared" si="10"/>
        <v>0.60498723116376629</v>
      </c>
      <c r="K70" s="3">
        <f t="shared" si="11"/>
        <v>0.76348263768943092</v>
      </c>
      <c r="L70" s="2">
        <f t="shared" si="12"/>
        <v>0.80591260292228339</v>
      </c>
      <c r="M70" s="2">
        <f t="shared" si="13"/>
        <v>0.79240470090409931</v>
      </c>
      <c r="R70">
        <f t="shared" si="14"/>
        <v>1.0146816743876741</v>
      </c>
      <c r="S70">
        <f t="shared" si="15"/>
        <v>1.0272371928217774</v>
      </c>
    </row>
    <row r="71" spans="1:19" x14ac:dyDescent="0.3">
      <c r="A71">
        <v>37.013399999999997</v>
      </c>
      <c r="B71">
        <f t="shared" si="8"/>
        <v>29.502399999999998</v>
      </c>
      <c r="C71">
        <v>1127.586</v>
      </c>
      <c r="D71">
        <v>160.75</v>
      </c>
      <c r="E71">
        <v>167.44399999999999</v>
      </c>
      <c r="I71">
        <f t="shared" si="9"/>
        <v>0.61830685893199921</v>
      </c>
      <c r="J71">
        <f t="shared" si="10"/>
        <v>0.61510051679922728</v>
      </c>
      <c r="K71" s="3">
        <f t="shared" si="11"/>
        <v>0.7859036361724816</v>
      </c>
      <c r="L71" s="2">
        <f t="shared" si="12"/>
        <v>0.78674640308738808</v>
      </c>
      <c r="M71" s="2">
        <f t="shared" si="13"/>
        <v>0.78266658721023108</v>
      </c>
      <c r="R71">
        <f t="shared" si="14"/>
        <v>0.98647866911521931</v>
      </c>
      <c r="S71">
        <f t="shared" si="15"/>
        <v>1.0054250349865133</v>
      </c>
    </row>
    <row r="72" spans="1:19" x14ac:dyDescent="0.3">
      <c r="A72">
        <v>37.514200000000002</v>
      </c>
      <c r="B72">
        <f t="shared" si="8"/>
        <v>30.003200000000003</v>
      </c>
      <c r="C72">
        <v>1113.3620000000001</v>
      </c>
      <c r="D72">
        <v>153.661</v>
      </c>
      <c r="E72">
        <v>164.40700000000001</v>
      </c>
      <c r="I72">
        <f t="shared" si="9"/>
        <v>0.61050719064820647</v>
      </c>
      <c r="J72">
        <f t="shared" si="10"/>
        <v>0.58797487099151524</v>
      </c>
      <c r="K72" s="3">
        <f t="shared" si="11"/>
        <v>0.77164938195581323</v>
      </c>
      <c r="L72" s="2">
        <f t="shared" si="12"/>
        <v>0.79117174836688431</v>
      </c>
      <c r="M72" s="2">
        <f t="shared" si="13"/>
        <v>0.76197154399481437</v>
      </c>
      <c r="R72">
        <f t="shared" si="14"/>
        <v>0.99299055135192804</v>
      </c>
      <c r="S72">
        <f t="shared" si="15"/>
        <v>0.95907072416074068</v>
      </c>
    </row>
    <row r="73" spans="1:19" x14ac:dyDescent="0.3">
      <c r="A73">
        <v>38.0137</v>
      </c>
      <c r="B73">
        <f t="shared" si="8"/>
        <v>30.502700000000001</v>
      </c>
      <c r="C73">
        <v>1124.0340000000001</v>
      </c>
      <c r="D73">
        <v>156.036</v>
      </c>
      <c r="E73">
        <v>164.833</v>
      </c>
      <c r="I73">
        <f t="shared" si="9"/>
        <v>0.61635913524358299</v>
      </c>
      <c r="J73">
        <f t="shared" si="10"/>
        <v>0.59706267022882886</v>
      </c>
      <c r="K73" s="3">
        <f t="shared" si="11"/>
        <v>0.7736488262417206</v>
      </c>
      <c r="L73" s="2">
        <f t="shared" si="12"/>
        <v>0.79669110110044472</v>
      </c>
      <c r="M73" s="2">
        <f t="shared" si="13"/>
        <v>0.77174895117372189</v>
      </c>
      <c r="R73">
        <f t="shared" si="14"/>
        <v>1.0011122622589455</v>
      </c>
      <c r="S73">
        <f t="shared" si="15"/>
        <v>0.98097089449252284</v>
      </c>
    </row>
    <row r="74" spans="1:19" x14ac:dyDescent="0.3">
      <c r="A74">
        <v>38.5137</v>
      </c>
      <c r="B74">
        <f t="shared" si="8"/>
        <v>31.002700000000001</v>
      </c>
      <c r="C74">
        <v>1136.172</v>
      </c>
      <c r="D74">
        <v>154.75</v>
      </c>
      <c r="E74">
        <v>160.815</v>
      </c>
      <c r="I74">
        <f t="shared" si="9"/>
        <v>0.62301495453693767</v>
      </c>
      <c r="J74">
        <f t="shared" si="10"/>
        <v>0.59214186609443498</v>
      </c>
      <c r="K74" s="3">
        <f t="shared" si="11"/>
        <v>0.75479021793004009</v>
      </c>
      <c r="L74" s="2">
        <f t="shared" si="12"/>
        <v>0.82541471754299234</v>
      </c>
      <c r="M74" s="2">
        <f t="shared" si="13"/>
        <v>0.78451184452064449</v>
      </c>
      <c r="R74">
        <f t="shared" si="14"/>
        <v>1.0433789772546969</v>
      </c>
      <c r="S74">
        <f t="shared" si="15"/>
        <v>1.0095581807852478</v>
      </c>
    </row>
    <row r="75" spans="1:19" x14ac:dyDescent="0.3">
      <c r="A75">
        <v>39.0137</v>
      </c>
      <c r="B75">
        <f t="shared" si="8"/>
        <v>31.502700000000001</v>
      </c>
      <c r="C75">
        <v>1115.19</v>
      </c>
      <c r="D75">
        <v>155.339</v>
      </c>
      <c r="E75">
        <v>162.46299999999999</v>
      </c>
      <c r="I75">
        <f t="shared" si="9"/>
        <v>0.6115095664653305</v>
      </c>
      <c r="J75">
        <f t="shared" si="10"/>
        <v>0.5943956403052888</v>
      </c>
      <c r="K75" s="3">
        <f t="shared" si="11"/>
        <v>0.76252515732716541</v>
      </c>
      <c r="L75" s="2">
        <f t="shared" si="12"/>
        <v>0.80195330028037237</v>
      </c>
      <c r="M75" s="2">
        <f t="shared" si="13"/>
        <v>0.7795095474473116</v>
      </c>
      <c r="R75">
        <f t="shared" si="14"/>
        <v>1.00885557248709</v>
      </c>
      <c r="S75">
        <f t="shared" si="15"/>
        <v>0.99835366040969309</v>
      </c>
    </row>
    <row r="76" spans="1:19" x14ac:dyDescent="0.3">
      <c r="A76">
        <v>39.5137</v>
      </c>
      <c r="B76">
        <f t="shared" si="8"/>
        <v>32.002699999999997</v>
      </c>
      <c r="C76">
        <v>1123.2070000000001</v>
      </c>
      <c r="D76">
        <v>157.232</v>
      </c>
      <c r="E76">
        <v>163.05600000000001</v>
      </c>
      <c r="I76">
        <f t="shared" si="9"/>
        <v>0.61590565340509196</v>
      </c>
      <c r="J76">
        <f t="shared" si="10"/>
        <v>0.60163909460265075</v>
      </c>
      <c r="K76" s="3">
        <f t="shared" si="11"/>
        <v>0.76530842132139809</v>
      </c>
      <c r="L76" s="2">
        <f t="shared" si="12"/>
        <v>0.80478096966665535</v>
      </c>
      <c r="M76" s="2">
        <f t="shared" si="13"/>
        <v>0.78613938882816381</v>
      </c>
      <c r="R76">
        <f t="shared" si="14"/>
        <v>1.0130164794638032</v>
      </c>
      <c r="S76">
        <f t="shared" si="15"/>
        <v>1.0132036766621189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F79A3-117D-438B-9750-0809600C9FB2}">
  <dimension ref="A1:S76"/>
  <sheetViews>
    <sheetView tabSelected="1" workbookViewId="0">
      <selection activeCell="G33" sqref="G33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15</v>
      </c>
      <c r="D1" t="s">
        <v>3</v>
      </c>
      <c r="E1" t="s">
        <v>16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2" t="s">
        <v>11</v>
      </c>
      <c r="M1" s="2" t="s">
        <v>12</v>
      </c>
      <c r="R1" t="s">
        <v>13</v>
      </c>
      <c r="S1" t="s">
        <v>14</v>
      </c>
    </row>
    <row r="2" spans="1:19" x14ac:dyDescent="0.3">
      <c r="A2">
        <v>0</v>
      </c>
      <c r="B2">
        <f>A2-$A$12</f>
        <v>-11.211600000000001</v>
      </c>
      <c r="C2">
        <v>2155.413</v>
      </c>
      <c r="D2">
        <v>333.46199999999999</v>
      </c>
      <c r="E2">
        <v>347</v>
      </c>
      <c r="F2">
        <f>AVERAGE(C2:C11)</f>
        <v>2090.3254000000002</v>
      </c>
      <c r="G2">
        <f>AVERAGE(D2:D11)</f>
        <v>322.38</v>
      </c>
      <c r="H2">
        <f>AVERAGE(E2:E11)</f>
        <v>344.23820000000001</v>
      </c>
      <c r="I2">
        <f>C2/$F$2</f>
        <v>1.0311375444225095</v>
      </c>
      <c r="J2">
        <f>D2/$G$2</f>
        <v>1.0343755816117626</v>
      </c>
      <c r="K2" s="3">
        <f>E2/$H$2</f>
        <v>1.0080229329574695</v>
      </c>
      <c r="L2" s="2">
        <f>I2/K2</f>
        <v>1.0229306404738465</v>
      </c>
      <c r="M2" s="2">
        <f>J2/K2</f>
        <v>1.0261429058731593</v>
      </c>
      <c r="R2">
        <f>(L2-$L$12)/($N$12-$L$12)</f>
        <v>1.3874647790602288</v>
      </c>
      <c r="S2">
        <f>(M2-$M$12)/($O$12-$M$12)</f>
        <v>2.2529741909587488</v>
      </c>
    </row>
    <row r="3" spans="1:19" x14ac:dyDescent="0.3">
      <c r="A3">
        <v>0.50309999999999999</v>
      </c>
      <c r="B3">
        <f t="shared" ref="B3:B66" si="0">A3-$A$12</f>
        <v>-10.708500000000001</v>
      </c>
      <c r="C3">
        <v>2126.7620000000002</v>
      </c>
      <c r="D3">
        <v>328.2</v>
      </c>
      <c r="E3">
        <v>355.69099999999997</v>
      </c>
      <c r="I3">
        <f t="shared" ref="I3:I66" si="1">C3/$F$2</f>
        <v>1.0174310659957535</v>
      </c>
      <c r="J3">
        <f t="shared" ref="J3:J66" si="2">D3/$G$2</f>
        <v>1.0180532291085054</v>
      </c>
      <c r="K3" s="3">
        <f t="shared" ref="K3:K66" si="3">E3/$H$2</f>
        <v>1.0332699857250007</v>
      </c>
      <c r="L3" s="2">
        <f t="shared" ref="L3:L66" si="4">I3/K3</f>
        <v>0.98467107343862914</v>
      </c>
      <c r="M3" s="2">
        <f t="shared" ref="M3:M66" si="5">J3/K3</f>
        <v>0.98527320368662563</v>
      </c>
      <c r="R3">
        <f t="shared" ref="R3:R66" si="6">(L3-$L$12)/($N$12-$L$12)</f>
        <v>1.2985028431585799</v>
      </c>
      <c r="S3">
        <f t="shared" ref="S3:S66" si="7">(M3-$M$12)/($O$12-$M$12)</f>
        <v>2.121476628990234</v>
      </c>
    </row>
    <row r="4" spans="1:19" x14ac:dyDescent="0.3">
      <c r="A4">
        <v>1.0026999999999999</v>
      </c>
      <c r="B4">
        <f t="shared" si="0"/>
        <v>-10.2089</v>
      </c>
      <c r="C4">
        <v>2126.2220000000002</v>
      </c>
      <c r="D4">
        <v>332.41500000000002</v>
      </c>
      <c r="E4">
        <v>352.327</v>
      </c>
      <c r="I4">
        <f t="shared" si="1"/>
        <v>1.0171727330108509</v>
      </c>
      <c r="J4">
        <f t="shared" si="2"/>
        <v>1.0311278615298716</v>
      </c>
      <c r="K4" s="3">
        <f t="shared" si="3"/>
        <v>1.0234976827092404</v>
      </c>
      <c r="L4" s="2">
        <f t="shared" si="4"/>
        <v>0.99382025987430955</v>
      </c>
      <c r="M4" s="2">
        <f t="shared" si="5"/>
        <v>1.0074550035134753</v>
      </c>
      <c r="R4">
        <f t="shared" si="6"/>
        <v>1.3197767205261421</v>
      </c>
      <c r="S4">
        <f t="shared" si="7"/>
        <v>2.1928461873978664</v>
      </c>
    </row>
    <row r="5" spans="1:19" x14ac:dyDescent="0.3">
      <c r="A5">
        <v>1.5028999999999999</v>
      </c>
      <c r="B5">
        <f t="shared" si="0"/>
        <v>-9.7087000000000003</v>
      </c>
      <c r="C5">
        <v>2102</v>
      </c>
      <c r="D5">
        <v>323.35399999999998</v>
      </c>
      <c r="E5">
        <v>343.56400000000002</v>
      </c>
      <c r="I5">
        <f t="shared" si="1"/>
        <v>1.0055850634547137</v>
      </c>
      <c r="J5">
        <f t="shared" si="2"/>
        <v>1.0030212792356845</v>
      </c>
      <c r="K5" s="3">
        <f t="shared" si="3"/>
        <v>0.99804147244553343</v>
      </c>
      <c r="L5" s="2">
        <f t="shared" si="4"/>
        <v>1.0075583943327484</v>
      </c>
      <c r="M5" s="2">
        <f t="shared" si="5"/>
        <v>1.0049895790181433</v>
      </c>
      <c r="R5">
        <f t="shared" si="6"/>
        <v>1.3517209146665223</v>
      </c>
      <c r="S5">
        <f t="shared" si="7"/>
        <v>2.184913726601506</v>
      </c>
    </row>
    <row r="6" spans="1:19" x14ac:dyDescent="0.3">
      <c r="A6">
        <v>2.0023</v>
      </c>
      <c r="B6">
        <f t="shared" si="0"/>
        <v>-9.2093000000000007</v>
      </c>
      <c r="C6">
        <v>2096.9050000000002</v>
      </c>
      <c r="D6">
        <v>317.87700000000001</v>
      </c>
      <c r="E6">
        <v>351.291</v>
      </c>
      <c r="I6">
        <f t="shared" si="1"/>
        <v>1.0031476439027149</v>
      </c>
      <c r="J6">
        <f t="shared" si="2"/>
        <v>0.98603201191140899</v>
      </c>
      <c r="K6" s="3">
        <f t="shared" si="3"/>
        <v>1.0204881387364912</v>
      </c>
      <c r="L6" s="2">
        <f t="shared" si="4"/>
        <v>0.98300764685491959</v>
      </c>
      <c r="M6" s="2">
        <f t="shared" si="5"/>
        <v>0.96623564202544887</v>
      </c>
      <c r="R6">
        <f t="shared" si="6"/>
        <v>1.2946350092915409</v>
      </c>
      <c r="S6">
        <f t="shared" si="7"/>
        <v>2.0602236026568326</v>
      </c>
    </row>
    <row r="7" spans="1:19" x14ac:dyDescent="0.3">
      <c r="A7">
        <v>2.5030000000000001</v>
      </c>
      <c r="B7">
        <f t="shared" si="0"/>
        <v>-8.7086000000000006</v>
      </c>
      <c r="C7">
        <v>2115.2060000000001</v>
      </c>
      <c r="D7">
        <v>321.077</v>
      </c>
      <c r="E7">
        <v>345.54500000000002</v>
      </c>
      <c r="I7">
        <f t="shared" si="1"/>
        <v>1.011902740118835</v>
      </c>
      <c r="J7">
        <f t="shared" si="2"/>
        <v>0.99595818599168684</v>
      </c>
      <c r="K7" s="3">
        <f t="shared" si="3"/>
        <v>1.0037962085555874</v>
      </c>
      <c r="L7" s="2">
        <f t="shared" si="4"/>
        <v>1.0080758738617996</v>
      </c>
      <c r="M7" s="2">
        <f t="shared" si="5"/>
        <v>0.99219161967628966</v>
      </c>
      <c r="R7">
        <f t="shared" si="6"/>
        <v>1.3529241687611515</v>
      </c>
      <c r="S7">
        <f t="shared" si="7"/>
        <v>2.1437365131257384</v>
      </c>
    </row>
    <row r="8" spans="1:19" x14ac:dyDescent="0.3">
      <c r="A8">
        <v>3.0024000000000002</v>
      </c>
      <c r="B8">
        <f t="shared" si="0"/>
        <v>-8.2092000000000009</v>
      </c>
      <c r="C8">
        <v>2068.2539999999999</v>
      </c>
      <c r="D8">
        <v>323.12299999999999</v>
      </c>
      <c r="E8">
        <v>340.78199999999998</v>
      </c>
      <c r="I8">
        <f t="shared" si="1"/>
        <v>0.98944116547595873</v>
      </c>
      <c r="J8">
        <f t="shared" si="2"/>
        <v>1.0023047335442645</v>
      </c>
      <c r="K8" s="3">
        <f t="shared" si="3"/>
        <v>0.98995985919052554</v>
      </c>
      <c r="L8" s="2">
        <f t="shared" si="4"/>
        <v>0.99947604571058979</v>
      </c>
      <c r="M8" s="2">
        <f t="shared" si="5"/>
        <v>1.0124700756693643</v>
      </c>
      <c r="R8">
        <f t="shared" si="6"/>
        <v>1.3329276706290922</v>
      </c>
      <c r="S8">
        <f t="shared" si="7"/>
        <v>2.2089820955722321</v>
      </c>
    </row>
    <row r="9" spans="1:19" x14ac:dyDescent="0.3">
      <c r="A9">
        <v>3.5032000000000001</v>
      </c>
      <c r="B9">
        <f t="shared" si="0"/>
        <v>-7.708400000000001</v>
      </c>
      <c r="C9">
        <v>2035.2380000000001</v>
      </c>
      <c r="D9">
        <v>320.892</v>
      </c>
      <c r="E9">
        <v>333.709</v>
      </c>
      <c r="I9">
        <f t="shared" si="1"/>
        <v>0.97364649542123916</v>
      </c>
      <c r="J9">
        <f t="shared" si="2"/>
        <v>0.99538432905267071</v>
      </c>
      <c r="K9" s="3">
        <f t="shared" si="3"/>
        <v>0.96941304015649632</v>
      </c>
      <c r="L9" s="2">
        <f t="shared" si="4"/>
        <v>1.0043670294181926</v>
      </c>
      <c r="M9" s="2">
        <f t="shared" si="5"/>
        <v>1.0267907360643527</v>
      </c>
      <c r="R9">
        <f t="shared" si="6"/>
        <v>1.3443002870178571</v>
      </c>
      <c r="S9">
        <f t="shared" si="7"/>
        <v>2.2550585734267865</v>
      </c>
    </row>
    <row r="10" spans="1:19" x14ac:dyDescent="0.3">
      <c r="A10">
        <v>4.0027999999999997</v>
      </c>
      <c r="B10">
        <f t="shared" si="0"/>
        <v>-7.208800000000001</v>
      </c>
      <c r="C10">
        <v>2035.6189999999999</v>
      </c>
      <c r="D10">
        <v>310.09199999999998</v>
      </c>
      <c r="E10">
        <v>333.255</v>
      </c>
      <c r="I10">
        <f t="shared" si="1"/>
        <v>0.97382876369392046</v>
      </c>
      <c r="J10">
        <f t="shared" si="2"/>
        <v>0.96188349153173269</v>
      </c>
      <c r="K10" s="3">
        <f t="shared" si="3"/>
        <v>0.96809418594450003</v>
      </c>
      <c r="L10" s="2">
        <f t="shared" si="4"/>
        <v>1.0059235742066002</v>
      </c>
      <c r="M10" s="2">
        <f t="shared" si="5"/>
        <v>0.99358461758893013</v>
      </c>
      <c r="R10">
        <f t="shared" si="6"/>
        <v>1.3479195971257552</v>
      </c>
      <c r="S10">
        <f t="shared" si="7"/>
        <v>2.1482184598867744</v>
      </c>
    </row>
    <row r="11" spans="1:19" x14ac:dyDescent="0.3">
      <c r="A11">
        <v>4.5030000000000001</v>
      </c>
      <c r="B11">
        <f t="shared" si="0"/>
        <v>-6.7086000000000006</v>
      </c>
      <c r="C11">
        <v>2041.635</v>
      </c>
      <c r="D11">
        <v>313.30799999999999</v>
      </c>
      <c r="E11">
        <v>339.21800000000002</v>
      </c>
      <c r="I11">
        <f t="shared" si="1"/>
        <v>0.97670678450350357</v>
      </c>
      <c r="J11">
        <f t="shared" si="2"/>
        <v>0.97185929648241209</v>
      </c>
      <c r="K11" s="3">
        <f t="shared" si="3"/>
        <v>0.98541649357915539</v>
      </c>
      <c r="L11" s="2">
        <f t="shared" si="4"/>
        <v>0.99116139304304007</v>
      </c>
      <c r="M11" s="2">
        <f t="shared" si="5"/>
        <v>0.98624216543453436</v>
      </c>
      <c r="R11">
        <f t="shared" si="6"/>
        <v>1.3135942684247714</v>
      </c>
      <c r="S11">
        <f t="shared" si="7"/>
        <v>2.1245942467039431</v>
      </c>
    </row>
    <row r="12" spans="1:19" x14ac:dyDescent="0.3">
      <c r="A12" s="4">
        <v>11.211600000000001</v>
      </c>
      <c r="B12" s="4">
        <f t="shared" si="0"/>
        <v>0</v>
      </c>
      <c r="C12" s="4">
        <v>837.54</v>
      </c>
      <c r="D12" s="4">
        <v>98.769000000000005</v>
      </c>
      <c r="E12" s="4">
        <v>323.60000000000002</v>
      </c>
      <c r="F12" s="4"/>
      <c r="G12" s="4"/>
      <c r="H12" s="4"/>
      <c r="I12" s="4">
        <f t="shared" si="1"/>
        <v>0.40067445958413933</v>
      </c>
      <c r="J12" s="4">
        <f t="shared" si="2"/>
        <v>0.30637446491717851</v>
      </c>
      <c r="K12" s="4">
        <f t="shared" si="3"/>
        <v>0.94004674670039534</v>
      </c>
      <c r="L12" s="4">
        <f t="shared" si="4"/>
        <v>0.42622822853280856</v>
      </c>
      <c r="M12" s="4">
        <f t="shared" si="5"/>
        <v>0.32591407394639266</v>
      </c>
      <c r="N12" s="4">
        <f>AVERAGE(L66:L76)</f>
        <v>0.85629493793439948</v>
      </c>
      <c r="O12" s="4">
        <f>AVERAGE(M66:M76)</f>
        <v>0.63671605061208436</v>
      </c>
      <c r="P12" s="5">
        <f>(N12-L12)/(1-L12)</f>
        <v>0.74954316470095339</v>
      </c>
      <c r="Q12" s="5">
        <f>(O12-M12)/(1-M12)</f>
        <v>0.46107174864970379</v>
      </c>
      <c r="R12">
        <f t="shared" si="6"/>
        <v>0</v>
      </c>
      <c r="S12">
        <f t="shared" si="7"/>
        <v>0</v>
      </c>
    </row>
    <row r="13" spans="1:19" x14ac:dyDescent="0.3">
      <c r="A13">
        <v>11.7141</v>
      </c>
      <c r="B13">
        <f t="shared" si="0"/>
        <v>0.5024999999999995</v>
      </c>
      <c r="C13">
        <v>903.61900000000003</v>
      </c>
      <c r="D13">
        <v>108.354</v>
      </c>
      <c r="E13">
        <v>326.65499999999997</v>
      </c>
      <c r="I13">
        <f t="shared" si="1"/>
        <v>0.43228628423115367</v>
      </c>
      <c r="J13">
        <f t="shared" si="2"/>
        <v>0.33610645821701096</v>
      </c>
      <c r="K13" s="3">
        <f t="shared" si="3"/>
        <v>0.94892141546173536</v>
      </c>
      <c r="L13" s="2">
        <f t="shared" si="4"/>
        <v>0.45555540973939096</v>
      </c>
      <c r="M13" s="2">
        <f t="shared" si="5"/>
        <v>0.35419841173408972</v>
      </c>
      <c r="R13">
        <f t="shared" si="6"/>
        <v>6.8192167785758651E-2</v>
      </c>
      <c r="S13">
        <f t="shared" si="7"/>
        <v>9.1004369055607978E-2</v>
      </c>
    </row>
    <row r="14" spans="1:19" x14ac:dyDescent="0.3">
      <c r="A14">
        <v>12.214700000000001</v>
      </c>
      <c r="B14">
        <f t="shared" si="0"/>
        <v>1.0030999999999999</v>
      </c>
      <c r="C14">
        <v>952.07899999999995</v>
      </c>
      <c r="D14">
        <v>118.538</v>
      </c>
      <c r="E14">
        <v>338.38200000000001</v>
      </c>
      <c r="I14">
        <f t="shared" si="1"/>
        <v>0.45546927765409151</v>
      </c>
      <c r="J14">
        <f t="shared" si="2"/>
        <v>0.36769650722749547</v>
      </c>
      <c r="K14" s="3">
        <f t="shared" si="3"/>
        <v>0.98298794265133849</v>
      </c>
      <c r="L14" s="2">
        <f t="shared" si="4"/>
        <v>0.46335184582792432</v>
      </c>
      <c r="M14" s="2">
        <f t="shared" si="5"/>
        <v>0.3740600380465865</v>
      </c>
      <c r="R14">
        <f t="shared" si="6"/>
        <v>8.632060209164015E-2</v>
      </c>
      <c r="S14">
        <f t="shared" si="7"/>
        <v>0.1549088091932605</v>
      </c>
    </row>
    <row r="15" spans="1:19" x14ac:dyDescent="0.3">
      <c r="A15">
        <v>12.714</v>
      </c>
      <c r="B15">
        <f t="shared" si="0"/>
        <v>1.5023999999999997</v>
      </c>
      <c r="C15">
        <v>1006.841</v>
      </c>
      <c r="D15">
        <v>121.76900000000001</v>
      </c>
      <c r="E15">
        <v>327.8</v>
      </c>
      <c r="I15">
        <f t="shared" si="1"/>
        <v>0.48166711268972762</v>
      </c>
      <c r="J15">
        <f t="shared" si="2"/>
        <v>0.37771884111917614</v>
      </c>
      <c r="K15" s="3">
        <f t="shared" si="3"/>
        <v>0.95224760064397274</v>
      </c>
      <c r="L15" s="2">
        <f t="shared" si="4"/>
        <v>0.50582129307964918</v>
      </c>
      <c r="M15" s="2">
        <f t="shared" si="5"/>
        <v>0.39666032328539103</v>
      </c>
      <c r="R15">
        <f t="shared" si="6"/>
        <v>0.18507143846960172</v>
      </c>
      <c r="S15">
        <f t="shared" si="7"/>
        <v>0.22762483719688578</v>
      </c>
    </row>
    <row r="16" spans="1:19" x14ac:dyDescent="0.3">
      <c r="A16">
        <v>13.2148</v>
      </c>
      <c r="B16">
        <f t="shared" si="0"/>
        <v>2.0031999999999996</v>
      </c>
      <c r="C16">
        <v>1057.7619999999999</v>
      </c>
      <c r="D16">
        <v>121.30800000000001</v>
      </c>
      <c r="E16">
        <v>325.21800000000002</v>
      </c>
      <c r="I16">
        <f t="shared" si="1"/>
        <v>0.50602743477163881</v>
      </c>
      <c r="J16">
        <f t="shared" si="2"/>
        <v>0.37628885166573611</v>
      </c>
      <c r="K16" s="3">
        <f t="shared" si="3"/>
        <v>0.94474698043389727</v>
      </c>
      <c r="L16" s="2">
        <f t="shared" si="4"/>
        <v>0.5356221774207035</v>
      </c>
      <c r="M16" s="2">
        <f t="shared" si="5"/>
        <v>0.39829590298655054</v>
      </c>
      <c r="R16">
        <f t="shared" si="6"/>
        <v>0.25436507057267771</v>
      </c>
      <c r="S16">
        <f t="shared" si="7"/>
        <v>0.23288728667904851</v>
      </c>
    </row>
    <row r="17" spans="1:19" x14ac:dyDescent="0.3">
      <c r="A17">
        <v>13.714</v>
      </c>
      <c r="B17">
        <f t="shared" si="0"/>
        <v>2.5023999999999997</v>
      </c>
      <c r="C17">
        <v>1071.222</v>
      </c>
      <c r="D17">
        <v>126.985</v>
      </c>
      <c r="E17">
        <v>320.41800000000001</v>
      </c>
      <c r="I17">
        <f t="shared" si="1"/>
        <v>0.51246662361754769</v>
      </c>
      <c r="J17">
        <f t="shared" si="2"/>
        <v>0.39389850487002914</v>
      </c>
      <c r="K17" s="3">
        <f t="shared" si="3"/>
        <v>0.93080314735552305</v>
      </c>
      <c r="L17" s="2">
        <f t="shared" si="4"/>
        <v>0.5505639136196534</v>
      </c>
      <c r="M17" s="2">
        <f t="shared" si="5"/>
        <v>0.42318132033515615</v>
      </c>
      <c r="R17">
        <f t="shared" si="6"/>
        <v>0.28910790435244249</v>
      </c>
      <c r="S17">
        <f t="shared" si="7"/>
        <v>0.31295568783781313</v>
      </c>
    </row>
    <row r="18" spans="1:19" x14ac:dyDescent="0.3">
      <c r="A18">
        <v>14.2142</v>
      </c>
      <c r="B18">
        <f t="shared" si="0"/>
        <v>3.0025999999999993</v>
      </c>
      <c r="C18">
        <v>1103.587</v>
      </c>
      <c r="D18">
        <v>129.66200000000001</v>
      </c>
      <c r="E18">
        <v>325.58199999999999</v>
      </c>
      <c r="I18">
        <f t="shared" si="1"/>
        <v>0.52794985890713475</v>
      </c>
      <c r="J18">
        <f t="shared" si="2"/>
        <v>0.40220236987406172</v>
      </c>
      <c r="K18" s="3">
        <f t="shared" si="3"/>
        <v>0.94580438777567388</v>
      </c>
      <c r="L18" s="2">
        <f t="shared" si="4"/>
        <v>0.55820195563773811</v>
      </c>
      <c r="M18" s="2">
        <f t="shared" si="5"/>
        <v>0.42524899976405711</v>
      </c>
      <c r="R18">
        <f t="shared" si="6"/>
        <v>0.30686803749251407</v>
      </c>
      <c r="S18">
        <f t="shared" si="7"/>
        <v>0.31960841074222701</v>
      </c>
    </row>
    <row r="19" spans="1:19" x14ac:dyDescent="0.3">
      <c r="A19">
        <v>14.7142</v>
      </c>
      <c r="B19">
        <f t="shared" si="0"/>
        <v>3.5025999999999993</v>
      </c>
      <c r="C19">
        <v>1111.952</v>
      </c>
      <c r="D19">
        <v>136.892</v>
      </c>
      <c r="E19">
        <v>326.09100000000001</v>
      </c>
      <c r="I19">
        <f t="shared" si="1"/>
        <v>0.53195162820104458</v>
      </c>
      <c r="J19">
        <f t="shared" si="2"/>
        <v>0.42462931943668963</v>
      </c>
      <c r="K19" s="3">
        <f t="shared" si="3"/>
        <v>0.94728301507502655</v>
      </c>
      <c r="L19" s="2">
        <f t="shared" si="4"/>
        <v>0.56155512105208916</v>
      </c>
      <c r="M19" s="2">
        <f t="shared" si="5"/>
        <v>0.44826024818259641</v>
      </c>
      <c r="R19">
        <f t="shared" si="6"/>
        <v>0.31466488700689926</v>
      </c>
      <c r="S19">
        <f t="shared" si="7"/>
        <v>0.39364670568940141</v>
      </c>
    </row>
    <row r="20" spans="1:19" x14ac:dyDescent="0.3">
      <c r="A20">
        <v>15.2143</v>
      </c>
      <c r="B20">
        <f t="shared" si="0"/>
        <v>4.002699999999999</v>
      </c>
      <c r="C20">
        <v>1131.0319999999999</v>
      </c>
      <c r="D20">
        <v>136.49199999999999</v>
      </c>
      <c r="E20">
        <v>318.036</v>
      </c>
      <c r="I20">
        <f t="shared" si="1"/>
        <v>0.54107939366760782</v>
      </c>
      <c r="J20">
        <f t="shared" si="2"/>
        <v>0.42338854767665485</v>
      </c>
      <c r="K20" s="3">
        <f t="shared" si="3"/>
        <v>0.92388352019037978</v>
      </c>
      <c r="L20" s="2">
        <f t="shared" si="4"/>
        <v>0.58565758761029796</v>
      </c>
      <c r="M20" s="2">
        <f t="shared" si="5"/>
        <v>0.45827048369626661</v>
      </c>
      <c r="R20">
        <f t="shared" si="6"/>
        <v>0.37070844032388534</v>
      </c>
      <c r="S20">
        <f t="shared" si="7"/>
        <v>0.42585446582355757</v>
      </c>
    </row>
    <row r="21" spans="1:19" x14ac:dyDescent="0.3">
      <c r="A21">
        <v>15.714499999999999</v>
      </c>
      <c r="B21">
        <f t="shared" si="0"/>
        <v>4.5028999999999986</v>
      </c>
      <c r="C21">
        <v>1174.5239999999999</v>
      </c>
      <c r="D21">
        <v>136.185</v>
      </c>
      <c r="E21">
        <v>320.94499999999999</v>
      </c>
      <c r="I21">
        <f t="shared" si="1"/>
        <v>0.56188572362944056</v>
      </c>
      <c r="J21">
        <f t="shared" si="2"/>
        <v>0.42243625535082824</v>
      </c>
      <c r="K21" s="3">
        <f t="shared" si="3"/>
        <v>0.9323340640289195</v>
      </c>
      <c r="L21" s="2">
        <f t="shared" si="4"/>
        <v>0.60266565956128337</v>
      </c>
      <c r="M21" s="2">
        <f t="shared" si="5"/>
        <v>0.4530953782009674</v>
      </c>
      <c r="R21">
        <f t="shared" si="6"/>
        <v>0.4102559606949715</v>
      </c>
      <c r="S21">
        <f t="shared" si="7"/>
        <v>0.40920365313948731</v>
      </c>
    </row>
    <row r="22" spans="1:19" x14ac:dyDescent="0.3">
      <c r="A22">
        <v>16.214700000000001</v>
      </c>
      <c r="B22">
        <f t="shared" si="0"/>
        <v>5.0030999999999999</v>
      </c>
      <c r="C22">
        <v>1195.5239999999999</v>
      </c>
      <c r="D22">
        <v>134.154</v>
      </c>
      <c r="E22">
        <v>323.327</v>
      </c>
      <c r="I22">
        <f t="shared" si="1"/>
        <v>0.571932006375658</v>
      </c>
      <c r="J22">
        <f t="shared" si="2"/>
        <v>0.41613623673925182</v>
      </c>
      <c r="K22" s="3">
        <f t="shared" si="3"/>
        <v>0.93925369119406266</v>
      </c>
      <c r="L22" s="2">
        <f t="shared" si="4"/>
        <v>0.60892175536575988</v>
      </c>
      <c r="M22" s="2">
        <f t="shared" si="5"/>
        <v>0.44304988166745718</v>
      </c>
      <c r="R22">
        <f t="shared" si="6"/>
        <v>0.42480276394133631</v>
      </c>
      <c r="S22">
        <f t="shared" si="7"/>
        <v>0.37688244128208825</v>
      </c>
    </row>
    <row r="23" spans="1:19" x14ac:dyDescent="0.3">
      <c r="A23">
        <v>16.714099999999998</v>
      </c>
      <c r="B23">
        <f t="shared" si="0"/>
        <v>5.5024999999999977</v>
      </c>
      <c r="C23">
        <v>1202.4290000000001</v>
      </c>
      <c r="D23">
        <v>139.96899999999999</v>
      </c>
      <c r="E23">
        <v>323.61799999999999</v>
      </c>
      <c r="I23">
        <f t="shared" si="1"/>
        <v>0.57523531982149767</v>
      </c>
      <c r="J23">
        <f t="shared" si="2"/>
        <v>0.43417395620075688</v>
      </c>
      <c r="K23" s="3">
        <f t="shared" si="3"/>
        <v>0.94009903607443912</v>
      </c>
      <c r="L23" s="2">
        <f t="shared" si="4"/>
        <v>0.61188800088924811</v>
      </c>
      <c r="M23" s="2">
        <f t="shared" si="5"/>
        <v>0.46183852928275743</v>
      </c>
      <c r="R23">
        <f t="shared" si="6"/>
        <v>0.43169993932981399</v>
      </c>
      <c r="S23">
        <f t="shared" si="7"/>
        <v>0.43733459096551808</v>
      </c>
    </row>
    <row r="24" spans="1:19" x14ac:dyDescent="0.3">
      <c r="A24">
        <v>17.214700000000001</v>
      </c>
      <c r="B24">
        <f t="shared" si="0"/>
        <v>6.0030999999999999</v>
      </c>
      <c r="C24">
        <v>1217.587</v>
      </c>
      <c r="D24">
        <v>144.16900000000001</v>
      </c>
      <c r="E24">
        <v>305.94499999999999</v>
      </c>
      <c r="I24">
        <f t="shared" si="1"/>
        <v>0.58248682238660066</v>
      </c>
      <c r="J24">
        <f t="shared" si="2"/>
        <v>0.4472020596811217</v>
      </c>
      <c r="K24" s="3">
        <f t="shared" si="3"/>
        <v>0.88875958565900004</v>
      </c>
      <c r="L24" s="2">
        <f t="shared" si="4"/>
        <v>0.65539301267248407</v>
      </c>
      <c r="M24" s="2">
        <f t="shared" si="5"/>
        <v>0.5031755121375473</v>
      </c>
      <c r="R24">
        <f t="shared" si="6"/>
        <v>0.53285869175631606</v>
      </c>
      <c r="S24">
        <f t="shared" si="7"/>
        <v>0.57033562042567887</v>
      </c>
    </row>
    <row r="25" spans="1:19" x14ac:dyDescent="0.3">
      <c r="A25">
        <v>17.714099999999998</v>
      </c>
      <c r="B25">
        <f t="shared" si="0"/>
        <v>6.5024999999999977</v>
      </c>
      <c r="C25">
        <v>1238.46</v>
      </c>
      <c r="D25">
        <v>140.262</v>
      </c>
      <c r="E25">
        <v>314.89100000000002</v>
      </c>
      <c r="I25">
        <f t="shared" si="1"/>
        <v>0.59247234904192425</v>
      </c>
      <c r="J25">
        <f t="shared" si="2"/>
        <v>0.43508282151498234</v>
      </c>
      <c r="K25" s="3">
        <f t="shared" si="3"/>
        <v>0.91474740455882009</v>
      </c>
      <c r="L25" s="2">
        <f t="shared" si="4"/>
        <v>0.64768956554478763</v>
      </c>
      <c r="M25" s="2">
        <f t="shared" si="5"/>
        <v>0.4756316545383602</v>
      </c>
      <c r="R25">
        <f t="shared" si="6"/>
        <v>0.51494647730378318</v>
      </c>
      <c r="S25">
        <f t="shared" si="7"/>
        <v>0.48171373360668307</v>
      </c>
    </row>
    <row r="26" spans="1:19" x14ac:dyDescent="0.3">
      <c r="A26">
        <v>18.214300000000001</v>
      </c>
      <c r="B26">
        <f t="shared" si="0"/>
        <v>7.0027000000000008</v>
      </c>
      <c r="C26">
        <v>1259.635</v>
      </c>
      <c r="D26">
        <v>148.846</v>
      </c>
      <c r="E26">
        <v>320.255</v>
      </c>
      <c r="I26">
        <f t="shared" si="1"/>
        <v>0.60260235081102675</v>
      </c>
      <c r="J26">
        <f t="shared" si="2"/>
        <v>0.46170978348532787</v>
      </c>
      <c r="K26" s="3">
        <f t="shared" si="3"/>
        <v>0.93032963802390323</v>
      </c>
      <c r="L26" s="2">
        <f t="shared" si="4"/>
        <v>0.64772992945920094</v>
      </c>
      <c r="M26" s="2">
        <f t="shared" si="5"/>
        <v>0.49628622438175513</v>
      </c>
      <c r="R26">
        <f t="shared" si="6"/>
        <v>0.51504033231169455</v>
      </c>
      <c r="S26">
        <f t="shared" si="7"/>
        <v>0.54816945588032751</v>
      </c>
    </row>
    <row r="27" spans="1:19" x14ac:dyDescent="0.3">
      <c r="A27">
        <v>18.713899999999999</v>
      </c>
      <c r="B27">
        <f t="shared" si="0"/>
        <v>7.5022999999999982</v>
      </c>
      <c r="C27">
        <v>1264.7139999999999</v>
      </c>
      <c r="D27">
        <v>154.01499999999999</v>
      </c>
      <c r="E27">
        <v>311.327</v>
      </c>
      <c r="I27">
        <f t="shared" si="1"/>
        <v>0.60503211605236196</v>
      </c>
      <c r="J27">
        <f t="shared" si="2"/>
        <v>0.47774365655437678</v>
      </c>
      <c r="K27" s="3">
        <f t="shared" si="3"/>
        <v>0.90439410849812718</v>
      </c>
      <c r="L27" s="2">
        <f t="shared" si="4"/>
        <v>0.66899166012602884</v>
      </c>
      <c r="M27" s="2">
        <f t="shared" si="5"/>
        <v>0.52824720115408197</v>
      </c>
      <c r="R27">
        <f t="shared" si="6"/>
        <v>0.56447854783042695</v>
      </c>
      <c r="S27">
        <f t="shared" si="7"/>
        <v>0.65100334746366539</v>
      </c>
    </row>
    <row r="28" spans="1:19" x14ac:dyDescent="0.3">
      <c r="A28">
        <v>19.214700000000001</v>
      </c>
      <c r="B28">
        <f t="shared" si="0"/>
        <v>8.0030999999999999</v>
      </c>
      <c r="C28">
        <v>1304.5709999999999</v>
      </c>
      <c r="D28">
        <v>150.27699999999999</v>
      </c>
      <c r="E28">
        <v>317.94499999999999</v>
      </c>
      <c r="I28">
        <f t="shared" si="1"/>
        <v>0.62409948231026602</v>
      </c>
      <c r="J28">
        <f t="shared" si="2"/>
        <v>0.46614864445685211</v>
      </c>
      <c r="K28" s="3">
        <f t="shared" si="3"/>
        <v>0.92361916835493563</v>
      </c>
      <c r="L28" s="2">
        <f t="shared" si="4"/>
        <v>0.67571083807393673</v>
      </c>
      <c r="M28" s="2">
        <f t="shared" si="5"/>
        <v>0.50469788894389511</v>
      </c>
      <c r="R28">
        <f t="shared" si="6"/>
        <v>0.58010211924625954</v>
      </c>
      <c r="S28">
        <f t="shared" si="7"/>
        <v>0.57523384154602053</v>
      </c>
    </row>
    <row r="29" spans="1:19" x14ac:dyDescent="0.3">
      <c r="A29">
        <v>19.714099999999998</v>
      </c>
      <c r="B29">
        <f t="shared" si="0"/>
        <v>8.5024999999999977</v>
      </c>
      <c r="C29">
        <v>1298.365</v>
      </c>
      <c r="D29">
        <v>151.708</v>
      </c>
      <c r="E29">
        <v>311.63600000000002</v>
      </c>
      <c r="I29">
        <f t="shared" si="1"/>
        <v>0.62113056656155063</v>
      </c>
      <c r="J29">
        <f t="shared" si="2"/>
        <v>0.47058750542837646</v>
      </c>
      <c r="K29" s="3">
        <f t="shared" si="3"/>
        <v>0.90529174275254753</v>
      </c>
      <c r="L29" s="2">
        <f t="shared" si="4"/>
        <v>0.68611093775471499</v>
      </c>
      <c r="M29" s="2">
        <f t="shared" si="5"/>
        <v>0.51981862111936539</v>
      </c>
      <c r="R29">
        <f t="shared" si="6"/>
        <v>0.60428464594136067</v>
      </c>
      <c r="S29">
        <f t="shared" si="7"/>
        <v>0.6238845365566722</v>
      </c>
    </row>
    <row r="30" spans="1:19" x14ac:dyDescent="0.3">
      <c r="A30">
        <v>20.2148</v>
      </c>
      <c r="B30">
        <f t="shared" si="0"/>
        <v>9.0031999999999996</v>
      </c>
      <c r="C30">
        <v>1305.444</v>
      </c>
      <c r="D30">
        <v>148.41499999999999</v>
      </c>
      <c r="E30">
        <v>313.89100000000002</v>
      </c>
      <c r="I30">
        <f t="shared" si="1"/>
        <v>0.62451712063585885</v>
      </c>
      <c r="J30">
        <f t="shared" si="2"/>
        <v>0.46037285191389044</v>
      </c>
      <c r="K30" s="3">
        <f t="shared" si="3"/>
        <v>0.91184243933415876</v>
      </c>
      <c r="L30" s="2">
        <f t="shared" si="4"/>
        <v>0.68489586983019868</v>
      </c>
      <c r="M30" s="2">
        <f t="shared" si="5"/>
        <v>0.50488201914583153</v>
      </c>
      <c r="R30">
        <f t="shared" si="6"/>
        <v>0.60145934489397901</v>
      </c>
      <c r="S30">
        <f t="shared" si="7"/>
        <v>0.57582627729534153</v>
      </c>
    </row>
    <row r="31" spans="1:19" x14ac:dyDescent="0.3">
      <c r="A31">
        <v>20.714200000000002</v>
      </c>
      <c r="B31">
        <f t="shared" si="0"/>
        <v>9.502600000000001</v>
      </c>
      <c r="C31">
        <v>1330.683</v>
      </c>
      <c r="D31">
        <v>149.43100000000001</v>
      </c>
      <c r="E31">
        <v>311.291</v>
      </c>
      <c r="I31">
        <f t="shared" si="1"/>
        <v>0.63659131731356267</v>
      </c>
      <c r="J31">
        <f t="shared" si="2"/>
        <v>0.46352441218437873</v>
      </c>
      <c r="K31" s="3">
        <f t="shared" si="3"/>
        <v>0.90428952975003929</v>
      </c>
      <c r="L31" s="2">
        <f t="shared" si="4"/>
        <v>0.7039684706838607</v>
      </c>
      <c r="M31" s="2">
        <f t="shared" si="5"/>
        <v>0.51258407505006121</v>
      </c>
      <c r="R31">
        <f t="shared" si="6"/>
        <v>0.64580735053291882</v>
      </c>
      <c r="S31">
        <f t="shared" si="7"/>
        <v>0.60060750934173313</v>
      </c>
    </row>
    <row r="32" spans="1:19" x14ac:dyDescent="0.3">
      <c r="A32">
        <v>21.214400000000001</v>
      </c>
      <c r="B32">
        <f t="shared" si="0"/>
        <v>10.002800000000001</v>
      </c>
      <c r="C32">
        <v>1329.8889999999999</v>
      </c>
      <c r="D32">
        <v>151.61500000000001</v>
      </c>
      <c r="E32">
        <v>309.27300000000002</v>
      </c>
      <c r="I32">
        <f t="shared" si="1"/>
        <v>0.63621147214687235</v>
      </c>
      <c r="J32">
        <f t="shared" si="2"/>
        <v>0.4702990259941684</v>
      </c>
      <c r="K32" s="3">
        <f t="shared" si="3"/>
        <v>0.89842730992667297</v>
      </c>
      <c r="L32" s="2">
        <f t="shared" si="4"/>
        <v>0.7081390615772778</v>
      </c>
      <c r="M32" s="2">
        <f t="shared" si="5"/>
        <v>0.52346920090012938</v>
      </c>
      <c r="R32">
        <f t="shared" si="6"/>
        <v>0.65550489466327055</v>
      </c>
      <c r="S32">
        <f t="shared" si="7"/>
        <v>0.63563021404536679</v>
      </c>
    </row>
    <row r="33" spans="1:19" x14ac:dyDescent="0.3">
      <c r="A33">
        <v>21.713999999999999</v>
      </c>
      <c r="B33">
        <f t="shared" si="0"/>
        <v>10.502399999999998</v>
      </c>
      <c r="C33">
        <v>1329.905</v>
      </c>
      <c r="D33">
        <v>154.846</v>
      </c>
      <c r="E33">
        <v>315.87299999999999</v>
      </c>
      <c r="I33">
        <f t="shared" si="1"/>
        <v>0.6362191264575362</v>
      </c>
      <c r="J33">
        <f t="shared" si="2"/>
        <v>0.48032135988584901</v>
      </c>
      <c r="K33" s="3">
        <f t="shared" si="3"/>
        <v>0.91760008040943741</v>
      </c>
      <c r="L33" s="2">
        <f t="shared" si="4"/>
        <v>0.6933512104463333</v>
      </c>
      <c r="M33" s="2">
        <f t="shared" si="5"/>
        <v>0.52345392087534193</v>
      </c>
      <c r="R33">
        <f t="shared" si="6"/>
        <v>0.62111987762365639</v>
      </c>
      <c r="S33">
        <f t="shared" si="7"/>
        <v>0.63558105082912419</v>
      </c>
    </row>
    <row r="34" spans="1:19" x14ac:dyDescent="0.3">
      <c r="A34">
        <v>22.2148</v>
      </c>
      <c r="B34">
        <f t="shared" si="0"/>
        <v>11.0032</v>
      </c>
      <c r="C34">
        <v>1339.7139999999999</v>
      </c>
      <c r="D34">
        <v>154.4</v>
      </c>
      <c r="E34">
        <v>307.65499999999997</v>
      </c>
      <c r="I34">
        <f t="shared" si="1"/>
        <v>0.64091169728885267</v>
      </c>
      <c r="J34">
        <f t="shared" si="2"/>
        <v>0.4789378993734103</v>
      </c>
      <c r="K34" s="3">
        <f t="shared" si="3"/>
        <v>0.89372707619317082</v>
      </c>
      <c r="L34" s="2">
        <f t="shared" si="4"/>
        <v>0.71712239044923543</v>
      </c>
      <c r="M34" s="2">
        <f t="shared" si="5"/>
        <v>0.53588831773279777</v>
      </c>
      <c r="R34">
        <f t="shared" si="6"/>
        <v>0.67639311659622914</v>
      </c>
      <c r="S34">
        <f t="shared" si="7"/>
        <v>0.67558850828114247</v>
      </c>
    </row>
    <row r="35" spans="1:19" x14ac:dyDescent="0.3">
      <c r="A35">
        <v>22.714200000000002</v>
      </c>
      <c r="B35">
        <f t="shared" si="0"/>
        <v>11.502600000000001</v>
      </c>
      <c r="C35">
        <v>1335.365</v>
      </c>
      <c r="D35">
        <v>151.61500000000001</v>
      </c>
      <c r="E35">
        <v>303.61799999999999</v>
      </c>
      <c r="I35">
        <f t="shared" si="1"/>
        <v>0.63883115997155271</v>
      </c>
      <c r="J35">
        <f t="shared" si="2"/>
        <v>0.4702990259941684</v>
      </c>
      <c r="K35" s="3">
        <f t="shared" si="3"/>
        <v>0.88199973158121325</v>
      </c>
      <c r="L35" s="2">
        <f t="shared" si="4"/>
        <v>0.72429858774025047</v>
      </c>
      <c r="M35" s="2">
        <f t="shared" si="5"/>
        <v>0.53321901260790117</v>
      </c>
      <c r="R35">
        <f t="shared" si="6"/>
        <v>0.69307935883292826</v>
      </c>
      <c r="S35">
        <f t="shared" si="7"/>
        <v>0.66700006507517218</v>
      </c>
    </row>
    <row r="36" spans="1:19" x14ac:dyDescent="0.3">
      <c r="A36">
        <v>23.214200000000002</v>
      </c>
      <c r="B36">
        <f t="shared" si="0"/>
        <v>12.002600000000001</v>
      </c>
      <c r="C36">
        <v>1361.444</v>
      </c>
      <c r="D36">
        <v>158.6</v>
      </c>
      <c r="E36">
        <v>305.85500000000002</v>
      </c>
      <c r="I36">
        <f t="shared" si="1"/>
        <v>0.65130720795910524</v>
      </c>
      <c r="J36">
        <f t="shared" si="2"/>
        <v>0.49196600285377506</v>
      </c>
      <c r="K36" s="3">
        <f t="shared" si="3"/>
        <v>0.88849813878878059</v>
      </c>
      <c r="L36" s="2">
        <f t="shared" si="4"/>
        <v>0.7330428500919326</v>
      </c>
      <c r="M36" s="2">
        <f t="shared" si="5"/>
        <v>0.55370515859991953</v>
      </c>
      <c r="R36">
        <f t="shared" si="6"/>
        <v>0.71341169835264873</v>
      </c>
      <c r="S36">
        <f t="shared" si="7"/>
        <v>0.73291388651155864</v>
      </c>
    </row>
    <row r="37" spans="1:19" x14ac:dyDescent="0.3">
      <c r="A37">
        <v>23.714300000000001</v>
      </c>
      <c r="B37">
        <f t="shared" si="0"/>
        <v>12.502700000000001</v>
      </c>
      <c r="C37">
        <v>1374.508</v>
      </c>
      <c r="D37">
        <v>161.72300000000001</v>
      </c>
      <c r="E37">
        <v>309.50900000000001</v>
      </c>
      <c r="I37">
        <f t="shared" si="1"/>
        <v>0.65755695261608549</v>
      </c>
      <c r="J37">
        <f t="shared" si="2"/>
        <v>0.50165332837024634</v>
      </c>
      <c r="K37" s="3">
        <f t="shared" si="3"/>
        <v>0.89911288171969295</v>
      </c>
      <c r="L37" s="2">
        <f t="shared" si="4"/>
        <v>0.73133970826711514</v>
      </c>
      <c r="M37" s="2">
        <f t="shared" si="5"/>
        <v>0.55794254377799202</v>
      </c>
      <c r="R37">
        <f t="shared" si="6"/>
        <v>0.7094515177862728</v>
      </c>
      <c r="S37">
        <f t="shared" si="7"/>
        <v>0.74654760024636657</v>
      </c>
    </row>
    <row r="38" spans="1:19" x14ac:dyDescent="0.3">
      <c r="A38">
        <v>24.214300000000001</v>
      </c>
      <c r="B38">
        <f t="shared" si="0"/>
        <v>13.002700000000001</v>
      </c>
      <c r="C38">
        <v>1375.54</v>
      </c>
      <c r="D38">
        <v>159.108</v>
      </c>
      <c r="E38">
        <v>304.90899999999999</v>
      </c>
      <c r="I38">
        <f t="shared" si="1"/>
        <v>0.65805065565389953</v>
      </c>
      <c r="J38">
        <f t="shared" si="2"/>
        <v>0.49354178298901918</v>
      </c>
      <c r="K38" s="3">
        <f t="shared" si="3"/>
        <v>0.88575004168625093</v>
      </c>
      <c r="L38" s="2">
        <f t="shared" si="4"/>
        <v>0.74293042583563684</v>
      </c>
      <c r="M38" s="2">
        <f t="shared" si="5"/>
        <v>0.55720209964589629</v>
      </c>
      <c r="R38">
        <f t="shared" si="6"/>
        <v>0.73640249379799294</v>
      </c>
      <c r="S38">
        <f t="shared" si="7"/>
        <v>0.74416523402064538</v>
      </c>
    </row>
    <row r="39" spans="1:19" x14ac:dyDescent="0.3">
      <c r="A39">
        <v>24.714500000000001</v>
      </c>
      <c r="B39">
        <f t="shared" si="0"/>
        <v>13.5029</v>
      </c>
      <c r="C39">
        <v>1388.905</v>
      </c>
      <c r="D39">
        <v>154.23099999999999</v>
      </c>
      <c r="E39">
        <v>305.50900000000001</v>
      </c>
      <c r="I39">
        <f t="shared" si="1"/>
        <v>0.66444439703024216</v>
      </c>
      <c r="J39">
        <f t="shared" si="2"/>
        <v>0.47841367330479556</v>
      </c>
      <c r="K39" s="3">
        <f t="shared" si="3"/>
        <v>0.88749302082104775</v>
      </c>
      <c r="L39" s="2">
        <f t="shared" si="4"/>
        <v>0.74867563061571318</v>
      </c>
      <c r="M39" s="2">
        <f t="shared" si="5"/>
        <v>0.5390618991709929</v>
      </c>
      <c r="R39">
        <f t="shared" si="6"/>
        <v>0.74976136267689408</v>
      </c>
      <c r="S39">
        <f t="shared" si="7"/>
        <v>0.68579945182867574</v>
      </c>
    </row>
    <row r="40" spans="1:19" x14ac:dyDescent="0.3">
      <c r="A40">
        <v>25.214700000000001</v>
      </c>
      <c r="B40">
        <f t="shared" si="0"/>
        <v>14.0031</v>
      </c>
      <c r="C40">
        <v>1386.222</v>
      </c>
      <c r="D40">
        <v>161.185</v>
      </c>
      <c r="E40">
        <v>304.10899999999998</v>
      </c>
      <c r="I40">
        <f t="shared" si="1"/>
        <v>0.66316086481080883</v>
      </c>
      <c r="J40">
        <f t="shared" si="2"/>
        <v>0.49998449035299958</v>
      </c>
      <c r="K40" s="3">
        <f t="shared" si="3"/>
        <v>0.88342606950652192</v>
      </c>
      <c r="L40" s="2">
        <f t="shared" si="4"/>
        <v>0.75066934031191501</v>
      </c>
      <c r="M40" s="2">
        <f t="shared" si="5"/>
        <v>0.5659607607372158</v>
      </c>
      <c r="R40">
        <f t="shared" si="6"/>
        <v>0.75439717766237846</v>
      </c>
      <c r="S40">
        <f t="shared" si="7"/>
        <v>0.77234607503485997</v>
      </c>
    </row>
    <row r="41" spans="1:19" x14ac:dyDescent="0.3">
      <c r="A41">
        <v>25.714099999999998</v>
      </c>
      <c r="B41">
        <f t="shared" si="0"/>
        <v>14.502499999999998</v>
      </c>
      <c r="C41">
        <v>1412.7940000000001</v>
      </c>
      <c r="D41">
        <v>163.58500000000001</v>
      </c>
      <c r="E41">
        <v>307.69099999999997</v>
      </c>
      <c r="I41">
        <f t="shared" si="1"/>
        <v>0.67587276124568929</v>
      </c>
      <c r="J41">
        <f t="shared" si="2"/>
        <v>0.50742912091320802</v>
      </c>
      <c r="K41" s="3">
        <f t="shared" si="3"/>
        <v>0.8938316549412586</v>
      </c>
      <c r="L41" s="2">
        <f t="shared" si="4"/>
        <v>0.75615218761759639</v>
      </c>
      <c r="M41" s="2">
        <f t="shared" si="5"/>
        <v>0.56770099616415526</v>
      </c>
      <c r="R41">
        <f t="shared" si="6"/>
        <v>0.767146007520217</v>
      </c>
      <c r="S41">
        <f t="shared" si="7"/>
        <v>0.777945252509884</v>
      </c>
    </row>
    <row r="42" spans="1:19" x14ac:dyDescent="0.3">
      <c r="A42">
        <v>26.214700000000001</v>
      </c>
      <c r="B42">
        <f t="shared" si="0"/>
        <v>15.0031</v>
      </c>
      <c r="C42">
        <v>1396.19</v>
      </c>
      <c r="D42">
        <v>160.32300000000001</v>
      </c>
      <c r="E42">
        <v>303.21800000000002</v>
      </c>
      <c r="I42">
        <f t="shared" si="1"/>
        <v>0.66792950035434673</v>
      </c>
      <c r="J42">
        <f t="shared" si="2"/>
        <v>0.4973106272101247</v>
      </c>
      <c r="K42" s="3">
        <f t="shared" si="3"/>
        <v>0.88083774549134874</v>
      </c>
      <c r="L42" s="2">
        <f t="shared" si="4"/>
        <v>0.75828891730992121</v>
      </c>
      <c r="M42" s="2">
        <f t="shared" si="5"/>
        <v>0.56458823404838876</v>
      </c>
      <c r="R42">
        <f t="shared" si="6"/>
        <v>0.77211437555618501</v>
      </c>
      <c r="S42">
        <f t="shared" si="7"/>
        <v>0.7679299940834079</v>
      </c>
    </row>
    <row r="43" spans="1:19" x14ac:dyDescent="0.3">
      <c r="A43">
        <v>26.713999999999999</v>
      </c>
      <c r="B43">
        <f t="shared" si="0"/>
        <v>15.502399999999998</v>
      </c>
      <c r="C43">
        <v>1397.048</v>
      </c>
      <c r="D43">
        <v>163.738</v>
      </c>
      <c r="E43">
        <v>303.18200000000002</v>
      </c>
      <c r="I43">
        <f t="shared" si="1"/>
        <v>0.66833996276369212</v>
      </c>
      <c r="J43">
        <f t="shared" si="2"/>
        <v>0.50790371611142127</v>
      </c>
      <c r="K43" s="3">
        <f t="shared" si="3"/>
        <v>0.88073316674326096</v>
      </c>
      <c r="L43" s="2">
        <f t="shared" si="4"/>
        <v>0.75884500323185544</v>
      </c>
      <c r="M43" s="2">
        <f t="shared" si="5"/>
        <v>0.57668285388811558</v>
      </c>
      <c r="R43">
        <f t="shared" si="6"/>
        <v>0.77340739803334435</v>
      </c>
      <c r="S43">
        <f t="shared" si="7"/>
        <v>0.80684422484049267</v>
      </c>
    </row>
    <row r="44" spans="1:19" x14ac:dyDescent="0.3">
      <c r="A44">
        <v>27.214600000000001</v>
      </c>
      <c r="B44">
        <f t="shared" si="0"/>
        <v>16.003</v>
      </c>
      <c r="C44">
        <v>1418.27</v>
      </c>
      <c r="D44">
        <v>159.262</v>
      </c>
      <c r="E44">
        <v>309.30900000000003</v>
      </c>
      <c r="I44">
        <f t="shared" si="1"/>
        <v>0.67849244907036954</v>
      </c>
      <c r="J44">
        <f t="shared" si="2"/>
        <v>0.49401948011663255</v>
      </c>
      <c r="K44" s="3">
        <f t="shared" si="3"/>
        <v>0.89853188867476075</v>
      </c>
      <c r="L44" s="2">
        <f t="shared" si="4"/>
        <v>0.75511226437502843</v>
      </c>
      <c r="M44" s="2">
        <f t="shared" si="5"/>
        <v>0.54980739842773851</v>
      </c>
      <c r="R44">
        <f t="shared" si="6"/>
        <v>0.76472795650665459</v>
      </c>
      <c r="S44">
        <f t="shared" si="7"/>
        <v>0.72037291037621842</v>
      </c>
    </row>
    <row r="45" spans="1:19" x14ac:dyDescent="0.3">
      <c r="A45">
        <v>27.713999999999999</v>
      </c>
      <c r="B45">
        <f t="shared" si="0"/>
        <v>16.502399999999998</v>
      </c>
      <c r="C45">
        <v>1424.3810000000001</v>
      </c>
      <c r="D45">
        <v>163.369</v>
      </c>
      <c r="E45">
        <v>302.8</v>
      </c>
      <c r="I45">
        <f t="shared" si="1"/>
        <v>0.6814159173495189</v>
      </c>
      <c r="J45">
        <f t="shared" si="2"/>
        <v>0.50675910416278924</v>
      </c>
      <c r="K45" s="3">
        <f t="shared" si="3"/>
        <v>0.87962347002744035</v>
      </c>
      <c r="L45" s="2">
        <f t="shared" si="4"/>
        <v>0.77466773064645689</v>
      </c>
      <c r="M45" s="2">
        <f t="shared" si="5"/>
        <v>0.57610912103900613</v>
      </c>
      <c r="R45">
        <f t="shared" si="6"/>
        <v>0.81019873079336602</v>
      </c>
      <c r="S45">
        <f t="shared" si="7"/>
        <v>0.80499824929276775</v>
      </c>
    </row>
    <row r="46" spans="1:19" x14ac:dyDescent="0.3">
      <c r="A46">
        <v>28.214200000000002</v>
      </c>
      <c r="B46">
        <f t="shared" si="0"/>
        <v>17.002600000000001</v>
      </c>
      <c r="C46">
        <v>1430.0160000000001</v>
      </c>
      <c r="D46">
        <v>163.09200000000001</v>
      </c>
      <c r="E46">
        <v>302.92700000000002</v>
      </c>
      <c r="I46">
        <f t="shared" si="1"/>
        <v>0.68411166988642058</v>
      </c>
      <c r="J46">
        <f t="shared" si="2"/>
        <v>0.50589986971896528</v>
      </c>
      <c r="K46" s="3">
        <f t="shared" si="3"/>
        <v>0.87999240061097228</v>
      </c>
      <c r="L46" s="2">
        <f t="shared" si="4"/>
        <v>0.77740633829502037</v>
      </c>
      <c r="M46" s="2">
        <f t="shared" si="5"/>
        <v>0.57489118015987717</v>
      </c>
      <c r="R46">
        <f t="shared" si="6"/>
        <v>0.81656659789094743</v>
      </c>
      <c r="S46">
        <f t="shared" si="7"/>
        <v>0.80107954551811633</v>
      </c>
    </row>
    <row r="47" spans="1:19" x14ac:dyDescent="0.3">
      <c r="A47">
        <v>28.714400000000001</v>
      </c>
      <c r="B47">
        <f t="shared" si="0"/>
        <v>17.502800000000001</v>
      </c>
      <c r="C47">
        <v>1461.444</v>
      </c>
      <c r="D47">
        <v>161.96899999999999</v>
      </c>
      <c r="E47">
        <v>301.34500000000003</v>
      </c>
      <c r="I47">
        <f t="shared" si="1"/>
        <v>0.69914664960775952</v>
      </c>
      <c r="J47">
        <f t="shared" si="2"/>
        <v>0.50241640300266766</v>
      </c>
      <c r="K47" s="3">
        <f t="shared" si="3"/>
        <v>0.87539674562555814</v>
      </c>
      <c r="L47" s="2">
        <f t="shared" si="4"/>
        <v>0.79866260995538618</v>
      </c>
      <c r="M47" s="2">
        <f t="shared" si="5"/>
        <v>0.57392994149600263</v>
      </c>
      <c r="R47">
        <f t="shared" si="6"/>
        <v>0.86599212001504411</v>
      </c>
      <c r="S47">
        <f t="shared" si="7"/>
        <v>0.79798677669409923</v>
      </c>
    </row>
    <row r="48" spans="1:19" x14ac:dyDescent="0.3">
      <c r="A48">
        <v>29.214400000000001</v>
      </c>
      <c r="B48">
        <f t="shared" si="0"/>
        <v>18.002800000000001</v>
      </c>
      <c r="C48">
        <v>1451.921</v>
      </c>
      <c r="D48">
        <v>162.87700000000001</v>
      </c>
      <c r="E48">
        <v>294.78199999999998</v>
      </c>
      <c r="I48">
        <f t="shared" si="1"/>
        <v>0.69459089957955822</v>
      </c>
      <c r="J48">
        <f t="shared" si="2"/>
        <v>0.50523295489794651</v>
      </c>
      <c r="K48" s="3">
        <f t="shared" si="3"/>
        <v>0.85633145885610595</v>
      </c>
      <c r="L48" s="2">
        <f t="shared" si="4"/>
        <v>0.81112388479502784</v>
      </c>
      <c r="M48" s="2">
        <f t="shared" si="5"/>
        <v>0.58999695698770716</v>
      </c>
      <c r="R48">
        <f t="shared" si="6"/>
        <v>0.8949673337835794</v>
      </c>
      <c r="S48">
        <f t="shared" si="7"/>
        <v>0.8496821219556473</v>
      </c>
    </row>
    <row r="49" spans="1:19" x14ac:dyDescent="0.3">
      <c r="A49">
        <v>29.714500000000001</v>
      </c>
      <c r="B49">
        <f t="shared" si="0"/>
        <v>18.5029</v>
      </c>
      <c r="C49">
        <v>1455.1590000000001</v>
      </c>
      <c r="D49">
        <v>164.185</v>
      </c>
      <c r="E49">
        <v>303.036</v>
      </c>
      <c r="I49">
        <f t="shared" si="1"/>
        <v>0.69613994070014173</v>
      </c>
      <c r="J49">
        <f t="shared" si="2"/>
        <v>0.50929027855326015</v>
      </c>
      <c r="K49" s="3">
        <f t="shared" si="3"/>
        <v>0.88030904182046033</v>
      </c>
      <c r="L49" s="2">
        <f t="shared" si="4"/>
        <v>0.79079040158503788</v>
      </c>
      <c r="M49" s="2">
        <f t="shared" si="5"/>
        <v>0.57853578045734788</v>
      </c>
      <c r="R49">
        <f t="shared" si="6"/>
        <v>0.84768749843365743</v>
      </c>
      <c r="S49">
        <f t="shared" si="7"/>
        <v>0.81280598412243377</v>
      </c>
    </row>
    <row r="50" spans="1:19" x14ac:dyDescent="0.3">
      <c r="A50">
        <v>30.214500000000001</v>
      </c>
      <c r="B50">
        <f t="shared" si="0"/>
        <v>19.0029</v>
      </c>
      <c r="C50">
        <v>1436.7460000000001</v>
      </c>
      <c r="D50">
        <v>168.75399999999999</v>
      </c>
      <c r="E50">
        <v>305.07299999999998</v>
      </c>
      <c r="I50">
        <f t="shared" si="1"/>
        <v>0.68733126430937497</v>
      </c>
      <c r="J50">
        <f t="shared" si="2"/>
        <v>0.52346299398225693</v>
      </c>
      <c r="K50" s="3">
        <f t="shared" si="3"/>
        <v>0.88622645598309535</v>
      </c>
      <c r="L50" s="2">
        <f t="shared" si="4"/>
        <v>0.77557069039077042</v>
      </c>
      <c r="M50" s="2">
        <f t="shared" si="5"/>
        <v>0.5906650500538001</v>
      </c>
      <c r="R50">
        <f t="shared" si="6"/>
        <v>0.81229831145044573</v>
      </c>
      <c r="S50">
        <f t="shared" si="7"/>
        <v>0.85183169987423168</v>
      </c>
    </row>
    <row r="51" spans="1:19" x14ac:dyDescent="0.3">
      <c r="A51">
        <v>30.714099999999998</v>
      </c>
      <c r="B51">
        <f t="shared" si="0"/>
        <v>19.502499999999998</v>
      </c>
      <c r="C51">
        <v>1441.6030000000001</v>
      </c>
      <c r="D51">
        <v>169.923</v>
      </c>
      <c r="E51">
        <v>303.72699999999998</v>
      </c>
      <c r="I51">
        <f t="shared" si="1"/>
        <v>0.68965482599025008</v>
      </c>
      <c r="J51">
        <f t="shared" si="2"/>
        <v>0.52708914945095853</v>
      </c>
      <c r="K51" s="3">
        <f t="shared" si="3"/>
        <v>0.88231637279070119</v>
      </c>
      <c r="L51" s="2">
        <f t="shared" si="4"/>
        <v>0.78164119726002934</v>
      </c>
      <c r="M51" s="2">
        <f t="shared" si="5"/>
        <v>0.59739246114612454</v>
      </c>
      <c r="R51">
        <f t="shared" si="6"/>
        <v>0.82641357946945992</v>
      </c>
      <c r="S51">
        <f t="shared" si="7"/>
        <v>0.87347702904651248</v>
      </c>
    </row>
    <row r="52" spans="1:19" x14ac:dyDescent="0.3">
      <c r="A52">
        <v>31.214300000000001</v>
      </c>
      <c r="B52">
        <f t="shared" si="0"/>
        <v>20.002700000000001</v>
      </c>
      <c r="C52">
        <v>1443.73</v>
      </c>
      <c r="D52">
        <v>170.06200000000001</v>
      </c>
      <c r="E52">
        <v>305.50900000000001</v>
      </c>
      <c r="I52">
        <f t="shared" si="1"/>
        <v>0.69067237091411693</v>
      </c>
      <c r="J52">
        <f t="shared" si="2"/>
        <v>0.52752031763757057</v>
      </c>
      <c r="K52" s="3">
        <f t="shared" si="3"/>
        <v>0.88749302082104775</v>
      </c>
      <c r="L52" s="2">
        <f t="shared" si="4"/>
        <v>0.77822850964524115</v>
      </c>
      <c r="M52" s="2">
        <f t="shared" si="5"/>
        <v>0.59439376452734793</v>
      </c>
      <c r="R52">
        <f t="shared" si="6"/>
        <v>0.81847832770459605</v>
      </c>
      <c r="S52">
        <f t="shared" si="7"/>
        <v>0.8638287743894898</v>
      </c>
    </row>
    <row r="53" spans="1:19" x14ac:dyDescent="0.3">
      <c r="A53">
        <v>31.714300000000001</v>
      </c>
      <c r="B53">
        <f t="shared" si="0"/>
        <v>20.502700000000001</v>
      </c>
      <c r="C53">
        <v>1467.905</v>
      </c>
      <c r="D53">
        <v>172.49199999999999</v>
      </c>
      <c r="E53">
        <v>303.673</v>
      </c>
      <c r="I53">
        <f t="shared" si="1"/>
        <v>0.70223755593267911</v>
      </c>
      <c r="J53">
        <f t="shared" si="2"/>
        <v>0.5350580060797816</v>
      </c>
      <c r="K53" s="3">
        <f t="shared" si="3"/>
        <v>0.88215950466856963</v>
      </c>
      <c r="L53" s="2">
        <f t="shared" si="4"/>
        <v>0.79604374516886511</v>
      </c>
      <c r="M53" s="2">
        <f t="shared" si="5"/>
        <v>0.60653204238932357</v>
      </c>
      <c r="R53">
        <f t="shared" si="6"/>
        <v>0.8599026814947619</v>
      </c>
      <c r="S53">
        <f t="shared" si="7"/>
        <v>0.90288347408025771</v>
      </c>
    </row>
    <row r="54" spans="1:19" x14ac:dyDescent="0.3">
      <c r="A54">
        <v>32.214300000000001</v>
      </c>
      <c r="B54">
        <f t="shared" si="0"/>
        <v>21.002700000000001</v>
      </c>
      <c r="C54">
        <v>1464.54</v>
      </c>
      <c r="D54">
        <v>165.01499999999999</v>
      </c>
      <c r="E54">
        <v>300.964</v>
      </c>
      <c r="I54">
        <f t="shared" si="1"/>
        <v>0.70062775872120187</v>
      </c>
      <c r="J54">
        <f t="shared" si="2"/>
        <v>0.51186487995533214</v>
      </c>
      <c r="K54" s="3">
        <f t="shared" si="3"/>
        <v>0.87428995387496211</v>
      </c>
      <c r="L54" s="2">
        <f t="shared" si="4"/>
        <v>0.80136773345722689</v>
      </c>
      <c r="M54" s="2">
        <f t="shared" si="5"/>
        <v>0.58546352693026282</v>
      </c>
      <c r="R54">
        <f t="shared" si="6"/>
        <v>0.87228212908271807</v>
      </c>
      <c r="S54">
        <f t="shared" si="7"/>
        <v>0.83509588892688946</v>
      </c>
    </row>
    <row r="55" spans="1:19" x14ac:dyDescent="0.3">
      <c r="A55">
        <v>32.713900000000002</v>
      </c>
      <c r="B55">
        <f t="shared" si="0"/>
        <v>21.502300000000002</v>
      </c>
      <c r="C55">
        <v>1465.5239999999999</v>
      </c>
      <c r="D55">
        <v>169.923</v>
      </c>
      <c r="E55">
        <v>302.8</v>
      </c>
      <c r="I55">
        <f t="shared" si="1"/>
        <v>0.70109849882702457</v>
      </c>
      <c r="J55">
        <f t="shared" si="2"/>
        <v>0.52708914945095853</v>
      </c>
      <c r="K55" s="3">
        <f t="shared" si="3"/>
        <v>0.87962347002744035</v>
      </c>
      <c r="L55" s="2">
        <f t="shared" si="4"/>
        <v>0.79704387469919757</v>
      </c>
      <c r="M55" s="2">
        <f t="shared" si="5"/>
        <v>0.59922133436766489</v>
      </c>
      <c r="R55">
        <f t="shared" si="6"/>
        <v>0.8622282033462999</v>
      </c>
      <c r="S55">
        <f t="shared" si="7"/>
        <v>0.87936139709706562</v>
      </c>
    </row>
    <row r="56" spans="1:19" x14ac:dyDescent="0.3">
      <c r="A56">
        <v>33.214700000000001</v>
      </c>
      <c r="B56">
        <f t="shared" si="0"/>
        <v>22.0031</v>
      </c>
      <c r="C56">
        <v>1456.492</v>
      </c>
      <c r="D56">
        <v>166.58500000000001</v>
      </c>
      <c r="E56">
        <v>303.52699999999999</v>
      </c>
      <c r="I56">
        <f t="shared" si="1"/>
        <v>0.69677764045731816</v>
      </c>
      <c r="J56">
        <f t="shared" si="2"/>
        <v>0.51673490911346864</v>
      </c>
      <c r="K56" s="3">
        <f t="shared" si="3"/>
        <v>0.88173537974576899</v>
      </c>
      <c r="L56" s="2">
        <f t="shared" si="4"/>
        <v>0.79023441325244348</v>
      </c>
      <c r="M56" s="2">
        <f t="shared" si="5"/>
        <v>0.58604307027178493</v>
      </c>
      <c r="R56">
        <f t="shared" si="6"/>
        <v>0.8463947028732477</v>
      </c>
      <c r="S56">
        <f t="shared" si="7"/>
        <v>0.83696055963374749</v>
      </c>
    </row>
    <row r="57" spans="1:19" x14ac:dyDescent="0.3">
      <c r="A57">
        <v>33.714100000000002</v>
      </c>
      <c r="B57">
        <f t="shared" si="0"/>
        <v>22.502500000000001</v>
      </c>
      <c r="C57">
        <v>1465.6030000000001</v>
      </c>
      <c r="D57">
        <v>173.06200000000001</v>
      </c>
      <c r="E57">
        <v>300.87299999999999</v>
      </c>
      <c r="I57">
        <f t="shared" si="1"/>
        <v>0.7011362919859272</v>
      </c>
      <c r="J57">
        <f t="shared" si="2"/>
        <v>0.53682610583783119</v>
      </c>
      <c r="K57" s="3">
        <f t="shared" si="3"/>
        <v>0.87402560203951796</v>
      </c>
      <c r="L57" s="2">
        <f t="shared" si="4"/>
        <v>0.80219193848537429</v>
      </c>
      <c r="M57" s="2">
        <f t="shared" si="5"/>
        <v>0.61419952068355921</v>
      </c>
      <c r="R57">
        <f t="shared" si="6"/>
        <v>0.87419858764630753</v>
      </c>
      <c r="S57">
        <f t="shared" si="7"/>
        <v>0.92755345326280003</v>
      </c>
    </row>
    <row r="58" spans="1:19" x14ac:dyDescent="0.3">
      <c r="A58">
        <v>34.214799999999997</v>
      </c>
      <c r="B58">
        <f t="shared" si="0"/>
        <v>23.003199999999996</v>
      </c>
      <c r="C58">
        <v>1471.6510000000001</v>
      </c>
      <c r="D58">
        <v>171.12299999999999</v>
      </c>
      <c r="E58">
        <v>295.255</v>
      </c>
      <c r="I58">
        <f t="shared" si="1"/>
        <v>0.70402962141683778</v>
      </c>
      <c r="J58">
        <f t="shared" si="2"/>
        <v>0.53081146473106267</v>
      </c>
      <c r="K58" s="3">
        <f t="shared" si="3"/>
        <v>0.85770550740737084</v>
      </c>
      <c r="L58" s="2">
        <f t="shared" si="4"/>
        <v>0.82082907867170307</v>
      </c>
      <c r="M58" s="2">
        <f t="shared" si="5"/>
        <v>0.61887379776255946</v>
      </c>
      <c r="R58">
        <f t="shared" si="6"/>
        <v>0.91753405114279885</v>
      </c>
      <c r="S58">
        <f t="shared" si="7"/>
        <v>0.94259285915444291</v>
      </c>
    </row>
    <row r="59" spans="1:19" x14ac:dyDescent="0.3">
      <c r="A59">
        <v>34.714199999999998</v>
      </c>
      <c r="B59">
        <f t="shared" si="0"/>
        <v>23.502599999999997</v>
      </c>
      <c r="C59">
        <v>1470.6510000000001</v>
      </c>
      <c r="D59">
        <v>169.06200000000001</v>
      </c>
      <c r="E59">
        <v>299.61799999999999</v>
      </c>
      <c r="I59">
        <f t="shared" si="1"/>
        <v>0.70355122700035122</v>
      </c>
      <c r="J59">
        <f t="shared" si="2"/>
        <v>0.52441838823748377</v>
      </c>
      <c r="K59" s="3">
        <f t="shared" si="3"/>
        <v>0.87037987068256806</v>
      </c>
      <c r="L59" s="2">
        <f t="shared" si="4"/>
        <v>0.80832662920916731</v>
      </c>
      <c r="M59" s="2">
        <f t="shared" si="5"/>
        <v>0.60251667794916386</v>
      </c>
      <c r="R59">
        <f t="shared" si="6"/>
        <v>0.88846309729023931</v>
      </c>
      <c r="S59">
        <f t="shared" si="7"/>
        <v>0.88996410824083527</v>
      </c>
    </row>
    <row r="60" spans="1:19" x14ac:dyDescent="0.3">
      <c r="A60">
        <v>35.214199999999998</v>
      </c>
      <c r="B60">
        <f t="shared" si="0"/>
        <v>24.002599999999997</v>
      </c>
      <c r="C60">
        <v>1453.079</v>
      </c>
      <c r="D60">
        <v>173.09200000000001</v>
      </c>
      <c r="E60">
        <v>292.89100000000002</v>
      </c>
      <c r="I60">
        <f t="shared" si="1"/>
        <v>0.69514488031384958</v>
      </c>
      <c r="J60">
        <f t="shared" si="2"/>
        <v>0.53691916371983384</v>
      </c>
      <c r="K60" s="3">
        <f t="shared" si="3"/>
        <v>0.85083816961627157</v>
      </c>
      <c r="L60" s="2">
        <f t="shared" si="4"/>
        <v>0.81701186563757511</v>
      </c>
      <c r="M60" s="2">
        <f t="shared" si="5"/>
        <v>0.63104734001529883</v>
      </c>
      <c r="R60">
        <f t="shared" si="6"/>
        <v>0.90865818851339564</v>
      </c>
      <c r="S60">
        <f t="shared" si="7"/>
        <v>0.98176102141434263</v>
      </c>
    </row>
    <row r="61" spans="1:19" x14ac:dyDescent="0.3">
      <c r="A61">
        <v>35.714399999999998</v>
      </c>
      <c r="B61">
        <f t="shared" si="0"/>
        <v>24.502799999999997</v>
      </c>
      <c r="C61">
        <v>1471.0630000000001</v>
      </c>
      <c r="D61">
        <v>169.41499999999999</v>
      </c>
      <c r="E61">
        <v>300.89100000000002</v>
      </c>
      <c r="I61">
        <f t="shared" si="1"/>
        <v>0.70374832549994371</v>
      </c>
      <c r="J61">
        <f t="shared" si="2"/>
        <v>0.52551336931571435</v>
      </c>
      <c r="K61" s="3">
        <f t="shared" si="3"/>
        <v>0.87407789141356196</v>
      </c>
      <c r="L61" s="2">
        <f t="shared" si="4"/>
        <v>0.80513227987249436</v>
      </c>
      <c r="M61" s="2">
        <f t="shared" si="5"/>
        <v>0.6012202968157131</v>
      </c>
      <c r="R61">
        <f t="shared" si="6"/>
        <v>0.88103553020159464</v>
      </c>
      <c r="S61">
        <f t="shared" si="7"/>
        <v>0.88579302430064144</v>
      </c>
    </row>
    <row r="62" spans="1:19" x14ac:dyDescent="0.3">
      <c r="A62">
        <v>36.214599999999997</v>
      </c>
      <c r="B62">
        <f t="shared" si="0"/>
        <v>25.002999999999997</v>
      </c>
      <c r="C62">
        <v>1462.2860000000001</v>
      </c>
      <c r="D62">
        <v>166.154</v>
      </c>
      <c r="E62">
        <v>288.92700000000002</v>
      </c>
      <c r="I62">
        <f t="shared" si="1"/>
        <v>0.69954945770644128</v>
      </c>
      <c r="J62">
        <f t="shared" si="2"/>
        <v>0.51539797754203109</v>
      </c>
      <c r="K62" s="3">
        <f t="shared" si="3"/>
        <v>0.83932288746571415</v>
      </c>
      <c r="L62" s="2">
        <f t="shared" si="4"/>
        <v>0.83346882130033351</v>
      </c>
      <c r="M62" s="2">
        <f t="shared" si="5"/>
        <v>0.61406400949966322</v>
      </c>
      <c r="R62">
        <f t="shared" si="6"/>
        <v>0.94692424190231561</v>
      </c>
      <c r="S62">
        <f t="shared" si="7"/>
        <v>0.92711744836556698</v>
      </c>
    </row>
    <row r="63" spans="1:19" x14ac:dyDescent="0.3">
      <c r="A63">
        <v>36.714199999999998</v>
      </c>
      <c r="B63">
        <f t="shared" si="0"/>
        <v>25.502599999999997</v>
      </c>
      <c r="C63">
        <v>1440.3810000000001</v>
      </c>
      <c r="D63">
        <v>170.49199999999999</v>
      </c>
      <c r="E63">
        <v>292.98200000000003</v>
      </c>
      <c r="I63">
        <f t="shared" si="1"/>
        <v>0.68907022801330353</v>
      </c>
      <c r="J63">
        <f t="shared" si="2"/>
        <v>0.52885414727960789</v>
      </c>
      <c r="K63" s="3">
        <f t="shared" si="3"/>
        <v>0.85110252145171572</v>
      </c>
      <c r="L63" s="2">
        <f t="shared" si="4"/>
        <v>0.80962071036749417</v>
      </c>
      <c r="M63" s="2">
        <f t="shared" si="5"/>
        <v>0.62137537364775686</v>
      </c>
      <c r="R63">
        <f t="shared" si="6"/>
        <v>0.89147212154168043</v>
      </c>
      <c r="S63">
        <f t="shared" si="7"/>
        <v>0.95064163642424826</v>
      </c>
    </row>
    <row r="64" spans="1:19" x14ac:dyDescent="0.3">
      <c r="A64">
        <v>37.214399999999998</v>
      </c>
      <c r="B64">
        <f t="shared" si="0"/>
        <v>26.002799999999997</v>
      </c>
      <c r="C64">
        <v>1456.6510000000001</v>
      </c>
      <c r="D64">
        <v>168.58500000000001</v>
      </c>
      <c r="E64">
        <v>288.54500000000002</v>
      </c>
      <c r="I64">
        <f t="shared" si="1"/>
        <v>0.69685370516953959</v>
      </c>
      <c r="J64">
        <f t="shared" si="2"/>
        <v>0.52293876791364236</v>
      </c>
      <c r="K64" s="3">
        <f t="shared" si="3"/>
        <v>0.83821319074989353</v>
      </c>
      <c r="L64" s="2">
        <f t="shared" si="4"/>
        <v>0.83135616673618673</v>
      </c>
      <c r="M64" s="2">
        <f t="shared" si="5"/>
        <v>0.6238732266260375</v>
      </c>
      <c r="R64">
        <f t="shared" si="6"/>
        <v>0.94201185385189801</v>
      </c>
      <c r="S64">
        <f t="shared" si="7"/>
        <v>0.95867843530525221</v>
      </c>
    </row>
    <row r="65" spans="1:19" x14ac:dyDescent="0.3">
      <c r="A65">
        <v>37.714399999999998</v>
      </c>
      <c r="B65">
        <f t="shared" si="0"/>
        <v>26.502799999999997</v>
      </c>
      <c r="C65">
        <v>1456</v>
      </c>
      <c r="D65">
        <v>163.09200000000001</v>
      </c>
      <c r="E65">
        <v>282.36399999999998</v>
      </c>
      <c r="I65">
        <f t="shared" si="1"/>
        <v>0.69654227040440686</v>
      </c>
      <c r="J65">
        <f t="shared" si="2"/>
        <v>0.50589986971896528</v>
      </c>
      <c r="K65" s="3">
        <f t="shared" si="3"/>
        <v>0.82025760069626197</v>
      </c>
      <c r="L65" s="2">
        <f t="shared" si="4"/>
        <v>0.849175027227006</v>
      </c>
      <c r="M65" s="2">
        <f t="shared" si="5"/>
        <v>0.61675730805729889</v>
      </c>
      <c r="R65">
        <f t="shared" si="6"/>
        <v>0.98344463649069613</v>
      </c>
      <c r="S65">
        <f t="shared" si="7"/>
        <v>0.93578309002759752</v>
      </c>
    </row>
    <row r="66" spans="1:19" x14ac:dyDescent="0.3">
      <c r="A66">
        <v>38.214500000000001</v>
      </c>
      <c r="B66">
        <f t="shared" si="0"/>
        <v>27.0029</v>
      </c>
      <c r="C66">
        <v>1470.46</v>
      </c>
      <c r="D66">
        <v>164</v>
      </c>
      <c r="E66">
        <v>289.12700000000001</v>
      </c>
      <c r="I66">
        <f t="shared" si="1"/>
        <v>0.7034598536668023</v>
      </c>
      <c r="J66">
        <f t="shared" si="2"/>
        <v>0.50871642161424402</v>
      </c>
      <c r="K66" s="3">
        <f t="shared" si="3"/>
        <v>0.83990388051064646</v>
      </c>
      <c r="L66" s="2">
        <f t="shared" si="4"/>
        <v>0.83754804566340535</v>
      </c>
      <c r="M66" s="2">
        <f t="shared" si="5"/>
        <v>0.60568409483351071</v>
      </c>
      <c r="R66">
        <f t="shared" si="6"/>
        <v>0.95640933868822542</v>
      </c>
      <c r="S66">
        <f t="shared" si="7"/>
        <v>0.90015521744267224</v>
      </c>
    </row>
    <row r="67" spans="1:19" x14ac:dyDescent="0.3">
      <c r="A67">
        <v>38.713999999999999</v>
      </c>
      <c r="B67">
        <f t="shared" ref="B67:B76" si="8">A67-$A$12</f>
        <v>27.502399999999998</v>
      </c>
      <c r="C67">
        <v>1457.6669999999999</v>
      </c>
      <c r="D67">
        <v>169.83099999999999</v>
      </c>
      <c r="E67">
        <v>280.63600000000002</v>
      </c>
      <c r="I67">
        <f t="shared" ref="I67:I76" si="9">C67/$F$2</f>
        <v>0.6973397538966899</v>
      </c>
      <c r="J67">
        <f t="shared" ref="J67:J76" si="10">D67/$G$2</f>
        <v>0.52680377194615047</v>
      </c>
      <c r="K67" s="3">
        <f t="shared" ref="K67:K76" si="11">E67/$H$2</f>
        <v>0.81523782078804741</v>
      </c>
      <c r="L67" s="2">
        <f t="shared" ref="L67:L76" si="12">I67/K67</f>
        <v>0.85538199543123294</v>
      </c>
      <c r="M67" s="2">
        <f t="shared" ref="M67:M76" si="13">J67/K67</f>
        <v>0.64619643313029451</v>
      </c>
      <c r="R67">
        <f t="shared" ref="R67:R76" si="14">(L67-$L$12)/($N$12-$L$12)</f>
        <v>0.99787720722574214</v>
      </c>
      <c r="S67">
        <f t="shared" ref="S67:S76" si="15">(M67-$M$12)/($O$12-$M$12)</f>
        <v>1.03050296725882</v>
      </c>
    </row>
    <row r="68" spans="1:19" x14ac:dyDescent="0.3">
      <c r="A68">
        <v>39.214199999999998</v>
      </c>
      <c r="B68">
        <f t="shared" si="8"/>
        <v>28.002599999999997</v>
      </c>
      <c r="C68">
        <v>1471.587</v>
      </c>
      <c r="D68">
        <v>171.154</v>
      </c>
      <c r="E68">
        <v>287.76400000000001</v>
      </c>
      <c r="I68">
        <f t="shared" si="9"/>
        <v>0.7039990041741826</v>
      </c>
      <c r="J68">
        <f t="shared" si="10"/>
        <v>0.53090762454246543</v>
      </c>
      <c r="K68" s="3">
        <f t="shared" si="11"/>
        <v>0.83594441290943311</v>
      </c>
      <c r="L68" s="2">
        <f t="shared" si="12"/>
        <v>0.84216006866290816</v>
      </c>
      <c r="M68" s="2">
        <f t="shared" si="13"/>
        <v>0.63509919600357967</v>
      </c>
      <c r="R68">
        <f t="shared" si="14"/>
        <v>0.9671333098738123</v>
      </c>
      <c r="S68">
        <f t="shared" si="15"/>
        <v>0.99479779818053138</v>
      </c>
    </row>
    <row r="69" spans="1:19" x14ac:dyDescent="0.3">
      <c r="A69">
        <v>39.714300000000001</v>
      </c>
      <c r="B69">
        <f t="shared" si="8"/>
        <v>28.502700000000001</v>
      </c>
      <c r="C69">
        <v>1461.365</v>
      </c>
      <c r="D69">
        <v>167.738</v>
      </c>
      <c r="E69">
        <v>286.52699999999999</v>
      </c>
      <c r="I69">
        <f t="shared" si="9"/>
        <v>0.69910885644885712</v>
      </c>
      <c r="J69">
        <f t="shared" si="10"/>
        <v>0.52031143371176869</v>
      </c>
      <c r="K69" s="3">
        <f t="shared" si="11"/>
        <v>0.83235097092652699</v>
      </c>
      <c r="L69" s="2">
        <f t="shared" si="12"/>
        <v>0.83992075562865975</v>
      </c>
      <c r="M69" s="2">
        <f t="shared" si="13"/>
        <v>0.62511062266508421</v>
      </c>
      <c r="R69">
        <f t="shared" si="14"/>
        <v>0.96192641293132564</v>
      </c>
      <c r="S69">
        <f t="shared" si="15"/>
        <v>0.96265973572142594</v>
      </c>
    </row>
    <row r="70" spans="1:19" x14ac:dyDescent="0.3">
      <c r="A70">
        <v>40.214300000000001</v>
      </c>
      <c r="B70">
        <f t="shared" si="8"/>
        <v>29.002700000000001</v>
      </c>
      <c r="C70">
        <v>1485.2860000000001</v>
      </c>
      <c r="D70">
        <v>172.369</v>
      </c>
      <c r="E70">
        <v>284</v>
      </c>
      <c r="I70">
        <f t="shared" si="9"/>
        <v>0.71055252928563173</v>
      </c>
      <c r="J70">
        <f t="shared" si="10"/>
        <v>0.534676468763571</v>
      </c>
      <c r="K70" s="3">
        <f t="shared" si="11"/>
        <v>0.82501012380380789</v>
      </c>
      <c r="L70" s="2">
        <f t="shared" si="12"/>
        <v>0.86126522424906049</v>
      </c>
      <c r="M70" s="2">
        <f t="shared" si="13"/>
        <v>0.64808473658284482</v>
      </c>
      <c r="R70">
        <f t="shared" si="14"/>
        <v>1.0115570124494799</v>
      </c>
      <c r="S70">
        <f t="shared" si="15"/>
        <v>1.0365785510527463</v>
      </c>
    </row>
    <row r="71" spans="1:19" x14ac:dyDescent="0.3">
      <c r="A71">
        <v>40.713900000000002</v>
      </c>
      <c r="B71">
        <f t="shared" si="8"/>
        <v>29.502300000000002</v>
      </c>
      <c r="C71">
        <v>1467.905</v>
      </c>
      <c r="D71">
        <v>165.06200000000001</v>
      </c>
      <c r="E71">
        <v>283.52699999999999</v>
      </c>
      <c r="I71">
        <f t="shared" si="9"/>
        <v>0.70223755593267911</v>
      </c>
      <c r="J71">
        <f t="shared" si="10"/>
        <v>0.51201067063713634</v>
      </c>
      <c r="K71" s="3">
        <f t="shared" si="11"/>
        <v>0.82363607525254312</v>
      </c>
      <c r="L71" s="2">
        <f t="shared" si="12"/>
        <v>0.85260660263983601</v>
      </c>
      <c r="M71" s="2">
        <f t="shared" si="13"/>
        <v>0.62164672726379033</v>
      </c>
      <c r="R71">
        <f t="shared" si="14"/>
        <v>0.99142380655388196</v>
      </c>
      <c r="S71">
        <f t="shared" si="15"/>
        <v>0.95151471200421911</v>
      </c>
    </row>
    <row r="72" spans="1:19" x14ac:dyDescent="0.3">
      <c r="A72">
        <v>41.214700000000001</v>
      </c>
      <c r="B72">
        <f t="shared" si="8"/>
        <v>30.0031</v>
      </c>
      <c r="C72">
        <v>1464.508</v>
      </c>
      <c r="D72">
        <v>171.16900000000001</v>
      </c>
      <c r="E72">
        <v>283.255</v>
      </c>
      <c r="I72">
        <f t="shared" si="9"/>
        <v>0.70061245009987438</v>
      </c>
      <c r="J72">
        <f t="shared" si="10"/>
        <v>0.53095415348346675</v>
      </c>
      <c r="K72" s="3">
        <f t="shared" si="11"/>
        <v>0.82284592471143525</v>
      </c>
      <c r="L72" s="2">
        <f t="shared" si="12"/>
        <v>0.85145034940237807</v>
      </c>
      <c r="M72" s="2">
        <f t="shared" si="13"/>
        <v>0.6452655807582296</v>
      </c>
      <c r="R72">
        <f t="shared" si="14"/>
        <v>0.98873526263224998</v>
      </c>
      <c r="S72">
        <f t="shared" si="15"/>
        <v>1.0275079658046751</v>
      </c>
    </row>
    <row r="73" spans="1:19" x14ac:dyDescent="0.3">
      <c r="A73">
        <v>41.714100000000002</v>
      </c>
      <c r="B73">
        <f t="shared" si="8"/>
        <v>30.502500000000001</v>
      </c>
      <c r="C73">
        <v>1481</v>
      </c>
      <c r="D73">
        <v>168.292</v>
      </c>
      <c r="E73">
        <v>282.63600000000002</v>
      </c>
      <c r="I73">
        <f t="shared" si="9"/>
        <v>0.70850213081657043</v>
      </c>
      <c r="J73">
        <f t="shared" si="10"/>
        <v>0.52202990259941684</v>
      </c>
      <c r="K73" s="3">
        <f t="shared" si="11"/>
        <v>0.82104775123736995</v>
      </c>
      <c r="L73" s="2">
        <f t="shared" si="12"/>
        <v>0.86292439111953445</v>
      </c>
      <c r="M73" s="2">
        <f t="shared" si="13"/>
        <v>0.63580942985677191</v>
      </c>
      <c r="R73">
        <f t="shared" si="14"/>
        <v>1.0154149415432769</v>
      </c>
      <c r="S73">
        <f t="shared" si="15"/>
        <v>0.99708296335487068</v>
      </c>
    </row>
    <row r="74" spans="1:19" x14ac:dyDescent="0.3">
      <c r="A74">
        <v>42.214700000000001</v>
      </c>
      <c r="B74">
        <f t="shared" si="8"/>
        <v>31.0031</v>
      </c>
      <c r="C74">
        <v>1467.5239999999999</v>
      </c>
      <c r="D74">
        <v>172.477</v>
      </c>
      <c r="E74">
        <v>281.65499999999997</v>
      </c>
      <c r="I74">
        <f t="shared" si="9"/>
        <v>0.7020552876599977</v>
      </c>
      <c r="J74">
        <f t="shared" si="10"/>
        <v>0.53501147713878039</v>
      </c>
      <c r="K74" s="3">
        <f t="shared" si="11"/>
        <v>0.81819798035197711</v>
      </c>
      <c r="L74" s="2">
        <f t="shared" si="12"/>
        <v>0.85805062407754118</v>
      </c>
      <c r="M74" s="2">
        <f t="shared" si="13"/>
        <v>0.65388999971452644</v>
      </c>
      <c r="R74">
        <f t="shared" si="14"/>
        <v>1.0040823577011684</v>
      </c>
      <c r="S74">
        <f t="shared" si="15"/>
        <v>1.055256885064521</v>
      </c>
    </row>
    <row r="75" spans="1:19" x14ac:dyDescent="0.3">
      <c r="A75">
        <v>42.714199999999998</v>
      </c>
      <c r="B75">
        <f t="shared" si="8"/>
        <v>31.502599999999997</v>
      </c>
      <c r="C75">
        <v>1482.2380000000001</v>
      </c>
      <c r="D75">
        <v>165.98500000000001</v>
      </c>
      <c r="E75">
        <v>271.65499999999997</v>
      </c>
      <c r="I75">
        <f t="shared" si="9"/>
        <v>0.70909438310418083</v>
      </c>
      <c r="J75">
        <f t="shared" si="10"/>
        <v>0.51487375147341652</v>
      </c>
      <c r="K75" s="3">
        <f t="shared" si="11"/>
        <v>0.78914832810536417</v>
      </c>
      <c r="L75" s="2">
        <f t="shared" si="12"/>
        <v>0.89855652967879718</v>
      </c>
      <c r="M75" s="2">
        <f t="shared" si="13"/>
        <v>0.65244230157536676</v>
      </c>
      <c r="R75">
        <f t="shared" si="14"/>
        <v>1.0982675264570045</v>
      </c>
      <c r="S75">
        <f t="shared" si="15"/>
        <v>1.0505989412679895</v>
      </c>
    </row>
    <row r="76" spans="1:19" x14ac:dyDescent="0.3">
      <c r="A76">
        <v>43.214399999999998</v>
      </c>
      <c r="B76">
        <f t="shared" si="8"/>
        <v>32.002799999999993</v>
      </c>
      <c r="C76">
        <v>1486.3969999999999</v>
      </c>
      <c r="D76">
        <v>169.292</v>
      </c>
      <c r="E76">
        <v>284.83600000000001</v>
      </c>
      <c r="I76">
        <f t="shared" si="9"/>
        <v>0.71108402548234828</v>
      </c>
      <c r="J76">
        <f t="shared" si="10"/>
        <v>0.52513183199950375</v>
      </c>
      <c r="K76" s="3">
        <f t="shared" si="11"/>
        <v>0.8274386747316248</v>
      </c>
      <c r="L76" s="2">
        <f t="shared" si="12"/>
        <v>0.8593797307250407</v>
      </c>
      <c r="M76" s="2">
        <f t="shared" si="13"/>
        <v>0.63464743434892912</v>
      </c>
      <c r="R76">
        <f t="shared" si="14"/>
        <v>1.0071728239438331</v>
      </c>
      <c r="S76">
        <f t="shared" si="15"/>
        <v>0.99334426284752908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WS_250kDa_1</vt:lpstr>
      <vt:lpstr>WS_250kDa_2</vt:lpstr>
      <vt:lpstr>WS_250kDa_3</vt:lpstr>
      <vt:lpstr>WS_40kDa_1</vt:lpstr>
      <vt:lpstr>WS_40kDa_2</vt:lpstr>
      <vt:lpstr>WS_40kDa_3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ANA</cp:lastModifiedBy>
  <dcterms:created xsi:type="dcterms:W3CDTF">2026-01-13T14:41:46Z</dcterms:created>
  <dcterms:modified xsi:type="dcterms:W3CDTF">2026-01-26T20:25:11Z</dcterms:modified>
</cp:coreProperties>
</file>