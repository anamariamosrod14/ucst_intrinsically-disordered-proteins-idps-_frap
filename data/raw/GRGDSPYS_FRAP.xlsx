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esktop\Confocal\FRAP\01132026\"/>
    </mc:Choice>
  </mc:AlternateContent>
  <xr:revisionPtr revIDLastSave="0" documentId="13_ncr:1_{7F35F3C8-A8F7-443F-B277-858DB9832AA2}" xr6:coauthVersionLast="45" xr6:coauthVersionMax="45" xr10:uidLastSave="{00000000-0000-0000-0000-000000000000}"/>
  <bookViews>
    <workbookView xWindow="-108" yWindow="-108" windowWidth="23256" windowHeight="12720" firstSheet="4" activeTab="8" xr2:uid="{13C16840-8151-43C6-AF7C-639200337DFD}"/>
  </bookViews>
  <sheets>
    <sheet name="YS_40kDa_1" sheetId="1" r:id="rId1"/>
    <sheet name="YS_40kDa_2" sheetId="2" r:id="rId2"/>
    <sheet name="YS_40kDa_3" sheetId="3" r:id="rId3"/>
    <sheet name="YS_40kDa_4" sheetId="4" r:id="rId4"/>
    <sheet name="YS_250kDa_1" sheetId="8" r:id="rId5"/>
    <sheet name="YS_250kDa_3" sheetId="10" r:id="rId6"/>
    <sheet name="YS_250kDa_4" sheetId="11" r:id="rId7"/>
    <sheet name="YS_500kDa_1" sheetId="15" r:id="rId8"/>
    <sheet name="YS_500kDa_4" sheetId="13" r:id="rId9"/>
    <sheet name="YS_500kDa_3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5" l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22" i="15"/>
  <c r="M23" i="15"/>
  <c r="M24" i="15"/>
  <c r="M25" i="15"/>
  <c r="M26" i="15"/>
  <c r="M28" i="15"/>
  <c r="M31" i="15"/>
  <c r="M32" i="15"/>
  <c r="M41" i="15"/>
  <c r="M45" i="15"/>
  <c r="M46" i="15"/>
  <c r="M48" i="15"/>
  <c r="M49" i="15"/>
  <c r="M50" i="15"/>
  <c r="M56" i="15"/>
  <c r="M60" i="15"/>
  <c r="M66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21" i="15"/>
  <c r="L22" i="15"/>
  <c r="L23" i="15"/>
  <c r="L24" i="15"/>
  <c r="L25" i="15"/>
  <c r="L26" i="15"/>
  <c r="L28" i="15"/>
  <c r="L29" i="15"/>
  <c r="L30" i="15"/>
  <c r="L32" i="15"/>
  <c r="L41" i="15"/>
  <c r="L45" i="15"/>
  <c r="L46" i="15"/>
  <c r="L47" i="15"/>
  <c r="L48" i="15"/>
  <c r="L49" i="15"/>
  <c r="L50" i="15"/>
  <c r="L53" i="15"/>
  <c r="L56" i="15"/>
  <c r="L60" i="15"/>
  <c r="L62" i="15"/>
  <c r="L66" i="15"/>
  <c r="L71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L18" i="15" s="1"/>
  <c r="K19" i="15"/>
  <c r="M19" i="15" s="1"/>
  <c r="K20" i="15"/>
  <c r="M20" i="15" s="1"/>
  <c r="K21" i="15"/>
  <c r="M21" i="15" s="1"/>
  <c r="K22" i="15"/>
  <c r="K23" i="15"/>
  <c r="K24" i="15"/>
  <c r="K25" i="15"/>
  <c r="K26" i="15"/>
  <c r="K27" i="15"/>
  <c r="M27" i="15" s="1"/>
  <c r="K28" i="15"/>
  <c r="K29" i="15"/>
  <c r="M29" i="15" s="1"/>
  <c r="K30" i="15"/>
  <c r="M30" i="15" s="1"/>
  <c r="K31" i="15"/>
  <c r="L31" i="15" s="1"/>
  <c r="K32" i="15"/>
  <c r="K33" i="15"/>
  <c r="L33" i="15" s="1"/>
  <c r="K34" i="15"/>
  <c r="M34" i="15" s="1"/>
  <c r="K35" i="15"/>
  <c r="L35" i="15" s="1"/>
  <c r="K36" i="15"/>
  <c r="M36" i="15" s="1"/>
  <c r="K37" i="15"/>
  <c r="M37" i="15" s="1"/>
  <c r="K38" i="15"/>
  <c r="L38" i="15" s="1"/>
  <c r="K39" i="15"/>
  <c r="M39" i="15" s="1"/>
  <c r="K40" i="15"/>
  <c r="L40" i="15" s="1"/>
  <c r="K41" i="15"/>
  <c r="K42" i="15"/>
  <c r="M42" i="15" s="1"/>
  <c r="K43" i="15"/>
  <c r="M43" i="15" s="1"/>
  <c r="K44" i="15"/>
  <c r="M44" i="15" s="1"/>
  <c r="K45" i="15"/>
  <c r="K46" i="15"/>
  <c r="K47" i="15"/>
  <c r="M47" i="15" s="1"/>
  <c r="K48" i="15"/>
  <c r="K49" i="15"/>
  <c r="K50" i="15"/>
  <c r="K51" i="15"/>
  <c r="M51" i="15" s="1"/>
  <c r="K52" i="15"/>
  <c r="M52" i="15" s="1"/>
  <c r="K53" i="15"/>
  <c r="M53" i="15" s="1"/>
  <c r="K54" i="15"/>
  <c r="M54" i="15" s="1"/>
  <c r="K55" i="15"/>
  <c r="L55" i="15" s="1"/>
  <c r="K56" i="15"/>
  <c r="K57" i="15"/>
  <c r="L57" i="15" s="1"/>
  <c r="K58" i="15"/>
  <c r="L58" i="15" s="1"/>
  <c r="K59" i="15"/>
  <c r="M59" i="15" s="1"/>
  <c r="K60" i="15"/>
  <c r="K61" i="15"/>
  <c r="M61" i="15" s="1"/>
  <c r="K62" i="15"/>
  <c r="M62" i="15" s="1"/>
  <c r="K63" i="15"/>
  <c r="M63" i="15" s="1"/>
  <c r="K64" i="15"/>
  <c r="L64" i="15" s="1"/>
  <c r="K65" i="15"/>
  <c r="L65" i="15" s="1"/>
  <c r="K66" i="15"/>
  <c r="K67" i="15"/>
  <c r="M67" i="15" s="1"/>
  <c r="K68" i="15"/>
  <c r="M68" i="15" s="1"/>
  <c r="K69" i="15"/>
  <c r="L69" i="15" s="1"/>
  <c r="K70" i="15"/>
  <c r="M70" i="15" s="1"/>
  <c r="K71" i="15"/>
  <c r="M71" i="15" s="1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H2" i="15"/>
  <c r="G2" i="15"/>
  <c r="F2" i="15"/>
  <c r="K2" i="15"/>
  <c r="J2" i="15"/>
  <c r="I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2" i="15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9" i="14"/>
  <c r="M21" i="14"/>
  <c r="M23" i="14"/>
  <c r="M24" i="14"/>
  <c r="M28" i="14"/>
  <c r="M29" i="14"/>
  <c r="M6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9" i="14"/>
  <c r="L21" i="14"/>
  <c r="L23" i="14"/>
  <c r="L24" i="14"/>
  <c r="L28" i="14"/>
  <c r="L29" i="14"/>
  <c r="L30" i="14"/>
  <c r="L6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L18" i="14" s="1"/>
  <c r="K19" i="14"/>
  <c r="K20" i="14"/>
  <c r="M20" i="14" s="1"/>
  <c r="K21" i="14"/>
  <c r="K22" i="14"/>
  <c r="L22" i="14" s="1"/>
  <c r="K23" i="14"/>
  <c r="K24" i="14"/>
  <c r="K25" i="14"/>
  <c r="L25" i="14" s="1"/>
  <c r="K26" i="14"/>
  <c r="M26" i="14" s="1"/>
  <c r="K27" i="14"/>
  <c r="L27" i="14" s="1"/>
  <c r="K28" i="14"/>
  <c r="K29" i="14"/>
  <c r="K30" i="14"/>
  <c r="M30" i="14" s="1"/>
  <c r="K31" i="14"/>
  <c r="L31" i="14" s="1"/>
  <c r="K32" i="14"/>
  <c r="L32" i="14" s="1"/>
  <c r="K33" i="14"/>
  <c r="M33" i="14" s="1"/>
  <c r="K34" i="14"/>
  <c r="M34" i="14" s="1"/>
  <c r="K35" i="14"/>
  <c r="M35" i="14" s="1"/>
  <c r="K36" i="14"/>
  <c r="M36" i="14" s="1"/>
  <c r="K37" i="14"/>
  <c r="M37" i="14" s="1"/>
  <c r="K38" i="14"/>
  <c r="M38" i="14" s="1"/>
  <c r="K39" i="14"/>
  <c r="M39" i="14" s="1"/>
  <c r="K40" i="14"/>
  <c r="L40" i="14" s="1"/>
  <c r="K41" i="14"/>
  <c r="M41" i="14" s="1"/>
  <c r="K42" i="14"/>
  <c r="M42" i="14" s="1"/>
  <c r="K43" i="14"/>
  <c r="L43" i="14" s="1"/>
  <c r="K44" i="14"/>
  <c r="M44" i="14" s="1"/>
  <c r="K45" i="14"/>
  <c r="M45" i="14" s="1"/>
  <c r="K46" i="14"/>
  <c r="M46" i="14" s="1"/>
  <c r="K47" i="14"/>
  <c r="M47" i="14" s="1"/>
  <c r="K48" i="14"/>
  <c r="M48" i="14" s="1"/>
  <c r="K49" i="14"/>
  <c r="L49" i="14" s="1"/>
  <c r="K50" i="14"/>
  <c r="L50" i="14" s="1"/>
  <c r="K51" i="14"/>
  <c r="M51" i="14" s="1"/>
  <c r="K52" i="14"/>
  <c r="M52" i="14" s="1"/>
  <c r="K53" i="14"/>
  <c r="M53" i="14" s="1"/>
  <c r="K54" i="14"/>
  <c r="L54" i="14" s="1"/>
  <c r="K55" i="14"/>
  <c r="M55" i="14" s="1"/>
  <c r="K56" i="14"/>
  <c r="M56" i="14" s="1"/>
  <c r="K57" i="14"/>
  <c r="L57" i="14" s="1"/>
  <c r="K58" i="14"/>
  <c r="M58" i="14" s="1"/>
  <c r="K59" i="14"/>
  <c r="M59" i="14" s="1"/>
  <c r="K60" i="14"/>
  <c r="M60" i="14" s="1"/>
  <c r="K61" i="14"/>
  <c r="M61" i="14" s="1"/>
  <c r="K62" i="14"/>
  <c r="K63" i="14"/>
  <c r="M63" i="14" s="1"/>
  <c r="K64" i="14"/>
  <c r="M64" i="14" s="1"/>
  <c r="K65" i="14"/>
  <c r="L65" i="14" s="1"/>
  <c r="K66" i="14"/>
  <c r="M66" i="14" s="1"/>
  <c r="K67" i="14"/>
  <c r="M67" i="14" s="1"/>
  <c r="K68" i="14"/>
  <c r="L68" i="14" s="1"/>
  <c r="K69" i="14"/>
  <c r="L69" i="14" s="1"/>
  <c r="K70" i="14"/>
  <c r="L70" i="14" s="1"/>
  <c r="K71" i="14"/>
  <c r="L71" i="14" s="1"/>
  <c r="K72" i="14"/>
  <c r="L72" i="14" s="1"/>
  <c r="K73" i="14"/>
  <c r="M73" i="14" s="1"/>
  <c r="K74" i="14"/>
  <c r="L74" i="14" s="1"/>
  <c r="K75" i="14"/>
  <c r="M75" i="14" s="1"/>
  <c r="K76" i="14"/>
  <c r="M76" i="14" s="1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H2" i="14"/>
  <c r="K2" i="14" s="1"/>
  <c r="F2" i="14"/>
  <c r="G2" i="14"/>
  <c r="J2" i="14" s="1"/>
  <c r="I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2" i="14"/>
  <c r="M3" i="13"/>
  <c r="M4" i="13"/>
  <c r="M5" i="13"/>
  <c r="M6" i="13"/>
  <c r="M7" i="13"/>
  <c r="M8" i="13"/>
  <c r="M9" i="13"/>
  <c r="M10" i="13"/>
  <c r="M11" i="13"/>
  <c r="M12" i="13"/>
  <c r="M14" i="13"/>
  <c r="M19" i="13"/>
  <c r="M21" i="13"/>
  <c r="M22" i="13"/>
  <c r="M23" i="13"/>
  <c r="M24" i="13"/>
  <c r="M25" i="13"/>
  <c r="M26" i="13"/>
  <c r="M27" i="13"/>
  <c r="M28" i="13"/>
  <c r="M30" i="13"/>
  <c r="M31" i="13"/>
  <c r="M35" i="13"/>
  <c r="M36" i="13"/>
  <c r="M37" i="13"/>
  <c r="M38" i="13"/>
  <c r="M39" i="13"/>
  <c r="M40" i="13"/>
  <c r="M45" i="13"/>
  <c r="M50" i="13"/>
  <c r="M51" i="13"/>
  <c r="M52" i="13"/>
  <c r="M56" i="13"/>
  <c r="M57" i="13"/>
  <c r="M58" i="13"/>
  <c r="M59" i="13"/>
  <c r="M62" i="13"/>
  <c r="M63" i="13"/>
  <c r="M64" i="13"/>
  <c r="M65" i="13"/>
  <c r="M66" i="13"/>
  <c r="M67" i="13"/>
  <c r="M68" i="13"/>
  <c r="M69" i="13"/>
  <c r="M72" i="13"/>
  <c r="L3" i="13"/>
  <c r="L4" i="13"/>
  <c r="L5" i="13"/>
  <c r="L6" i="13"/>
  <c r="L7" i="13"/>
  <c r="L8" i="13"/>
  <c r="L9" i="13"/>
  <c r="L10" i="13"/>
  <c r="L11" i="13"/>
  <c r="L12" i="13"/>
  <c r="L14" i="13"/>
  <c r="L17" i="13"/>
  <c r="L19" i="13"/>
  <c r="L21" i="13"/>
  <c r="L22" i="13"/>
  <c r="L23" i="13"/>
  <c r="L24" i="13"/>
  <c r="L25" i="13"/>
  <c r="L26" i="13"/>
  <c r="L27" i="13"/>
  <c r="L28" i="13"/>
  <c r="L29" i="13"/>
  <c r="L30" i="13"/>
  <c r="L35" i="13"/>
  <c r="L36" i="13"/>
  <c r="L37" i="13"/>
  <c r="L38" i="13"/>
  <c r="L39" i="13"/>
  <c r="L41" i="13"/>
  <c r="L45" i="13"/>
  <c r="L50" i="13"/>
  <c r="L51" i="13"/>
  <c r="L52" i="13"/>
  <c r="L56" i="13"/>
  <c r="L57" i="13"/>
  <c r="L58" i="13"/>
  <c r="L59" i="13"/>
  <c r="L62" i="13"/>
  <c r="L63" i="13"/>
  <c r="L64" i="13"/>
  <c r="L65" i="13"/>
  <c r="L66" i="13"/>
  <c r="L67" i="13"/>
  <c r="L68" i="13"/>
  <c r="L69" i="13"/>
  <c r="L72" i="13"/>
  <c r="K3" i="13"/>
  <c r="K4" i="13"/>
  <c r="K5" i="13"/>
  <c r="K6" i="13"/>
  <c r="K7" i="13"/>
  <c r="K8" i="13"/>
  <c r="K9" i="13"/>
  <c r="K10" i="13"/>
  <c r="K11" i="13"/>
  <c r="K12" i="13"/>
  <c r="K13" i="13"/>
  <c r="L13" i="13" s="1"/>
  <c r="K14" i="13"/>
  <c r="K15" i="13"/>
  <c r="M15" i="13" s="1"/>
  <c r="K16" i="13"/>
  <c r="M16" i="13" s="1"/>
  <c r="K17" i="13"/>
  <c r="M17" i="13" s="1"/>
  <c r="K18" i="13"/>
  <c r="L18" i="13" s="1"/>
  <c r="K19" i="13"/>
  <c r="K20" i="13"/>
  <c r="M20" i="13" s="1"/>
  <c r="K21" i="13"/>
  <c r="K22" i="13"/>
  <c r="K23" i="13"/>
  <c r="K24" i="13"/>
  <c r="K25" i="13"/>
  <c r="K26" i="13"/>
  <c r="K27" i="13"/>
  <c r="K28" i="13"/>
  <c r="K29" i="13"/>
  <c r="M29" i="13" s="1"/>
  <c r="K30" i="13"/>
  <c r="K31" i="13"/>
  <c r="L31" i="13" s="1"/>
  <c r="K32" i="13"/>
  <c r="M32" i="13" s="1"/>
  <c r="K33" i="13"/>
  <c r="M33" i="13" s="1"/>
  <c r="K34" i="13"/>
  <c r="L34" i="13" s="1"/>
  <c r="K35" i="13"/>
  <c r="K36" i="13"/>
  <c r="K37" i="13"/>
  <c r="K38" i="13"/>
  <c r="K39" i="13"/>
  <c r="K40" i="13"/>
  <c r="L40" i="13" s="1"/>
  <c r="K41" i="13"/>
  <c r="M41" i="13" s="1"/>
  <c r="K42" i="13"/>
  <c r="M42" i="13" s="1"/>
  <c r="K43" i="13"/>
  <c r="M43" i="13" s="1"/>
  <c r="K44" i="13"/>
  <c r="M44" i="13" s="1"/>
  <c r="K45" i="13"/>
  <c r="K46" i="13"/>
  <c r="M46" i="13" s="1"/>
  <c r="K47" i="13"/>
  <c r="M47" i="13" s="1"/>
  <c r="K48" i="13"/>
  <c r="M48" i="13" s="1"/>
  <c r="K49" i="13"/>
  <c r="L49" i="13" s="1"/>
  <c r="K50" i="13"/>
  <c r="K51" i="13"/>
  <c r="K52" i="13"/>
  <c r="K53" i="13"/>
  <c r="M53" i="13" s="1"/>
  <c r="K54" i="13"/>
  <c r="L54" i="13" s="1"/>
  <c r="K55" i="13"/>
  <c r="M55" i="13" s="1"/>
  <c r="K56" i="13"/>
  <c r="K57" i="13"/>
  <c r="K58" i="13"/>
  <c r="K59" i="13"/>
  <c r="K60" i="13"/>
  <c r="L60" i="13" s="1"/>
  <c r="K61" i="13"/>
  <c r="L61" i="13" s="1"/>
  <c r="K62" i="13"/>
  <c r="K63" i="13"/>
  <c r="K64" i="13"/>
  <c r="K65" i="13"/>
  <c r="K66" i="13"/>
  <c r="K67" i="13"/>
  <c r="K68" i="13"/>
  <c r="K69" i="13"/>
  <c r="K70" i="13"/>
  <c r="L70" i="13" s="1"/>
  <c r="K71" i="13"/>
  <c r="M71" i="13" s="1"/>
  <c r="K72" i="13"/>
  <c r="K73" i="13"/>
  <c r="L73" i="13" s="1"/>
  <c r="K74" i="13"/>
  <c r="L74" i="13" s="1"/>
  <c r="K75" i="13"/>
  <c r="M75" i="13" s="1"/>
  <c r="K76" i="13"/>
  <c r="L76" i="13" s="1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F2" i="13"/>
  <c r="I2" i="13" s="1"/>
  <c r="L2" i="13" s="1"/>
  <c r="H2" i="13"/>
  <c r="K2" i="13" s="1"/>
  <c r="G2" i="13"/>
  <c r="J2" i="13" s="1"/>
  <c r="M2" i="13" s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2" i="13"/>
  <c r="M18" i="15" l="1"/>
  <c r="L20" i="15"/>
  <c r="L19" i="15"/>
  <c r="M35" i="15"/>
  <c r="L34" i="15"/>
  <c r="L27" i="15"/>
  <c r="M33" i="15"/>
  <c r="M38" i="15"/>
  <c r="L37" i="15"/>
  <c r="L36" i="15"/>
  <c r="L39" i="15"/>
  <c r="M40" i="15"/>
  <c r="L42" i="15"/>
  <c r="L43" i="15"/>
  <c r="L44" i="15"/>
  <c r="L51" i="15"/>
  <c r="L52" i="15"/>
  <c r="M55" i="15"/>
  <c r="L54" i="15"/>
  <c r="L59" i="15"/>
  <c r="M58" i="15"/>
  <c r="M57" i="15"/>
  <c r="L61" i="15"/>
  <c r="L63" i="15"/>
  <c r="M64" i="15"/>
  <c r="M65" i="15"/>
  <c r="L67" i="15"/>
  <c r="L68" i="15"/>
  <c r="M69" i="15"/>
  <c r="O7" i="15" s="1"/>
  <c r="S70" i="15" s="1"/>
  <c r="L70" i="15"/>
  <c r="L2" i="15"/>
  <c r="M2" i="15"/>
  <c r="L64" i="14"/>
  <c r="L63" i="14"/>
  <c r="L58" i="14"/>
  <c r="M57" i="14"/>
  <c r="L56" i="14"/>
  <c r="L52" i="14"/>
  <c r="L46" i="14"/>
  <c r="M43" i="14"/>
  <c r="L42" i="14"/>
  <c r="L41" i="14"/>
  <c r="M31" i="14"/>
  <c r="M69" i="14"/>
  <c r="L67" i="14"/>
  <c r="M68" i="14"/>
  <c r="L75" i="14"/>
  <c r="M40" i="14"/>
  <c r="L39" i="14"/>
  <c r="L45" i="14"/>
  <c r="L44" i="14"/>
  <c r="M22" i="14"/>
  <c r="M18" i="14"/>
  <c r="L20" i="14"/>
  <c r="M27" i="14"/>
  <c r="M25" i="14"/>
  <c r="L26" i="14"/>
  <c r="L34" i="14"/>
  <c r="L33" i="14"/>
  <c r="M32" i="14"/>
  <c r="L38" i="14"/>
  <c r="L37" i="14"/>
  <c r="L36" i="14"/>
  <c r="L35" i="14"/>
  <c r="L47" i="14"/>
  <c r="L48" i="14"/>
  <c r="M50" i="14"/>
  <c r="M49" i="14"/>
  <c r="L51" i="14"/>
  <c r="L53" i="14"/>
  <c r="M54" i="14"/>
  <c r="L55" i="14"/>
  <c r="L61" i="14"/>
  <c r="L60" i="14"/>
  <c r="L59" i="14"/>
  <c r="M65" i="14"/>
  <c r="L66" i="14"/>
  <c r="M72" i="14"/>
  <c r="M71" i="14"/>
  <c r="M70" i="14"/>
  <c r="L73" i="14"/>
  <c r="M74" i="14"/>
  <c r="L76" i="14"/>
  <c r="M2" i="14"/>
  <c r="L2" i="14"/>
  <c r="M13" i="13"/>
  <c r="L16" i="13"/>
  <c r="L15" i="13"/>
  <c r="L53" i="13"/>
  <c r="M54" i="13"/>
  <c r="L55" i="13"/>
  <c r="L46" i="13"/>
  <c r="M49" i="13"/>
  <c r="L42" i="13"/>
  <c r="M18" i="13"/>
  <c r="L20" i="13"/>
  <c r="L32" i="13"/>
  <c r="L33" i="13"/>
  <c r="M34" i="13"/>
  <c r="L43" i="13"/>
  <c r="L44" i="13"/>
  <c r="L47" i="13"/>
  <c r="L48" i="13"/>
  <c r="M60" i="13"/>
  <c r="M61" i="13"/>
  <c r="M70" i="13"/>
  <c r="L71" i="13"/>
  <c r="L75" i="13"/>
  <c r="M73" i="13"/>
  <c r="M74" i="13"/>
  <c r="N12" i="13"/>
  <c r="M76" i="13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G2" i="11"/>
  <c r="F2" i="11"/>
  <c r="I2" i="11" s="1"/>
  <c r="H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2" i="11"/>
  <c r="K3" i="10"/>
  <c r="L3" i="10" s="1"/>
  <c r="K4" i="10"/>
  <c r="M4" i="10" s="1"/>
  <c r="K7" i="10"/>
  <c r="L7" i="10" s="1"/>
  <c r="K8" i="10"/>
  <c r="L8" i="10" s="1"/>
  <c r="K11" i="10"/>
  <c r="L11" i="10" s="1"/>
  <c r="K12" i="10"/>
  <c r="L12" i="10" s="1"/>
  <c r="K15" i="10"/>
  <c r="L15" i="10" s="1"/>
  <c r="K16" i="10"/>
  <c r="L16" i="10" s="1"/>
  <c r="K19" i="10"/>
  <c r="L19" i="10" s="1"/>
  <c r="K20" i="10"/>
  <c r="L20" i="10" s="1"/>
  <c r="K23" i="10"/>
  <c r="L23" i="10" s="1"/>
  <c r="K24" i="10"/>
  <c r="L24" i="10" s="1"/>
  <c r="K27" i="10"/>
  <c r="L27" i="10" s="1"/>
  <c r="K28" i="10"/>
  <c r="L28" i="10" s="1"/>
  <c r="K31" i="10"/>
  <c r="L31" i="10" s="1"/>
  <c r="K32" i="10"/>
  <c r="L32" i="10" s="1"/>
  <c r="K35" i="10"/>
  <c r="L35" i="10" s="1"/>
  <c r="K36" i="10"/>
  <c r="L36" i="10" s="1"/>
  <c r="K39" i="10"/>
  <c r="L39" i="10" s="1"/>
  <c r="K40" i="10"/>
  <c r="L40" i="10" s="1"/>
  <c r="K43" i="10"/>
  <c r="L43" i="10" s="1"/>
  <c r="K44" i="10"/>
  <c r="L44" i="10" s="1"/>
  <c r="K47" i="10"/>
  <c r="L47" i="10" s="1"/>
  <c r="K48" i="10"/>
  <c r="L48" i="10" s="1"/>
  <c r="K51" i="10"/>
  <c r="L51" i="10" s="1"/>
  <c r="K52" i="10"/>
  <c r="L52" i="10" s="1"/>
  <c r="K55" i="10"/>
  <c r="L55" i="10" s="1"/>
  <c r="K56" i="10"/>
  <c r="L56" i="10" s="1"/>
  <c r="K59" i="10"/>
  <c r="L59" i="10" s="1"/>
  <c r="K60" i="10"/>
  <c r="L60" i="10" s="1"/>
  <c r="K63" i="10"/>
  <c r="L63" i="10" s="1"/>
  <c r="K64" i="10"/>
  <c r="L64" i="10" s="1"/>
  <c r="K67" i="10"/>
  <c r="L67" i="10" s="1"/>
  <c r="K68" i="10"/>
  <c r="L68" i="10" s="1"/>
  <c r="K71" i="10"/>
  <c r="L71" i="10" s="1"/>
  <c r="K72" i="10"/>
  <c r="L72" i="10" s="1"/>
  <c r="K75" i="10"/>
  <c r="L75" i="10" s="1"/>
  <c r="K76" i="10"/>
  <c r="L76" i="10" s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F2" i="10"/>
  <c r="I2" i="10" s="1"/>
  <c r="H2" i="10"/>
  <c r="K2" i="10" s="1"/>
  <c r="G2" i="10"/>
  <c r="J2" i="10" s="1"/>
  <c r="M2" i="10" s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2" i="10"/>
  <c r="M2" i="8"/>
  <c r="L2" i="8"/>
  <c r="K2" i="8"/>
  <c r="I2" i="8"/>
  <c r="J2" i="8"/>
  <c r="I3" i="8"/>
  <c r="I4" i="8"/>
  <c r="I5" i="8"/>
  <c r="L5" i="8" s="1"/>
  <c r="I6" i="8"/>
  <c r="L6" i="8" s="1"/>
  <c r="I7" i="8"/>
  <c r="I8" i="8"/>
  <c r="I9" i="8"/>
  <c r="L9" i="8" s="1"/>
  <c r="I10" i="8"/>
  <c r="L10" i="8" s="1"/>
  <c r="I11" i="8"/>
  <c r="I12" i="8"/>
  <c r="I13" i="8"/>
  <c r="L13" i="8" s="1"/>
  <c r="I14" i="8"/>
  <c r="L14" i="8" s="1"/>
  <c r="I15" i="8"/>
  <c r="I16" i="8"/>
  <c r="I17" i="8"/>
  <c r="I18" i="8"/>
  <c r="I19" i="8"/>
  <c r="I20" i="8"/>
  <c r="L20" i="8" s="1"/>
  <c r="I21" i="8"/>
  <c r="L21" i="8" s="1"/>
  <c r="I22" i="8"/>
  <c r="I23" i="8"/>
  <c r="I24" i="8"/>
  <c r="I25" i="8"/>
  <c r="I26" i="8"/>
  <c r="I27" i="8"/>
  <c r="I28" i="8"/>
  <c r="I29" i="8"/>
  <c r="L29" i="8" s="1"/>
  <c r="I30" i="8"/>
  <c r="L30" i="8" s="1"/>
  <c r="I31" i="8"/>
  <c r="I32" i="8"/>
  <c r="I33" i="8"/>
  <c r="L33" i="8" s="1"/>
  <c r="I34" i="8"/>
  <c r="L34" i="8" s="1"/>
  <c r="I35" i="8"/>
  <c r="I36" i="8"/>
  <c r="I37" i="8"/>
  <c r="L37" i="8" s="1"/>
  <c r="I38" i="8"/>
  <c r="L38" i="8" s="1"/>
  <c r="I39" i="8"/>
  <c r="I40" i="8"/>
  <c r="I41" i="8"/>
  <c r="I42" i="8"/>
  <c r="L42" i="8" s="1"/>
  <c r="I43" i="8"/>
  <c r="I44" i="8"/>
  <c r="I45" i="8"/>
  <c r="L45" i="8" s="1"/>
  <c r="I46" i="8"/>
  <c r="L46" i="8" s="1"/>
  <c r="I47" i="8"/>
  <c r="I48" i="8"/>
  <c r="I49" i="8"/>
  <c r="I50" i="8"/>
  <c r="L50" i="8" s="1"/>
  <c r="I51" i="8"/>
  <c r="I52" i="8"/>
  <c r="I53" i="8"/>
  <c r="I54" i="8"/>
  <c r="L54" i="8" s="1"/>
  <c r="I55" i="8"/>
  <c r="I56" i="8"/>
  <c r="I57" i="8"/>
  <c r="I58" i="8"/>
  <c r="L58" i="8" s="1"/>
  <c r="I59" i="8"/>
  <c r="I60" i="8"/>
  <c r="I61" i="8"/>
  <c r="I62" i="8"/>
  <c r="L62" i="8" s="1"/>
  <c r="I63" i="8"/>
  <c r="I64" i="8"/>
  <c r="I65" i="8"/>
  <c r="L65" i="8" s="1"/>
  <c r="I66" i="8"/>
  <c r="L66" i="8" s="1"/>
  <c r="I67" i="8"/>
  <c r="I68" i="8"/>
  <c r="I69" i="8"/>
  <c r="I70" i="8"/>
  <c r="I71" i="8"/>
  <c r="I72" i="8"/>
  <c r="I73" i="8"/>
  <c r="I74" i="8"/>
  <c r="I75" i="8"/>
  <c r="I76" i="8"/>
  <c r="M3" i="8"/>
  <c r="M4" i="8"/>
  <c r="M5" i="8"/>
  <c r="M6" i="8"/>
  <c r="M7" i="8"/>
  <c r="M8" i="8"/>
  <c r="M9" i="8"/>
  <c r="M10" i="8"/>
  <c r="M11" i="8"/>
  <c r="M12" i="8"/>
  <c r="M14" i="8"/>
  <c r="M16" i="8"/>
  <c r="M19" i="8"/>
  <c r="M20" i="8"/>
  <c r="M21" i="8"/>
  <c r="M23" i="8"/>
  <c r="M25" i="8"/>
  <c r="M29" i="8"/>
  <c r="M30" i="8"/>
  <c r="M31" i="8"/>
  <c r="M32" i="8"/>
  <c r="M33" i="8"/>
  <c r="M34" i="8"/>
  <c r="M35" i="8"/>
  <c r="M36" i="8"/>
  <c r="M37" i="8"/>
  <c r="M38" i="8"/>
  <c r="M42" i="8"/>
  <c r="M44" i="8"/>
  <c r="M45" i="8"/>
  <c r="M46" i="8"/>
  <c r="M49" i="8"/>
  <c r="M50" i="8"/>
  <c r="M51" i="8"/>
  <c r="M52" i="8"/>
  <c r="M53" i="8"/>
  <c r="M54" i="8"/>
  <c r="M55" i="8"/>
  <c r="M56" i="8"/>
  <c r="M57" i="8"/>
  <c r="M58" i="8"/>
  <c r="M59" i="8"/>
  <c r="M62" i="8"/>
  <c r="M64" i="8"/>
  <c r="M65" i="8"/>
  <c r="M66" i="8"/>
  <c r="L3" i="8"/>
  <c r="L4" i="8"/>
  <c r="L7" i="8"/>
  <c r="L8" i="8"/>
  <c r="L11" i="8"/>
  <c r="L12" i="8"/>
  <c r="L15" i="8"/>
  <c r="L19" i="8"/>
  <c r="L23" i="8"/>
  <c r="L25" i="8"/>
  <c r="L31" i="8"/>
  <c r="L32" i="8"/>
  <c r="L35" i="8"/>
  <c r="L36" i="8"/>
  <c r="L44" i="8"/>
  <c r="L48" i="8"/>
  <c r="L49" i="8"/>
  <c r="L51" i="8"/>
  <c r="L52" i="8"/>
  <c r="L53" i="8"/>
  <c r="L55" i="8"/>
  <c r="L56" i="8"/>
  <c r="L57" i="8"/>
  <c r="L59" i="8"/>
  <c r="L64" i="8"/>
  <c r="K3" i="8"/>
  <c r="K4" i="8"/>
  <c r="K5" i="8"/>
  <c r="K6" i="8"/>
  <c r="K7" i="8"/>
  <c r="K8" i="8"/>
  <c r="K9" i="8"/>
  <c r="K10" i="8"/>
  <c r="K11" i="8"/>
  <c r="K12" i="8"/>
  <c r="K13" i="8"/>
  <c r="M13" i="8" s="1"/>
  <c r="K14" i="8"/>
  <c r="K15" i="8"/>
  <c r="M15" i="8" s="1"/>
  <c r="K16" i="8"/>
  <c r="L16" i="8" s="1"/>
  <c r="K17" i="8"/>
  <c r="M17" i="8" s="1"/>
  <c r="K18" i="8"/>
  <c r="M18" i="8" s="1"/>
  <c r="K19" i="8"/>
  <c r="K20" i="8"/>
  <c r="K21" i="8"/>
  <c r="K22" i="8"/>
  <c r="K23" i="8"/>
  <c r="K24" i="8"/>
  <c r="M24" i="8" s="1"/>
  <c r="K25" i="8"/>
  <c r="K26" i="8"/>
  <c r="K27" i="8"/>
  <c r="M27" i="8" s="1"/>
  <c r="K28" i="8"/>
  <c r="M28" i="8" s="1"/>
  <c r="K29" i="8"/>
  <c r="K30" i="8"/>
  <c r="K31" i="8"/>
  <c r="K32" i="8"/>
  <c r="K33" i="8"/>
  <c r="K34" i="8"/>
  <c r="K35" i="8"/>
  <c r="K36" i="8"/>
  <c r="K37" i="8"/>
  <c r="K38" i="8"/>
  <c r="K39" i="8"/>
  <c r="M39" i="8" s="1"/>
  <c r="K40" i="8"/>
  <c r="M40" i="8" s="1"/>
  <c r="K41" i="8"/>
  <c r="M41" i="8" s="1"/>
  <c r="K42" i="8"/>
  <c r="K43" i="8"/>
  <c r="M43" i="8" s="1"/>
  <c r="K44" i="8"/>
  <c r="K45" i="8"/>
  <c r="K46" i="8"/>
  <c r="K47" i="8"/>
  <c r="M47" i="8" s="1"/>
  <c r="K48" i="8"/>
  <c r="M48" i="8" s="1"/>
  <c r="K49" i="8"/>
  <c r="K50" i="8"/>
  <c r="K51" i="8"/>
  <c r="K52" i="8"/>
  <c r="K53" i="8"/>
  <c r="K54" i="8"/>
  <c r="K55" i="8"/>
  <c r="K56" i="8"/>
  <c r="K57" i="8"/>
  <c r="K58" i="8"/>
  <c r="K59" i="8"/>
  <c r="K60" i="8"/>
  <c r="M60" i="8" s="1"/>
  <c r="K61" i="8"/>
  <c r="K62" i="8"/>
  <c r="K63" i="8"/>
  <c r="M63" i="8" s="1"/>
  <c r="K64" i="8"/>
  <c r="K65" i="8"/>
  <c r="K66" i="8"/>
  <c r="K67" i="8"/>
  <c r="M67" i="8" s="1"/>
  <c r="K68" i="8"/>
  <c r="M68" i="8" s="1"/>
  <c r="K69" i="8"/>
  <c r="K70" i="8"/>
  <c r="K71" i="8"/>
  <c r="M71" i="8" s="1"/>
  <c r="K72" i="8"/>
  <c r="M72" i="8" s="1"/>
  <c r="K73" i="8"/>
  <c r="K74" i="8"/>
  <c r="M74" i="8" s="1"/>
  <c r="K75" i="8"/>
  <c r="M75" i="8" s="1"/>
  <c r="K76" i="8"/>
  <c r="M76" i="8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H2" i="8"/>
  <c r="G2" i="8"/>
  <c r="F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2" i="8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J2" i="4"/>
  <c r="I2" i="4"/>
  <c r="H2" i="4"/>
  <c r="G2" i="4"/>
  <c r="F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H2" i="3"/>
  <c r="K5" i="3" s="1"/>
  <c r="G2" i="3"/>
  <c r="J2" i="3" s="1"/>
  <c r="I2" i="3"/>
  <c r="B2" i="3"/>
  <c r="F2" i="2"/>
  <c r="M3" i="2"/>
  <c r="M4" i="2"/>
  <c r="M5" i="2"/>
  <c r="M6" i="2"/>
  <c r="M7" i="2"/>
  <c r="M8" i="2"/>
  <c r="M9" i="2"/>
  <c r="M10" i="2"/>
  <c r="M16" i="2"/>
  <c r="M17" i="2"/>
  <c r="M18" i="2"/>
  <c r="M19" i="2"/>
  <c r="M20" i="2"/>
  <c r="M21" i="2"/>
  <c r="M23" i="2"/>
  <c r="M24" i="2"/>
  <c r="M25" i="2"/>
  <c r="M26" i="2"/>
  <c r="M27" i="2"/>
  <c r="M28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8" i="2"/>
  <c r="M59" i="2"/>
  <c r="M60" i="2"/>
  <c r="M62" i="2"/>
  <c r="K3" i="2"/>
  <c r="K4" i="2"/>
  <c r="K5" i="2"/>
  <c r="K6" i="2"/>
  <c r="K7" i="2"/>
  <c r="K8" i="2"/>
  <c r="K9" i="2"/>
  <c r="K10" i="2"/>
  <c r="K11" i="2"/>
  <c r="M11" i="2" s="1"/>
  <c r="K12" i="2"/>
  <c r="M12" i="2" s="1"/>
  <c r="K13" i="2"/>
  <c r="M13" i="2" s="1"/>
  <c r="K14" i="2"/>
  <c r="M14" i="2" s="1"/>
  <c r="K15" i="2"/>
  <c r="M15" i="2" s="1"/>
  <c r="K16" i="2"/>
  <c r="K17" i="2"/>
  <c r="K18" i="2"/>
  <c r="K19" i="2"/>
  <c r="K20" i="2"/>
  <c r="K21" i="2"/>
  <c r="K22" i="2"/>
  <c r="M22" i="2" s="1"/>
  <c r="K23" i="2"/>
  <c r="K24" i="2"/>
  <c r="K25" i="2"/>
  <c r="K26" i="2"/>
  <c r="K27" i="2"/>
  <c r="K28" i="2"/>
  <c r="K29" i="2"/>
  <c r="M29" i="2" s="1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M57" i="2" s="1"/>
  <c r="K58" i="2"/>
  <c r="K59" i="2"/>
  <c r="K60" i="2"/>
  <c r="K61" i="2"/>
  <c r="M61" i="2" s="1"/>
  <c r="K62" i="2"/>
  <c r="K63" i="2"/>
  <c r="M63" i="2" s="1"/>
  <c r="K64" i="2"/>
  <c r="M64" i="2" s="1"/>
  <c r="K65" i="2"/>
  <c r="M65" i="2" s="1"/>
  <c r="K66" i="2"/>
  <c r="M66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3" i="2"/>
  <c r="L3" i="2" s="1"/>
  <c r="I4" i="2"/>
  <c r="L4" i="2" s="1"/>
  <c r="I5" i="2"/>
  <c r="L5" i="2" s="1"/>
  <c r="I6" i="2"/>
  <c r="L6" i="2" s="1"/>
  <c r="I7" i="2"/>
  <c r="L7" i="2" s="1"/>
  <c r="I8" i="2"/>
  <c r="L8" i="2" s="1"/>
  <c r="I9" i="2"/>
  <c r="L9" i="2" s="1"/>
  <c r="I10" i="2"/>
  <c r="I11" i="2"/>
  <c r="I12" i="2"/>
  <c r="I13" i="2"/>
  <c r="I14" i="2"/>
  <c r="I15" i="2"/>
  <c r="I16" i="2"/>
  <c r="L16" i="2" s="1"/>
  <c r="I17" i="2"/>
  <c r="L17" i="2" s="1"/>
  <c r="I18" i="2"/>
  <c r="L18" i="2" s="1"/>
  <c r="I19" i="2"/>
  <c r="L19" i="2" s="1"/>
  <c r="I20" i="2"/>
  <c r="L20" i="2" s="1"/>
  <c r="I21" i="2"/>
  <c r="L21" i="2" s="1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L28" i="2" s="1"/>
  <c r="I29" i="2"/>
  <c r="L29" i="2" s="1"/>
  <c r="I30" i="2"/>
  <c r="L30" i="2" s="1"/>
  <c r="I31" i="2"/>
  <c r="L31" i="2" s="1"/>
  <c r="I32" i="2"/>
  <c r="L32" i="2" s="1"/>
  <c r="I33" i="2"/>
  <c r="L33" i="2" s="1"/>
  <c r="I34" i="2"/>
  <c r="L34" i="2" s="1"/>
  <c r="I35" i="2"/>
  <c r="L35" i="2" s="1"/>
  <c r="I36" i="2"/>
  <c r="L36" i="2" s="1"/>
  <c r="I37" i="2"/>
  <c r="L37" i="2" s="1"/>
  <c r="I38" i="2"/>
  <c r="L38" i="2" s="1"/>
  <c r="I39" i="2"/>
  <c r="L39" i="2" s="1"/>
  <c r="I40" i="2"/>
  <c r="L40" i="2" s="1"/>
  <c r="I41" i="2"/>
  <c r="L41" i="2" s="1"/>
  <c r="I42" i="2"/>
  <c r="L42" i="2" s="1"/>
  <c r="I43" i="2"/>
  <c r="L43" i="2" s="1"/>
  <c r="I44" i="2"/>
  <c r="L44" i="2" s="1"/>
  <c r="I45" i="2"/>
  <c r="L45" i="2" s="1"/>
  <c r="I46" i="2"/>
  <c r="L46" i="2" s="1"/>
  <c r="I47" i="2"/>
  <c r="L47" i="2" s="1"/>
  <c r="I48" i="2"/>
  <c r="L48" i="2" s="1"/>
  <c r="I49" i="2"/>
  <c r="L49" i="2" s="1"/>
  <c r="I50" i="2"/>
  <c r="L50" i="2" s="1"/>
  <c r="I51" i="2"/>
  <c r="L51" i="2" s="1"/>
  <c r="I52" i="2"/>
  <c r="L52" i="2" s="1"/>
  <c r="I53" i="2"/>
  <c r="L53" i="2" s="1"/>
  <c r="I54" i="2"/>
  <c r="L54" i="2" s="1"/>
  <c r="I55" i="2"/>
  <c r="L55" i="2" s="1"/>
  <c r="I56" i="2"/>
  <c r="L56" i="2" s="1"/>
  <c r="I57" i="2"/>
  <c r="I58" i="2"/>
  <c r="L58" i="2" s="1"/>
  <c r="I59" i="2"/>
  <c r="L59" i="2" s="1"/>
  <c r="I60" i="2"/>
  <c r="L60" i="2" s="1"/>
  <c r="I61" i="2"/>
  <c r="L61" i="2" s="1"/>
  <c r="I62" i="2"/>
  <c r="L62" i="2" s="1"/>
  <c r="I63" i="2"/>
  <c r="L63" i="2" s="1"/>
  <c r="I64" i="2"/>
  <c r="L64" i="2" s="1"/>
  <c r="I65" i="2"/>
  <c r="I66" i="2"/>
  <c r="L66" i="2" s="1"/>
  <c r="H2" i="2"/>
  <c r="K2" i="2" s="1"/>
  <c r="G2" i="2"/>
  <c r="J2" i="2" s="1"/>
  <c r="I2" i="2"/>
  <c r="L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2" i="2"/>
  <c r="K6" i="1"/>
  <c r="K10" i="1"/>
  <c r="K14" i="1"/>
  <c r="K18" i="1"/>
  <c r="K22" i="1"/>
  <c r="K26" i="1"/>
  <c r="K30" i="1"/>
  <c r="K34" i="1"/>
  <c r="I4" i="1"/>
  <c r="I8" i="1"/>
  <c r="I12" i="1"/>
  <c r="I16" i="1"/>
  <c r="I20" i="1"/>
  <c r="I24" i="1"/>
  <c r="I28" i="1"/>
  <c r="I32" i="1"/>
  <c r="I36" i="1"/>
  <c r="F2" i="1"/>
  <c r="I2" i="1" s="1"/>
  <c r="L2" i="1" s="1"/>
  <c r="H2" i="1"/>
  <c r="K2" i="1" s="1"/>
  <c r="G2" i="1"/>
  <c r="J2" i="1" s="1"/>
  <c r="M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  <c r="N7" i="15" l="1"/>
  <c r="R70" i="15" s="1"/>
  <c r="Q7" i="15"/>
  <c r="S8" i="15"/>
  <c r="S12" i="15"/>
  <c r="S16" i="15"/>
  <c r="S20" i="15"/>
  <c r="S24" i="15"/>
  <c r="S28" i="15"/>
  <c r="S32" i="15"/>
  <c r="S36" i="15"/>
  <c r="S40" i="15"/>
  <c r="S44" i="15"/>
  <c r="S48" i="15"/>
  <c r="S52" i="15"/>
  <c r="S56" i="15"/>
  <c r="S60" i="15"/>
  <c r="S64" i="15"/>
  <c r="S68" i="15"/>
  <c r="S3" i="15"/>
  <c r="S7" i="15"/>
  <c r="S9" i="15"/>
  <c r="S13" i="15"/>
  <c r="S17" i="15"/>
  <c r="S21" i="15"/>
  <c r="S25" i="15"/>
  <c r="S29" i="15"/>
  <c r="S33" i="15"/>
  <c r="S37" i="15"/>
  <c r="S41" i="15"/>
  <c r="S45" i="15"/>
  <c r="S49" i="15"/>
  <c r="S53" i="15"/>
  <c r="S57" i="15"/>
  <c r="S61" i="15"/>
  <c r="S65" i="15"/>
  <c r="S69" i="15"/>
  <c r="S4" i="15"/>
  <c r="S10" i="15"/>
  <c r="S14" i="15"/>
  <c r="S18" i="15"/>
  <c r="S22" i="15"/>
  <c r="S26" i="15"/>
  <c r="S30" i="15"/>
  <c r="S34" i="15"/>
  <c r="S38" i="15"/>
  <c r="S42" i="15"/>
  <c r="S46" i="15"/>
  <c r="S50" i="15"/>
  <c r="S54" i="15"/>
  <c r="S58" i="15"/>
  <c r="S62" i="15"/>
  <c r="S66" i="15"/>
  <c r="S5" i="15"/>
  <c r="S2" i="15"/>
  <c r="S11" i="15"/>
  <c r="S15" i="15"/>
  <c r="S19" i="15"/>
  <c r="S23" i="15"/>
  <c r="S27" i="15"/>
  <c r="S31" i="15"/>
  <c r="S35" i="15"/>
  <c r="S39" i="15"/>
  <c r="S43" i="15"/>
  <c r="S47" i="15"/>
  <c r="S51" i="15"/>
  <c r="S55" i="15"/>
  <c r="S59" i="15"/>
  <c r="S63" i="15"/>
  <c r="S67" i="15"/>
  <c r="S71" i="15"/>
  <c r="S6" i="15"/>
  <c r="O12" i="14"/>
  <c r="S76" i="14" s="1"/>
  <c r="N12" i="14"/>
  <c r="R2" i="14" s="1"/>
  <c r="O12" i="13"/>
  <c r="S76" i="13" s="1"/>
  <c r="P12" i="13"/>
  <c r="R13" i="13"/>
  <c r="R17" i="13"/>
  <c r="R21" i="13"/>
  <c r="R25" i="13"/>
  <c r="R29" i="13"/>
  <c r="R33" i="13"/>
  <c r="R37" i="13"/>
  <c r="R41" i="13"/>
  <c r="R45" i="13"/>
  <c r="R49" i="13"/>
  <c r="R53" i="13"/>
  <c r="R57" i="13"/>
  <c r="R61" i="13"/>
  <c r="R65" i="13"/>
  <c r="R69" i="13"/>
  <c r="R73" i="13"/>
  <c r="R5" i="13"/>
  <c r="R9" i="13"/>
  <c r="R19" i="13"/>
  <c r="R23" i="13"/>
  <c r="R31" i="13"/>
  <c r="R39" i="13"/>
  <c r="R47" i="13"/>
  <c r="R55" i="13"/>
  <c r="R63" i="13"/>
  <c r="R71" i="13"/>
  <c r="R3" i="13"/>
  <c r="R11" i="13"/>
  <c r="R20" i="13"/>
  <c r="R28" i="13"/>
  <c r="R36" i="13"/>
  <c r="R44" i="13"/>
  <c r="R52" i="13"/>
  <c r="R60" i="13"/>
  <c r="R68" i="13"/>
  <c r="R8" i="13"/>
  <c r="R14" i="13"/>
  <c r="R18" i="13"/>
  <c r="R22" i="13"/>
  <c r="R26" i="13"/>
  <c r="R30" i="13"/>
  <c r="R34" i="13"/>
  <c r="R38" i="13"/>
  <c r="R42" i="13"/>
  <c r="R46" i="13"/>
  <c r="R50" i="13"/>
  <c r="R54" i="13"/>
  <c r="R58" i="13"/>
  <c r="R62" i="13"/>
  <c r="R66" i="13"/>
  <c r="R70" i="13"/>
  <c r="R74" i="13"/>
  <c r="R6" i="13"/>
  <c r="R10" i="13"/>
  <c r="R15" i="13"/>
  <c r="R27" i="13"/>
  <c r="R35" i="13"/>
  <c r="R43" i="13"/>
  <c r="R51" i="13"/>
  <c r="R59" i="13"/>
  <c r="R67" i="13"/>
  <c r="R75" i="13"/>
  <c r="R7" i="13"/>
  <c r="R16" i="13"/>
  <c r="R24" i="13"/>
  <c r="R32" i="13"/>
  <c r="R40" i="13"/>
  <c r="R48" i="13"/>
  <c r="R56" i="13"/>
  <c r="R64" i="13"/>
  <c r="R72" i="13"/>
  <c r="R4" i="13"/>
  <c r="R12" i="13"/>
  <c r="R2" i="13"/>
  <c r="R76" i="13"/>
  <c r="L14" i="2"/>
  <c r="L13" i="2"/>
  <c r="L12" i="2"/>
  <c r="L11" i="2"/>
  <c r="L10" i="2"/>
  <c r="L15" i="2"/>
  <c r="K2" i="11"/>
  <c r="M2" i="11" s="1"/>
  <c r="K5" i="11"/>
  <c r="K9" i="11"/>
  <c r="K13" i="11"/>
  <c r="K17" i="11"/>
  <c r="K21" i="11"/>
  <c r="K25" i="11"/>
  <c r="K29" i="11"/>
  <c r="K33" i="11"/>
  <c r="K37" i="11"/>
  <c r="K41" i="11"/>
  <c r="K45" i="11"/>
  <c r="K49" i="11"/>
  <c r="K53" i="11"/>
  <c r="K57" i="11"/>
  <c r="K61" i="11"/>
  <c r="K65" i="11"/>
  <c r="K69" i="11"/>
  <c r="K73" i="11"/>
  <c r="K7" i="11"/>
  <c r="K15" i="11"/>
  <c r="K23" i="11"/>
  <c r="K31" i="11"/>
  <c r="K39" i="11"/>
  <c r="K47" i="11"/>
  <c r="K55" i="11"/>
  <c r="K63" i="11"/>
  <c r="K71" i="11"/>
  <c r="K6" i="11"/>
  <c r="K10" i="11"/>
  <c r="K14" i="11"/>
  <c r="K18" i="11"/>
  <c r="K22" i="11"/>
  <c r="K26" i="11"/>
  <c r="K30" i="11"/>
  <c r="K34" i="11"/>
  <c r="K38" i="11"/>
  <c r="K42" i="11"/>
  <c r="K46" i="11"/>
  <c r="K50" i="11"/>
  <c r="K54" i="11"/>
  <c r="K58" i="11"/>
  <c r="K62" i="11"/>
  <c r="K66" i="11"/>
  <c r="K70" i="11"/>
  <c r="K74" i="11"/>
  <c r="K3" i="11"/>
  <c r="K11" i="11"/>
  <c r="K19" i="11"/>
  <c r="K27" i="11"/>
  <c r="K35" i="11"/>
  <c r="K43" i="11"/>
  <c r="K51" i="11"/>
  <c r="K59" i="11"/>
  <c r="K67" i="11"/>
  <c r="K75" i="11"/>
  <c r="K76" i="11"/>
  <c r="K44" i="11"/>
  <c r="K28" i="11"/>
  <c r="K72" i="11"/>
  <c r="K56" i="11"/>
  <c r="K40" i="11"/>
  <c r="K24" i="11"/>
  <c r="K8" i="11"/>
  <c r="K68" i="11"/>
  <c r="K52" i="11"/>
  <c r="K36" i="11"/>
  <c r="K20" i="11"/>
  <c r="K4" i="11"/>
  <c r="K60" i="11"/>
  <c r="K12" i="11"/>
  <c r="K64" i="11"/>
  <c r="K48" i="11"/>
  <c r="K32" i="11"/>
  <c r="K16" i="11"/>
  <c r="L2" i="11"/>
  <c r="M76" i="10"/>
  <c r="M68" i="10"/>
  <c r="M60" i="10"/>
  <c r="M52" i="10"/>
  <c r="M44" i="10"/>
  <c r="M36" i="10"/>
  <c r="M28" i="10"/>
  <c r="M24" i="10"/>
  <c r="M16" i="10"/>
  <c r="M12" i="10"/>
  <c r="M75" i="10"/>
  <c r="M71" i="10"/>
  <c r="M67" i="10"/>
  <c r="M63" i="10"/>
  <c r="M59" i="10"/>
  <c r="M55" i="10"/>
  <c r="M51" i="10"/>
  <c r="M47" i="10"/>
  <c r="M43" i="10"/>
  <c r="M39" i="10"/>
  <c r="M35" i="10"/>
  <c r="M31" i="10"/>
  <c r="M27" i="10"/>
  <c r="M23" i="10"/>
  <c r="M19" i="10"/>
  <c r="M15" i="10"/>
  <c r="M11" i="10"/>
  <c r="M7" i="10"/>
  <c r="M3" i="10"/>
  <c r="M72" i="10"/>
  <c r="M64" i="10"/>
  <c r="M56" i="10"/>
  <c r="M48" i="10"/>
  <c r="M40" i="10"/>
  <c r="M32" i="10"/>
  <c r="M20" i="10"/>
  <c r="M8" i="10"/>
  <c r="K74" i="10"/>
  <c r="K70" i="10"/>
  <c r="K66" i="10"/>
  <c r="K62" i="10"/>
  <c r="K58" i="10"/>
  <c r="K54" i="10"/>
  <c r="K50" i="10"/>
  <c r="K46" i="10"/>
  <c r="K42" i="10"/>
  <c r="K38" i="10"/>
  <c r="K34" i="10"/>
  <c r="K30" i="10"/>
  <c r="K26" i="10"/>
  <c r="K22" i="10"/>
  <c r="K18" i="10"/>
  <c r="K14" i="10"/>
  <c r="K10" i="10"/>
  <c r="K6" i="10"/>
  <c r="L4" i="10"/>
  <c r="L2" i="10"/>
  <c r="K73" i="10"/>
  <c r="K69" i="10"/>
  <c r="K65" i="10"/>
  <c r="K61" i="10"/>
  <c r="K57" i="10"/>
  <c r="K53" i="10"/>
  <c r="K49" i="10"/>
  <c r="K45" i="10"/>
  <c r="K41" i="10"/>
  <c r="K37" i="10"/>
  <c r="K33" i="10"/>
  <c r="K29" i="10"/>
  <c r="K25" i="10"/>
  <c r="K21" i="10"/>
  <c r="K17" i="10"/>
  <c r="K13" i="10"/>
  <c r="K9" i="10"/>
  <c r="K5" i="10"/>
  <c r="L70" i="8"/>
  <c r="L26" i="8"/>
  <c r="L22" i="8"/>
  <c r="L73" i="8"/>
  <c r="L69" i="8"/>
  <c r="L61" i="8"/>
  <c r="L18" i="8"/>
  <c r="L17" i="8"/>
  <c r="M22" i="8"/>
  <c r="L24" i="8"/>
  <c r="M26" i="8"/>
  <c r="L28" i="8"/>
  <c r="L27" i="8"/>
  <c r="L41" i="8"/>
  <c r="L39" i="8"/>
  <c r="L40" i="8"/>
  <c r="L43" i="8"/>
  <c r="L47" i="8"/>
  <c r="L60" i="8"/>
  <c r="M61" i="8"/>
  <c r="L63" i="8"/>
  <c r="L67" i="8"/>
  <c r="L68" i="8"/>
  <c r="M69" i="8"/>
  <c r="M70" i="8"/>
  <c r="O12" i="8" s="1"/>
  <c r="S76" i="8" s="1"/>
  <c r="L71" i="8"/>
  <c r="L72" i="8"/>
  <c r="M73" i="8"/>
  <c r="L74" i="8"/>
  <c r="L75" i="8"/>
  <c r="L76" i="8"/>
  <c r="K2" i="4"/>
  <c r="K6" i="4"/>
  <c r="K10" i="4"/>
  <c r="K14" i="4"/>
  <c r="K18" i="4"/>
  <c r="K22" i="4"/>
  <c r="K26" i="4"/>
  <c r="K30" i="4"/>
  <c r="K34" i="4"/>
  <c r="K38" i="4"/>
  <c r="K42" i="4"/>
  <c r="K46" i="4"/>
  <c r="K50" i="4"/>
  <c r="K54" i="4"/>
  <c r="K58" i="4"/>
  <c r="K62" i="4"/>
  <c r="K66" i="4"/>
  <c r="K3" i="4"/>
  <c r="K7" i="4"/>
  <c r="K11" i="4"/>
  <c r="K15" i="4"/>
  <c r="K19" i="4"/>
  <c r="K23" i="4"/>
  <c r="K27" i="4"/>
  <c r="K31" i="4"/>
  <c r="K35" i="4"/>
  <c r="K39" i="4"/>
  <c r="K43" i="4"/>
  <c r="K47" i="4"/>
  <c r="K51" i="4"/>
  <c r="K55" i="4"/>
  <c r="K59" i="4"/>
  <c r="K63" i="4"/>
  <c r="K4" i="4"/>
  <c r="K8" i="4"/>
  <c r="K12" i="4"/>
  <c r="K16" i="4"/>
  <c r="K20" i="4"/>
  <c r="K24" i="4"/>
  <c r="K28" i="4"/>
  <c r="K32" i="4"/>
  <c r="K36" i="4"/>
  <c r="K40" i="4"/>
  <c r="K44" i="4"/>
  <c r="K48" i="4"/>
  <c r="K52" i="4"/>
  <c r="K56" i="4"/>
  <c r="K60" i="4"/>
  <c r="K64" i="4"/>
  <c r="K5" i="4"/>
  <c r="K9" i="4"/>
  <c r="K13" i="4"/>
  <c r="K17" i="4"/>
  <c r="K21" i="4"/>
  <c r="K25" i="4"/>
  <c r="K29" i="4"/>
  <c r="K33" i="4"/>
  <c r="K37" i="4"/>
  <c r="K41" i="4"/>
  <c r="K45" i="4"/>
  <c r="K49" i="4"/>
  <c r="K53" i="4"/>
  <c r="K57" i="4"/>
  <c r="K61" i="4"/>
  <c r="K65" i="4"/>
  <c r="M2" i="4"/>
  <c r="L2" i="4"/>
  <c r="L5" i="3"/>
  <c r="M5" i="3"/>
  <c r="K66" i="3"/>
  <c r="K62" i="3"/>
  <c r="K58" i="3"/>
  <c r="K54" i="3"/>
  <c r="K50" i="3"/>
  <c r="K46" i="3"/>
  <c r="K42" i="3"/>
  <c r="K38" i="3"/>
  <c r="K34" i="3"/>
  <c r="K30" i="3"/>
  <c r="K26" i="3"/>
  <c r="K22" i="3"/>
  <c r="K18" i="3"/>
  <c r="K14" i="3"/>
  <c r="K10" i="3"/>
  <c r="K6" i="3"/>
  <c r="K65" i="3"/>
  <c r="K61" i="3"/>
  <c r="K57" i="3"/>
  <c r="K53" i="3"/>
  <c r="K49" i="3"/>
  <c r="K45" i="3"/>
  <c r="K41" i="3"/>
  <c r="K37" i="3"/>
  <c r="K33" i="3"/>
  <c r="K29" i="3"/>
  <c r="K25" i="3"/>
  <c r="K21" i="3"/>
  <c r="K17" i="3"/>
  <c r="K13" i="3"/>
  <c r="K9" i="3"/>
  <c r="K2" i="3"/>
  <c r="M2" i="3" s="1"/>
  <c r="K4" i="3"/>
  <c r="K64" i="3"/>
  <c r="K60" i="3"/>
  <c r="K56" i="3"/>
  <c r="K52" i="3"/>
  <c r="K48" i="3"/>
  <c r="K44" i="3"/>
  <c r="K40" i="3"/>
  <c r="K36" i="3"/>
  <c r="K32" i="3"/>
  <c r="K28" i="3"/>
  <c r="K24" i="3"/>
  <c r="K20" i="3"/>
  <c r="K16" i="3"/>
  <c r="K12" i="3"/>
  <c r="K8" i="3"/>
  <c r="K3" i="3"/>
  <c r="K63" i="3"/>
  <c r="K59" i="3"/>
  <c r="K55" i="3"/>
  <c r="K51" i="3"/>
  <c r="K47" i="3"/>
  <c r="K43" i="3"/>
  <c r="K39" i="3"/>
  <c r="K35" i="3"/>
  <c r="K31" i="3"/>
  <c r="K27" i="3"/>
  <c r="K23" i="3"/>
  <c r="K19" i="3"/>
  <c r="K15" i="3"/>
  <c r="K11" i="3"/>
  <c r="K7" i="3"/>
  <c r="L57" i="2"/>
  <c r="L65" i="2"/>
  <c r="O7" i="2"/>
  <c r="S66" i="2" s="1"/>
  <c r="N7" i="2"/>
  <c r="M2" i="2"/>
  <c r="J31" i="1"/>
  <c r="J19" i="1"/>
  <c r="J11" i="1"/>
  <c r="I35" i="1"/>
  <c r="I31" i="1"/>
  <c r="I27" i="1"/>
  <c r="I23" i="1"/>
  <c r="I19" i="1"/>
  <c r="I15" i="1"/>
  <c r="I11" i="1"/>
  <c r="I7" i="1"/>
  <c r="L7" i="1" s="1"/>
  <c r="I3" i="1"/>
  <c r="J34" i="1"/>
  <c r="M34" i="1" s="1"/>
  <c r="J30" i="1"/>
  <c r="M30" i="1" s="1"/>
  <c r="J26" i="1"/>
  <c r="M26" i="1" s="1"/>
  <c r="J22" i="1"/>
  <c r="M22" i="1" s="1"/>
  <c r="J18" i="1"/>
  <c r="M18" i="1" s="1"/>
  <c r="J14" i="1"/>
  <c r="M14" i="1" s="1"/>
  <c r="J10" i="1"/>
  <c r="M10" i="1" s="1"/>
  <c r="J6" i="1"/>
  <c r="M6" i="1" s="1"/>
  <c r="K37" i="1"/>
  <c r="K33" i="1"/>
  <c r="K29" i="1"/>
  <c r="K25" i="1"/>
  <c r="K21" i="1"/>
  <c r="K17" i="1"/>
  <c r="K13" i="1"/>
  <c r="K9" i="1"/>
  <c r="K5" i="1"/>
  <c r="J27" i="1"/>
  <c r="J15" i="1"/>
  <c r="J3" i="1"/>
  <c r="I34" i="1"/>
  <c r="L34" i="1" s="1"/>
  <c r="I30" i="1"/>
  <c r="L30" i="1" s="1"/>
  <c r="I26" i="1"/>
  <c r="L26" i="1" s="1"/>
  <c r="I22" i="1"/>
  <c r="L22" i="1" s="1"/>
  <c r="I18" i="1"/>
  <c r="L18" i="1" s="1"/>
  <c r="I14" i="1"/>
  <c r="L14" i="1" s="1"/>
  <c r="I10" i="1"/>
  <c r="L10" i="1" s="1"/>
  <c r="I6" i="1"/>
  <c r="L6" i="1" s="1"/>
  <c r="J37" i="1"/>
  <c r="M37" i="1" s="1"/>
  <c r="J33" i="1"/>
  <c r="M33" i="1" s="1"/>
  <c r="J29" i="1"/>
  <c r="J25" i="1"/>
  <c r="M25" i="1" s="1"/>
  <c r="J21" i="1"/>
  <c r="M21" i="1" s="1"/>
  <c r="J17" i="1"/>
  <c r="M17" i="1" s="1"/>
  <c r="J13" i="1"/>
  <c r="J9" i="1"/>
  <c r="M9" i="1" s="1"/>
  <c r="J5" i="1"/>
  <c r="M5" i="1" s="1"/>
  <c r="K36" i="1"/>
  <c r="L36" i="1" s="1"/>
  <c r="K32" i="1"/>
  <c r="L32" i="1" s="1"/>
  <c r="K28" i="1"/>
  <c r="L28" i="1" s="1"/>
  <c r="K24" i="1"/>
  <c r="L24" i="1" s="1"/>
  <c r="K20" i="1"/>
  <c r="L20" i="1" s="1"/>
  <c r="K16" i="1"/>
  <c r="L16" i="1" s="1"/>
  <c r="K12" i="1"/>
  <c r="L12" i="1" s="1"/>
  <c r="K8" i="1"/>
  <c r="L8" i="1" s="1"/>
  <c r="K4" i="1"/>
  <c r="L4" i="1" s="1"/>
  <c r="J35" i="1"/>
  <c r="J23" i="1"/>
  <c r="J7" i="1"/>
  <c r="I37" i="1"/>
  <c r="I33" i="1"/>
  <c r="L33" i="1" s="1"/>
  <c r="I29" i="1"/>
  <c r="I25" i="1"/>
  <c r="L25" i="1" s="1"/>
  <c r="I21" i="1"/>
  <c r="L21" i="1" s="1"/>
  <c r="I17" i="1"/>
  <c r="L17" i="1" s="1"/>
  <c r="I13" i="1"/>
  <c r="I9" i="1"/>
  <c r="I5" i="1"/>
  <c r="L5" i="1" s="1"/>
  <c r="J36" i="1"/>
  <c r="J32" i="1"/>
  <c r="J28" i="1"/>
  <c r="M28" i="1" s="1"/>
  <c r="J24" i="1"/>
  <c r="J20" i="1"/>
  <c r="J16" i="1"/>
  <c r="M16" i="1" s="1"/>
  <c r="J12" i="1"/>
  <c r="J8" i="1"/>
  <c r="J4" i="1"/>
  <c r="K35" i="1"/>
  <c r="K31" i="1"/>
  <c r="K27" i="1"/>
  <c r="K23" i="1"/>
  <c r="K19" i="1"/>
  <c r="K15" i="1"/>
  <c r="K11" i="1"/>
  <c r="K7" i="1"/>
  <c r="K3" i="1"/>
  <c r="S41" i="14" l="1"/>
  <c r="S72" i="14"/>
  <c r="S57" i="14"/>
  <c r="S50" i="14"/>
  <c r="S25" i="14"/>
  <c r="S56" i="14"/>
  <c r="S73" i="14"/>
  <c r="S9" i="14"/>
  <c r="S39" i="14"/>
  <c r="S42" i="14"/>
  <c r="S69" i="14"/>
  <c r="S37" i="14"/>
  <c r="S5" i="14"/>
  <c r="S68" i="14"/>
  <c r="S36" i="14"/>
  <c r="S4" i="14"/>
  <c r="S59" i="14"/>
  <c r="S18" i="14"/>
  <c r="S65" i="14"/>
  <c r="S49" i="14"/>
  <c r="S33" i="14"/>
  <c r="S17" i="14"/>
  <c r="S70" i="14"/>
  <c r="S22" i="14"/>
  <c r="S64" i="14"/>
  <c r="S48" i="14"/>
  <c r="S32" i="14"/>
  <c r="S16" i="14"/>
  <c r="S74" i="14"/>
  <c r="S34" i="14"/>
  <c r="S71" i="14"/>
  <c r="S55" i="14"/>
  <c r="S27" i="14"/>
  <c r="S40" i="14"/>
  <c r="S24" i="14"/>
  <c r="S8" i="14"/>
  <c r="S54" i="14"/>
  <c r="S14" i="14"/>
  <c r="S63" i="14"/>
  <c r="S43" i="14"/>
  <c r="S38" i="14"/>
  <c r="S53" i="14"/>
  <c r="S21" i="14"/>
  <c r="S30" i="14"/>
  <c r="S52" i="14"/>
  <c r="S20" i="14"/>
  <c r="S46" i="14"/>
  <c r="S75" i="14"/>
  <c r="S66" i="14"/>
  <c r="S6" i="14"/>
  <c r="S61" i="14"/>
  <c r="S45" i="14"/>
  <c r="S29" i="14"/>
  <c r="S13" i="14"/>
  <c r="S58" i="14"/>
  <c r="S10" i="14"/>
  <c r="S60" i="14"/>
  <c r="S44" i="14"/>
  <c r="S28" i="14"/>
  <c r="S12" i="14"/>
  <c r="S62" i="14"/>
  <c r="S26" i="14"/>
  <c r="S67" i="14"/>
  <c r="S51" i="14"/>
  <c r="P7" i="15"/>
  <c r="R8" i="15"/>
  <c r="R12" i="15"/>
  <c r="R16" i="15"/>
  <c r="R20" i="15"/>
  <c r="R24" i="15"/>
  <c r="R28" i="15"/>
  <c r="R32" i="15"/>
  <c r="R36" i="15"/>
  <c r="R40" i="15"/>
  <c r="R44" i="15"/>
  <c r="R48" i="15"/>
  <c r="R52" i="15"/>
  <c r="R56" i="15"/>
  <c r="R60" i="15"/>
  <c r="R64" i="15"/>
  <c r="R68" i="15"/>
  <c r="R6" i="15"/>
  <c r="R9" i="15"/>
  <c r="R13" i="15"/>
  <c r="R17" i="15"/>
  <c r="R21" i="15"/>
  <c r="R25" i="15"/>
  <c r="R29" i="15"/>
  <c r="R33" i="15"/>
  <c r="R37" i="15"/>
  <c r="R41" i="15"/>
  <c r="R45" i="15"/>
  <c r="R49" i="15"/>
  <c r="R53" i="15"/>
  <c r="R57" i="15"/>
  <c r="R61" i="15"/>
  <c r="R65" i="15"/>
  <c r="R69" i="15"/>
  <c r="R3" i="15"/>
  <c r="R7" i="15"/>
  <c r="R10" i="15"/>
  <c r="R14" i="15"/>
  <c r="R18" i="15"/>
  <c r="R22" i="15"/>
  <c r="R26" i="15"/>
  <c r="R30" i="15"/>
  <c r="R34" i="15"/>
  <c r="R38" i="15"/>
  <c r="R42" i="15"/>
  <c r="R46" i="15"/>
  <c r="R50" i="15"/>
  <c r="R54" i="15"/>
  <c r="R58" i="15"/>
  <c r="R62" i="15"/>
  <c r="R66" i="15"/>
  <c r="R4" i="15"/>
  <c r="R11" i="15"/>
  <c r="R15" i="15"/>
  <c r="R19" i="15"/>
  <c r="R23" i="15"/>
  <c r="R27" i="15"/>
  <c r="R31" i="15"/>
  <c r="R35" i="15"/>
  <c r="R39" i="15"/>
  <c r="R43" i="15"/>
  <c r="R47" i="15"/>
  <c r="R51" i="15"/>
  <c r="R55" i="15"/>
  <c r="R59" i="15"/>
  <c r="R63" i="15"/>
  <c r="R67" i="15"/>
  <c r="R71" i="15"/>
  <c r="R5" i="15"/>
  <c r="R2" i="15"/>
  <c r="S23" i="14"/>
  <c r="S11" i="14"/>
  <c r="S7" i="14"/>
  <c r="S35" i="14"/>
  <c r="S19" i="14"/>
  <c r="S3" i="14"/>
  <c r="S47" i="14"/>
  <c r="S31" i="14"/>
  <c r="S15" i="14"/>
  <c r="Q12" i="14"/>
  <c r="S2" i="14"/>
  <c r="R76" i="14"/>
  <c r="P12" i="14"/>
  <c r="R13" i="14"/>
  <c r="R17" i="14"/>
  <c r="R21" i="14"/>
  <c r="R25" i="14"/>
  <c r="R29" i="14"/>
  <c r="R33" i="14"/>
  <c r="R37" i="14"/>
  <c r="R41" i="14"/>
  <c r="R45" i="14"/>
  <c r="R49" i="14"/>
  <c r="R53" i="14"/>
  <c r="R57" i="14"/>
  <c r="R61" i="14"/>
  <c r="R65" i="14"/>
  <c r="R69" i="14"/>
  <c r="R73" i="14"/>
  <c r="R5" i="14"/>
  <c r="R9" i="14"/>
  <c r="R24" i="14"/>
  <c r="R28" i="14"/>
  <c r="R40" i="14"/>
  <c r="R48" i="14"/>
  <c r="R60" i="14"/>
  <c r="R72" i="14"/>
  <c r="R12" i="14"/>
  <c r="R14" i="14"/>
  <c r="R18" i="14"/>
  <c r="R22" i="14"/>
  <c r="R26" i="14"/>
  <c r="R30" i="14"/>
  <c r="R34" i="14"/>
  <c r="R38" i="14"/>
  <c r="R42" i="14"/>
  <c r="R46" i="14"/>
  <c r="R50" i="14"/>
  <c r="R54" i="14"/>
  <c r="R58" i="14"/>
  <c r="R62" i="14"/>
  <c r="R66" i="14"/>
  <c r="R70" i="14"/>
  <c r="R74" i="14"/>
  <c r="R6" i="14"/>
  <c r="R10" i="14"/>
  <c r="R20" i="14"/>
  <c r="R32" i="14"/>
  <c r="R44" i="14"/>
  <c r="R52" i="14"/>
  <c r="R64" i="14"/>
  <c r="R4" i="14"/>
  <c r="R15" i="14"/>
  <c r="R19" i="14"/>
  <c r="R23" i="14"/>
  <c r="R27" i="14"/>
  <c r="R31" i="14"/>
  <c r="R35" i="14"/>
  <c r="R39" i="14"/>
  <c r="R43" i="14"/>
  <c r="R47" i="14"/>
  <c r="R51" i="14"/>
  <c r="R55" i="14"/>
  <c r="R59" i="14"/>
  <c r="R63" i="14"/>
  <c r="R67" i="14"/>
  <c r="R71" i="14"/>
  <c r="R75" i="14"/>
  <c r="R3" i="14"/>
  <c r="R7" i="14"/>
  <c r="R11" i="14"/>
  <c r="R16" i="14"/>
  <c r="R36" i="14"/>
  <c r="R56" i="14"/>
  <c r="R68" i="14"/>
  <c r="R8" i="14"/>
  <c r="Q12" i="13"/>
  <c r="S13" i="13"/>
  <c r="S17" i="13"/>
  <c r="S21" i="13"/>
  <c r="S25" i="13"/>
  <c r="S29" i="13"/>
  <c r="S33" i="13"/>
  <c r="S37" i="13"/>
  <c r="S41" i="13"/>
  <c r="S45" i="13"/>
  <c r="S49" i="13"/>
  <c r="S53" i="13"/>
  <c r="S57" i="13"/>
  <c r="S61" i="13"/>
  <c r="S65" i="13"/>
  <c r="S69" i="13"/>
  <c r="S73" i="13"/>
  <c r="S3" i="13"/>
  <c r="S7" i="13"/>
  <c r="S11" i="13"/>
  <c r="S19" i="13"/>
  <c r="S27" i="13"/>
  <c r="S35" i="13"/>
  <c r="S43" i="13"/>
  <c r="S51" i="13"/>
  <c r="S55" i="13"/>
  <c r="S63" i="13"/>
  <c r="S75" i="13"/>
  <c r="S5" i="13"/>
  <c r="S20" i="13"/>
  <c r="S24" i="13"/>
  <c r="S32" i="13"/>
  <c r="S40" i="13"/>
  <c r="S48" i="13"/>
  <c r="S60" i="13"/>
  <c r="S68" i="13"/>
  <c r="S10" i="13"/>
  <c r="S14" i="13"/>
  <c r="S18" i="13"/>
  <c r="S22" i="13"/>
  <c r="S26" i="13"/>
  <c r="S30" i="13"/>
  <c r="S34" i="13"/>
  <c r="S38" i="13"/>
  <c r="S42" i="13"/>
  <c r="S46" i="13"/>
  <c r="S50" i="13"/>
  <c r="S54" i="13"/>
  <c r="S58" i="13"/>
  <c r="S62" i="13"/>
  <c r="S66" i="13"/>
  <c r="S70" i="13"/>
  <c r="S74" i="13"/>
  <c r="S4" i="13"/>
  <c r="S8" i="13"/>
  <c r="S12" i="13"/>
  <c r="S15" i="13"/>
  <c r="S23" i="13"/>
  <c r="S31" i="13"/>
  <c r="S39" i="13"/>
  <c r="S47" i="13"/>
  <c r="S59" i="13"/>
  <c r="S67" i="13"/>
  <c r="S71" i="13"/>
  <c r="S9" i="13"/>
  <c r="S16" i="13"/>
  <c r="S28" i="13"/>
  <c r="S36" i="13"/>
  <c r="S44" i="13"/>
  <c r="S52" i="13"/>
  <c r="S56" i="13"/>
  <c r="S64" i="13"/>
  <c r="S72" i="13"/>
  <c r="S6" i="13"/>
  <c r="S2" i="13"/>
  <c r="M15" i="1"/>
  <c r="L9" i="1"/>
  <c r="L64" i="11"/>
  <c r="M64" i="11"/>
  <c r="L8" i="11"/>
  <c r="M8" i="11"/>
  <c r="L75" i="11"/>
  <c r="M75" i="11"/>
  <c r="M66" i="11"/>
  <c r="L66" i="11"/>
  <c r="M13" i="11"/>
  <c r="L13" i="11"/>
  <c r="L16" i="11"/>
  <c r="M16" i="11"/>
  <c r="L36" i="11"/>
  <c r="M36" i="11"/>
  <c r="L28" i="11"/>
  <c r="M28" i="11"/>
  <c r="L3" i="11"/>
  <c r="M3" i="11"/>
  <c r="M25" i="11"/>
  <c r="L25" i="11"/>
  <c r="L32" i="11"/>
  <c r="M32" i="11"/>
  <c r="L60" i="11"/>
  <c r="M60" i="11"/>
  <c r="L52" i="11"/>
  <c r="M52" i="11"/>
  <c r="L40" i="11"/>
  <c r="M40" i="11"/>
  <c r="L44" i="11"/>
  <c r="M44" i="11"/>
  <c r="L59" i="11"/>
  <c r="M59" i="11"/>
  <c r="L27" i="11"/>
  <c r="M27" i="11"/>
  <c r="M74" i="11"/>
  <c r="L74" i="11"/>
  <c r="M58" i="11"/>
  <c r="L58" i="11"/>
  <c r="M42" i="11"/>
  <c r="L42" i="11"/>
  <c r="M26" i="11"/>
  <c r="L26" i="11"/>
  <c r="M10" i="11"/>
  <c r="L10" i="11"/>
  <c r="L55" i="11"/>
  <c r="M55" i="11"/>
  <c r="L23" i="11"/>
  <c r="M23" i="11"/>
  <c r="M69" i="11"/>
  <c r="L69" i="11"/>
  <c r="M53" i="11"/>
  <c r="L53" i="11"/>
  <c r="M37" i="11"/>
  <c r="L37" i="11"/>
  <c r="M21" i="11"/>
  <c r="L21" i="11"/>
  <c r="M5" i="11"/>
  <c r="L5" i="11"/>
  <c r="L20" i="11"/>
  <c r="M20" i="11"/>
  <c r="L72" i="11"/>
  <c r="M72" i="11"/>
  <c r="L43" i="11"/>
  <c r="M43" i="11"/>
  <c r="L11" i="11"/>
  <c r="M11" i="11"/>
  <c r="M50" i="11"/>
  <c r="L50" i="11"/>
  <c r="M34" i="11"/>
  <c r="L34" i="11"/>
  <c r="M18" i="11"/>
  <c r="L18" i="11"/>
  <c r="L71" i="11"/>
  <c r="M71" i="11"/>
  <c r="L39" i="11"/>
  <c r="M39" i="11"/>
  <c r="L7" i="11"/>
  <c r="M7" i="11"/>
  <c r="M61" i="11"/>
  <c r="L61" i="11"/>
  <c r="M45" i="11"/>
  <c r="L45" i="11"/>
  <c r="M29" i="11"/>
  <c r="L29" i="11"/>
  <c r="L12" i="11"/>
  <c r="M12" i="11"/>
  <c r="L24" i="11"/>
  <c r="M24" i="11"/>
  <c r="L67" i="11"/>
  <c r="M67" i="11"/>
  <c r="L35" i="11"/>
  <c r="M35" i="11"/>
  <c r="M62" i="11"/>
  <c r="L62" i="11"/>
  <c r="M46" i="11"/>
  <c r="L46" i="11"/>
  <c r="M30" i="11"/>
  <c r="L30" i="11"/>
  <c r="M14" i="11"/>
  <c r="L14" i="11"/>
  <c r="L63" i="11"/>
  <c r="M63" i="11"/>
  <c r="L31" i="11"/>
  <c r="M31" i="11"/>
  <c r="M73" i="11"/>
  <c r="L73" i="11"/>
  <c r="M57" i="11"/>
  <c r="L57" i="11"/>
  <c r="M41" i="11"/>
  <c r="L41" i="11"/>
  <c r="M9" i="11"/>
  <c r="L9" i="11"/>
  <c r="L48" i="11"/>
  <c r="M48" i="11"/>
  <c r="L4" i="11"/>
  <c r="M4" i="11"/>
  <c r="L68" i="11"/>
  <c r="M68" i="11"/>
  <c r="L56" i="11"/>
  <c r="M56" i="11"/>
  <c r="L76" i="11"/>
  <c r="M76" i="11"/>
  <c r="L51" i="11"/>
  <c r="M51" i="11"/>
  <c r="L19" i="11"/>
  <c r="M19" i="11"/>
  <c r="M70" i="11"/>
  <c r="L70" i="11"/>
  <c r="M54" i="11"/>
  <c r="L54" i="11"/>
  <c r="M38" i="11"/>
  <c r="L38" i="11"/>
  <c r="M22" i="11"/>
  <c r="L22" i="11"/>
  <c r="M6" i="11"/>
  <c r="L6" i="11"/>
  <c r="L47" i="11"/>
  <c r="M47" i="11"/>
  <c r="L15" i="11"/>
  <c r="M15" i="11"/>
  <c r="M65" i="11"/>
  <c r="L65" i="11"/>
  <c r="M49" i="11"/>
  <c r="L49" i="11"/>
  <c r="M33" i="11"/>
  <c r="L33" i="11"/>
  <c r="M17" i="11"/>
  <c r="L17" i="11"/>
  <c r="M5" i="10"/>
  <c r="L5" i="10"/>
  <c r="M37" i="10"/>
  <c r="L37" i="10"/>
  <c r="M6" i="10"/>
  <c r="L6" i="10"/>
  <c r="L38" i="10"/>
  <c r="M38" i="10"/>
  <c r="L70" i="10"/>
  <c r="M70" i="10"/>
  <c r="M9" i="10"/>
  <c r="L9" i="10"/>
  <c r="M25" i="10"/>
  <c r="L25" i="10"/>
  <c r="M41" i="10"/>
  <c r="L41" i="10"/>
  <c r="M57" i="10"/>
  <c r="L57" i="10"/>
  <c r="M73" i="10"/>
  <c r="L73" i="10"/>
  <c r="M10" i="10"/>
  <c r="L10" i="10"/>
  <c r="M26" i="10"/>
  <c r="L26" i="10"/>
  <c r="M42" i="10"/>
  <c r="L42" i="10"/>
  <c r="L58" i="10"/>
  <c r="M58" i="10"/>
  <c r="M74" i="10"/>
  <c r="L74" i="10"/>
  <c r="M21" i="10"/>
  <c r="L21" i="10"/>
  <c r="M53" i="10"/>
  <c r="L53" i="10"/>
  <c r="M69" i="10"/>
  <c r="L69" i="10"/>
  <c r="M22" i="10"/>
  <c r="L22" i="10"/>
  <c r="M54" i="10"/>
  <c r="L54" i="10"/>
  <c r="M13" i="10"/>
  <c r="L13" i="10"/>
  <c r="M29" i="10"/>
  <c r="L29" i="10"/>
  <c r="M45" i="10"/>
  <c r="L45" i="10"/>
  <c r="M61" i="10"/>
  <c r="L61" i="10"/>
  <c r="M14" i="10"/>
  <c r="L14" i="10"/>
  <c r="M30" i="10"/>
  <c r="L30" i="10"/>
  <c r="M46" i="10"/>
  <c r="L46" i="10"/>
  <c r="M62" i="10"/>
  <c r="L62" i="10"/>
  <c r="M17" i="10"/>
  <c r="L17" i="10"/>
  <c r="M33" i="10"/>
  <c r="L33" i="10"/>
  <c r="M49" i="10"/>
  <c r="L49" i="10"/>
  <c r="M65" i="10"/>
  <c r="L65" i="10"/>
  <c r="L18" i="10"/>
  <c r="M18" i="10"/>
  <c r="M34" i="10"/>
  <c r="L34" i="10"/>
  <c r="M50" i="10"/>
  <c r="L50" i="10"/>
  <c r="M66" i="10"/>
  <c r="O12" i="10" s="1"/>
  <c r="S15" i="10" s="1"/>
  <c r="L66" i="10"/>
  <c r="N12" i="8"/>
  <c r="P12" i="8" s="1"/>
  <c r="R56" i="8"/>
  <c r="R40" i="8"/>
  <c r="R24" i="8"/>
  <c r="R7" i="8"/>
  <c r="R59" i="8"/>
  <c r="R27" i="8"/>
  <c r="R62" i="8"/>
  <c r="R68" i="8"/>
  <c r="R36" i="8"/>
  <c r="R3" i="8"/>
  <c r="R46" i="8"/>
  <c r="R2" i="8"/>
  <c r="R8" i="8"/>
  <c r="R64" i="8"/>
  <c r="R48" i="8"/>
  <c r="R32" i="8"/>
  <c r="R16" i="8"/>
  <c r="R75" i="8"/>
  <c r="R43" i="8"/>
  <c r="R10" i="8"/>
  <c r="R38" i="8"/>
  <c r="R12" i="8"/>
  <c r="R52" i="8"/>
  <c r="R20" i="8"/>
  <c r="R47" i="8"/>
  <c r="R15" i="8"/>
  <c r="R76" i="8"/>
  <c r="R4" i="8"/>
  <c r="R60" i="8"/>
  <c r="R44" i="8"/>
  <c r="R28" i="8"/>
  <c r="R11" i="8"/>
  <c r="R63" i="8"/>
  <c r="R31" i="8"/>
  <c r="R70" i="8"/>
  <c r="R65" i="8"/>
  <c r="R71" i="8"/>
  <c r="R55" i="8"/>
  <c r="R39" i="8"/>
  <c r="R23" i="8"/>
  <c r="R6" i="8"/>
  <c r="R58" i="8"/>
  <c r="R30" i="8"/>
  <c r="R67" i="8"/>
  <c r="R51" i="8"/>
  <c r="R35" i="8"/>
  <c r="R19" i="8"/>
  <c r="R74" i="8"/>
  <c r="R54" i="8"/>
  <c r="R14" i="8"/>
  <c r="R42" i="8"/>
  <c r="R22" i="8"/>
  <c r="R49" i="8"/>
  <c r="R66" i="8"/>
  <c r="R50" i="8"/>
  <c r="R34" i="8"/>
  <c r="R5" i="8"/>
  <c r="R18" i="8"/>
  <c r="R73" i="8"/>
  <c r="R33" i="8"/>
  <c r="R26" i="8"/>
  <c r="R9" i="8"/>
  <c r="R57" i="8"/>
  <c r="R21" i="8"/>
  <c r="R69" i="8"/>
  <c r="R41" i="8"/>
  <c r="R53" i="8"/>
  <c r="R37" i="8"/>
  <c r="R17" i="8"/>
  <c r="R61" i="8"/>
  <c r="R45" i="8"/>
  <c r="R29" i="8"/>
  <c r="S2" i="8"/>
  <c r="R13" i="8"/>
  <c r="R25" i="8"/>
  <c r="Q12" i="8"/>
  <c r="S13" i="8"/>
  <c r="S17" i="8"/>
  <c r="S21" i="8"/>
  <c r="S25" i="8"/>
  <c r="S29" i="8"/>
  <c r="S33" i="8"/>
  <c r="S37" i="8"/>
  <c r="S41" i="8"/>
  <c r="S45" i="8"/>
  <c r="S49" i="8"/>
  <c r="S53" i="8"/>
  <c r="S57" i="8"/>
  <c r="S61" i="8"/>
  <c r="S65" i="8"/>
  <c r="S69" i="8"/>
  <c r="S73" i="8"/>
  <c r="S3" i="8"/>
  <c r="S7" i="8"/>
  <c r="S11" i="8"/>
  <c r="S14" i="8"/>
  <c r="S18" i="8"/>
  <c r="S22" i="8"/>
  <c r="S26" i="8"/>
  <c r="S30" i="8"/>
  <c r="S34" i="8"/>
  <c r="S38" i="8"/>
  <c r="S42" i="8"/>
  <c r="S46" i="8"/>
  <c r="S50" i="8"/>
  <c r="S54" i="8"/>
  <c r="S58" i="8"/>
  <c r="S62" i="8"/>
  <c r="S66" i="8"/>
  <c r="S70" i="8"/>
  <c r="S74" i="8"/>
  <c r="S4" i="8"/>
  <c r="S8" i="8"/>
  <c r="S12" i="8"/>
  <c r="S15" i="8"/>
  <c r="S19" i="8"/>
  <c r="S23" i="8"/>
  <c r="S27" i="8"/>
  <c r="S31" i="8"/>
  <c r="S35" i="8"/>
  <c r="S39" i="8"/>
  <c r="S43" i="8"/>
  <c r="S47" i="8"/>
  <c r="S51" i="8"/>
  <c r="S55" i="8"/>
  <c r="S59" i="8"/>
  <c r="S63" i="8"/>
  <c r="S67" i="8"/>
  <c r="S71" i="8"/>
  <c r="S75" i="8"/>
  <c r="S5" i="8"/>
  <c r="S9" i="8"/>
  <c r="S16" i="8"/>
  <c r="S20" i="8"/>
  <c r="S24" i="8"/>
  <c r="S28" i="8"/>
  <c r="S32" i="8"/>
  <c r="S36" i="8"/>
  <c r="S40" i="8"/>
  <c r="S44" i="8"/>
  <c r="S48" i="8"/>
  <c r="S52" i="8"/>
  <c r="S56" i="8"/>
  <c r="S60" i="8"/>
  <c r="S64" i="8"/>
  <c r="S68" i="8"/>
  <c r="S72" i="8"/>
  <c r="S6" i="8"/>
  <c r="S10" i="8"/>
  <c r="M12" i="1"/>
  <c r="M65" i="4"/>
  <c r="L65" i="4"/>
  <c r="M49" i="4"/>
  <c r="L49" i="4"/>
  <c r="M33" i="4"/>
  <c r="L33" i="4"/>
  <c r="M17" i="4"/>
  <c r="L17" i="4"/>
  <c r="M56" i="4"/>
  <c r="L56" i="4"/>
  <c r="M40" i="4"/>
  <c r="L40" i="4"/>
  <c r="M24" i="4"/>
  <c r="L24" i="4"/>
  <c r="M8" i="4"/>
  <c r="L8" i="4"/>
  <c r="M63" i="4"/>
  <c r="L63" i="4"/>
  <c r="M47" i="4"/>
  <c r="L47" i="4"/>
  <c r="M31" i="4"/>
  <c r="L31" i="4"/>
  <c r="M15" i="4"/>
  <c r="L15" i="4"/>
  <c r="M62" i="4"/>
  <c r="L62" i="4"/>
  <c r="M46" i="4"/>
  <c r="L46" i="4"/>
  <c r="M30" i="4"/>
  <c r="L30" i="4"/>
  <c r="M14" i="4"/>
  <c r="L14" i="4"/>
  <c r="M61" i="4"/>
  <c r="L61" i="4"/>
  <c r="M45" i="4"/>
  <c r="L45" i="4"/>
  <c r="M29" i="4"/>
  <c r="L29" i="4"/>
  <c r="L13" i="4"/>
  <c r="M13" i="4"/>
  <c r="M52" i="4"/>
  <c r="L52" i="4"/>
  <c r="M36" i="4"/>
  <c r="L36" i="4"/>
  <c r="M20" i="4"/>
  <c r="L20" i="4"/>
  <c r="M4" i="4"/>
  <c r="L4" i="4"/>
  <c r="M59" i="4"/>
  <c r="L59" i="4"/>
  <c r="M43" i="4"/>
  <c r="L43" i="4"/>
  <c r="M27" i="4"/>
  <c r="L27" i="4"/>
  <c r="M11" i="4"/>
  <c r="L11" i="4"/>
  <c r="M58" i="4"/>
  <c r="L58" i="4"/>
  <c r="M42" i="4"/>
  <c r="L42" i="4"/>
  <c r="M26" i="4"/>
  <c r="L26" i="4"/>
  <c r="M10" i="4"/>
  <c r="L10" i="4"/>
  <c r="M57" i="4"/>
  <c r="L57" i="4"/>
  <c r="M41" i="4"/>
  <c r="L41" i="4"/>
  <c r="M25" i="4"/>
  <c r="L25" i="4"/>
  <c r="L9" i="4"/>
  <c r="M9" i="4"/>
  <c r="M64" i="4"/>
  <c r="L64" i="4"/>
  <c r="M48" i="4"/>
  <c r="L48" i="4"/>
  <c r="M32" i="4"/>
  <c r="L32" i="4"/>
  <c r="M16" i="4"/>
  <c r="L16" i="4"/>
  <c r="M55" i="4"/>
  <c r="L55" i="4"/>
  <c r="M39" i="4"/>
  <c r="L39" i="4"/>
  <c r="M23" i="4"/>
  <c r="L23" i="4"/>
  <c r="M7" i="4"/>
  <c r="L7" i="4"/>
  <c r="M54" i="4"/>
  <c r="L54" i="4"/>
  <c r="M38" i="4"/>
  <c r="L38" i="4"/>
  <c r="M22" i="4"/>
  <c r="L22" i="4"/>
  <c r="M6" i="4"/>
  <c r="L6" i="4"/>
  <c r="M53" i="4"/>
  <c r="L53" i="4"/>
  <c r="M37" i="4"/>
  <c r="L37" i="4"/>
  <c r="M21" i="4"/>
  <c r="L21" i="4"/>
  <c r="L5" i="4"/>
  <c r="M5" i="4"/>
  <c r="M60" i="4"/>
  <c r="L60" i="4"/>
  <c r="M44" i="4"/>
  <c r="L44" i="4"/>
  <c r="M28" i="4"/>
  <c r="L28" i="4"/>
  <c r="M12" i="4"/>
  <c r="L12" i="4"/>
  <c r="M51" i="4"/>
  <c r="L51" i="4"/>
  <c r="M35" i="4"/>
  <c r="L35" i="4"/>
  <c r="M19" i="4"/>
  <c r="L19" i="4"/>
  <c r="M3" i="4"/>
  <c r="L3" i="4"/>
  <c r="M66" i="4"/>
  <c r="L66" i="4"/>
  <c r="M50" i="4"/>
  <c r="L50" i="4"/>
  <c r="M34" i="4"/>
  <c r="L34" i="4"/>
  <c r="M18" i="4"/>
  <c r="L18" i="4"/>
  <c r="M15" i="3"/>
  <c r="L15" i="3"/>
  <c r="M31" i="3"/>
  <c r="L31" i="3"/>
  <c r="M47" i="3"/>
  <c r="L47" i="3"/>
  <c r="M63" i="3"/>
  <c r="L63" i="3"/>
  <c r="M8" i="3"/>
  <c r="L8" i="3"/>
  <c r="M24" i="3"/>
  <c r="L24" i="3"/>
  <c r="M40" i="3"/>
  <c r="L40" i="3"/>
  <c r="M56" i="3"/>
  <c r="L56" i="3"/>
  <c r="M4" i="3"/>
  <c r="L4" i="3"/>
  <c r="L17" i="3"/>
  <c r="M17" i="3"/>
  <c r="L33" i="3"/>
  <c r="M33" i="3"/>
  <c r="L49" i="3"/>
  <c r="M49" i="3"/>
  <c r="L65" i="3"/>
  <c r="M65" i="3"/>
  <c r="M10" i="3"/>
  <c r="L10" i="3"/>
  <c r="M26" i="3"/>
  <c r="L26" i="3"/>
  <c r="M42" i="3"/>
  <c r="L42" i="3"/>
  <c r="M58" i="3"/>
  <c r="L58" i="3"/>
  <c r="L2" i="3"/>
  <c r="M27" i="3"/>
  <c r="L27" i="3"/>
  <c r="M59" i="3"/>
  <c r="L59" i="3"/>
  <c r="M3" i="3"/>
  <c r="L3" i="3"/>
  <c r="M52" i="3"/>
  <c r="L52" i="3"/>
  <c r="L29" i="3"/>
  <c r="M29" i="3"/>
  <c r="L22" i="3"/>
  <c r="M22" i="3"/>
  <c r="M54" i="3"/>
  <c r="L54" i="3"/>
  <c r="M19" i="3"/>
  <c r="L19" i="3"/>
  <c r="M35" i="3"/>
  <c r="L35" i="3"/>
  <c r="M51" i="3"/>
  <c r="L51" i="3"/>
  <c r="M12" i="3"/>
  <c r="L12" i="3"/>
  <c r="M28" i="3"/>
  <c r="L28" i="3"/>
  <c r="M44" i="3"/>
  <c r="L44" i="3"/>
  <c r="M60" i="3"/>
  <c r="L60" i="3"/>
  <c r="L21" i="3"/>
  <c r="M21" i="3"/>
  <c r="L37" i="3"/>
  <c r="M37" i="3"/>
  <c r="L53" i="3"/>
  <c r="M53" i="3"/>
  <c r="L14" i="3"/>
  <c r="M14" i="3"/>
  <c r="L30" i="3"/>
  <c r="M30" i="3"/>
  <c r="M46" i="3"/>
  <c r="L46" i="3"/>
  <c r="M62" i="3"/>
  <c r="L62" i="3"/>
  <c r="M11" i="3"/>
  <c r="L11" i="3"/>
  <c r="M43" i="3"/>
  <c r="L43" i="3"/>
  <c r="M20" i="3"/>
  <c r="L20" i="3"/>
  <c r="M36" i="3"/>
  <c r="L36" i="3"/>
  <c r="L13" i="3"/>
  <c r="M13" i="3"/>
  <c r="L45" i="3"/>
  <c r="M45" i="3"/>
  <c r="L61" i="3"/>
  <c r="M61" i="3"/>
  <c r="L6" i="3"/>
  <c r="M6" i="3"/>
  <c r="L38" i="3"/>
  <c r="M38" i="3"/>
  <c r="M7" i="3"/>
  <c r="L7" i="3"/>
  <c r="M23" i="3"/>
  <c r="L23" i="3"/>
  <c r="M39" i="3"/>
  <c r="L39" i="3"/>
  <c r="M55" i="3"/>
  <c r="L55" i="3"/>
  <c r="M16" i="3"/>
  <c r="L16" i="3"/>
  <c r="M32" i="3"/>
  <c r="L32" i="3"/>
  <c r="M48" i="3"/>
  <c r="L48" i="3"/>
  <c r="M64" i="3"/>
  <c r="L64" i="3"/>
  <c r="L9" i="3"/>
  <c r="M9" i="3"/>
  <c r="L25" i="3"/>
  <c r="M25" i="3"/>
  <c r="L41" i="3"/>
  <c r="M41" i="3"/>
  <c r="L57" i="3"/>
  <c r="M57" i="3"/>
  <c r="M18" i="3"/>
  <c r="L18" i="3"/>
  <c r="M34" i="3"/>
  <c r="L34" i="3"/>
  <c r="M50" i="3"/>
  <c r="L50" i="3"/>
  <c r="M66" i="3"/>
  <c r="L66" i="3"/>
  <c r="S2" i="2"/>
  <c r="P7" i="2"/>
  <c r="R9" i="2"/>
  <c r="R13" i="2"/>
  <c r="R17" i="2"/>
  <c r="R21" i="2"/>
  <c r="R25" i="2"/>
  <c r="R29" i="2"/>
  <c r="R33" i="2"/>
  <c r="R37" i="2"/>
  <c r="R41" i="2"/>
  <c r="R45" i="2"/>
  <c r="R49" i="2"/>
  <c r="R53" i="2"/>
  <c r="R57" i="2"/>
  <c r="R61" i="2"/>
  <c r="R65" i="2"/>
  <c r="R4" i="2"/>
  <c r="R10" i="2"/>
  <c r="R14" i="2"/>
  <c r="R18" i="2"/>
  <c r="R22" i="2"/>
  <c r="R26" i="2"/>
  <c r="R30" i="2"/>
  <c r="R34" i="2"/>
  <c r="R38" i="2"/>
  <c r="R42" i="2"/>
  <c r="R46" i="2"/>
  <c r="R50" i="2"/>
  <c r="R54" i="2"/>
  <c r="R58" i="2"/>
  <c r="R62" i="2"/>
  <c r="R5" i="2"/>
  <c r="R11" i="2"/>
  <c r="R15" i="2"/>
  <c r="R19" i="2"/>
  <c r="R23" i="2"/>
  <c r="R27" i="2"/>
  <c r="R31" i="2"/>
  <c r="R35" i="2"/>
  <c r="R39" i="2"/>
  <c r="R43" i="2"/>
  <c r="R47" i="2"/>
  <c r="R51" i="2"/>
  <c r="R55" i="2"/>
  <c r="R59" i="2"/>
  <c r="R63" i="2"/>
  <c r="R6" i="2"/>
  <c r="R8" i="2"/>
  <c r="R12" i="2"/>
  <c r="R16" i="2"/>
  <c r="R20" i="2"/>
  <c r="R24" i="2"/>
  <c r="R28" i="2"/>
  <c r="R32" i="2"/>
  <c r="R36" i="2"/>
  <c r="R40" i="2"/>
  <c r="R44" i="2"/>
  <c r="R48" i="2"/>
  <c r="R52" i="2"/>
  <c r="R56" i="2"/>
  <c r="R60" i="2"/>
  <c r="R64" i="2"/>
  <c r="R3" i="2"/>
  <c r="R7" i="2"/>
  <c r="Q7" i="2"/>
  <c r="S8" i="2"/>
  <c r="S12" i="2"/>
  <c r="S16" i="2"/>
  <c r="S20" i="2"/>
  <c r="S24" i="2"/>
  <c r="S28" i="2"/>
  <c r="S32" i="2"/>
  <c r="S36" i="2"/>
  <c r="S40" i="2"/>
  <c r="S44" i="2"/>
  <c r="S48" i="2"/>
  <c r="S52" i="2"/>
  <c r="S56" i="2"/>
  <c r="S60" i="2"/>
  <c r="S64" i="2"/>
  <c r="S5" i="2"/>
  <c r="S9" i="2"/>
  <c r="S13" i="2"/>
  <c r="S17" i="2"/>
  <c r="S21" i="2"/>
  <c r="S25" i="2"/>
  <c r="S29" i="2"/>
  <c r="S33" i="2"/>
  <c r="S37" i="2"/>
  <c r="S41" i="2"/>
  <c r="S45" i="2"/>
  <c r="S49" i="2"/>
  <c r="S53" i="2"/>
  <c r="S57" i="2"/>
  <c r="S61" i="2"/>
  <c r="S65" i="2"/>
  <c r="S6" i="2"/>
  <c r="S10" i="2"/>
  <c r="S14" i="2"/>
  <c r="S18" i="2"/>
  <c r="S22" i="2"/>
  <c r="S26" i="2"/>
  <c r="S30" i="2"/>
  <c r="S34" i="2"/>
  <c r="S38" i="2"/>
  <c r="S42" i="2"/>
  <c r="S46" i="2"/>
  <c r="S50" i="2"/>
  <c r="S54" i="2"/>
  <c r="S58" i="2"/>
  <c r="S62" i="2"/>
  <c r="S3" i="2"/>
  <c r="S7" i="2"/>
  <c r="S11" i="2"/>
  <c r="S15" i="2"/>
  <c r="S19" i="2"/>
  <c r="S23" i="2"/>
  <c r="S27" i="2"/>
  <c r="S31" i="2"/>
  <c r="S35" i="2"/>
  <c r="S39" i="2"/>
  <c r="S43" i="2"/>
  <c r="S47" i="2"/>
  <c r="S51" i="2"/>
  <c r="S55" i="2"/>
  <c r="S59" i="2"/>
  <c r="S63" i="2"/>
  <c r="S4" i="2"/>
  <c r="R2" i="2"/>
  <c r="R66" i="2"/>
  <c r="M8" i="1"/>
  <c r="L23" i="1"/>
  <c r="M24" i="1"/>
  <c r="M32" i="1"/>
  <c r="L37" i="1"/>
  <c r="M7" i="1"/>
  <c r="M27" i="1"/>
  <c r="L11" i="1"/>
  <c r="L27" i="1"/>
  <c r="M19" i="1"/>
  <c r="L13" i="1"/>
  <c r="L29" i="1"/>
  <c r="M23" i="1"/>
  <c r="L15" i="1"/>
  <c r="L31" i="1"/>
  <c r="M31" i="1"/>
  <c r="M11" i="1"/>
  <c r="M4" i="1"/>
  <c r="M20" i="1"/>
  <c r="M36" i="1"/>
  <c r="M35" i="1"/>
  <c r="M13" i="1"/>
  <c r="M29" i="1"/>
  <c r="M3" i="1"/>
  <c r="L3" i="1"/>
  <c r="L19" i="1"/>
  <c r="L35" i="1"/>
  <c r="N12" i="11" l="1"/>
  <c r="O12" i="11"/>
  <c r="N12" i="10"/>
  <c r="S13" i="10"/>
  <c r="S23" i="10"/>
  <c r="S27" i="10"/>
  <c r="S31" i="10"/>
  <c r="S35" i="10"/>
  <c r="S39" i="10"/>
  <c r="S43" i="10"/>
  <c r="S47" i="10"/>
  <c r="S51" i="10"/>
  <c r="S55" i="10"/>
  <c r="S59" i="10"/>
  <c r="S63" i="10"/>
  <c r="S67" i="10"/>
  <c r="S71" i="10"/>
  <c r="S75" i="10"/>
  <c r="S3" i="10"/>
  <c r="S7" i="10"/>
  <c r="S11" i="10"/>
  <c r="S20" i="10"/>
  <c r="S24" i="10"/>
  <c r="S28" i="10"/>
  <c r="S32" i="10"/>
  <c r="S36" i="10"/>
  <c r="S40" i="10"/>
  <c r="S44" i="10"/>
  <c r="S48" i="10"/>
  <c r="S52" i="10"/>
  <c r="S56" i="10"/>
  <c r="S60" i="10"/>
  <c r="S64" i="10"/>
  <c r="S68" i="10"/>
  <c r="S72" i="10"/>
  <c r="S4" i="10"/>
  <c r="S8" i="10"/>
  <c r="S12" i="10"/>
  <c r="S21" i="10"/>
  <c r="S25" i="10"/>
  <c r="S29" i="10"/>
  <c r="S33" i="10"/>
  <c r="S37" i="10"/>
  <c r="S41" i="10"/>
  <c r="S45" i="10"/>
  <c r="S49" i="10"/>
  <c r="S53" i="10"/>
  <c r="S57" i="10"/>
  <c r="S61" i="10"/>
  <c r="S65" i="10"/>
  <c r="S69" i="10"/>
  <c r="S73" i="10"/>
  <c r="S5" i="10"/>
  <c r="S9" i="10"/>
  <c r="S10" i="10"/>
  <c r="S22" i="10"/>
  <c r="S26" i="10"/>
  <c r="S30" i="10"/>
  <c r="S34" i="10"/>
  <c r="S38" i="10"/>
  <c r="S42" i="10"/>
  <c r="S46" i="10"/>
  <c r="S50" i="10"/>
  <c r="S54" i="10"/>
  <c r="S58" i="10"/>
  <c r="S62" i="10"/>
  <c r="S66" i="10"/>
  <c r="S70" i="10"/>
  <c r="S74" i="10"/>
  <c r="S6" i="10"/>
  <c r="S76" i="10"/>
  <c r="P12" i="10"/>
  <c r="R21" i="10"/>
  <c r="R25" i="10"/>
  <c r="R29" i="10"/>
  <c r="R33" i="10"/>
  <c r="R37" i="10"/>
  <c r="R41" i="10"/>
  <c r="R45" i="10"/>
  <c r="R49" i="10"/>
  <c r="R53" i="10"/>
  <c r="R57" i="10"/>
  <c r="R61" i="10"/>
  <c r="R65" i="10"/>
  <c r="R69" i="10"/>
  <c r="R73" i="10"/>
  <c r="R5" i="10"/>
  <c r="R9" i="10"/>
  <c r="R12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6" i="10"/>
  <c r="R10" i="10"/>
  <c r="R4" i="10"/>
  <c r="R13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3" i="10"/>
  <c r="R7" i="10"/>
  <c r="R11" i="10"/>
  <c r="R20" i="10"/>
  <c r="R24" i="10"/>
  <c r="R28" i="10"/>
  <c r="R32" i="10"/>
  <c r="R36" i="10"/>
  <c r="R40" i="10"/>
  <c r="R44" i="10"/>
  <c r="R48" i="10"/>
  <c r="R52" i="10"/>
  <c r="R56" i="10"/>
  <c r="R60" i="10"/>
  <c r="R64" i="10"/>
  <c r="R68" i="10"/>
  <c r="R72" i="10"/>
  <c r="R76" i="10"/>
  <c r="R8" i="10"/>
  <c r="R16" i="10"/>
  <c r="R15" i="10"/>
  <c r="R19" i="10"/>
  <c r="S18" i="10"/>
  <c r="R17" i="10"/>
  <c r="R14" i="10"/>
  <c r="S19" i="10"/>
  <c r="R18" i="10"/>
  <c r="S17" i="10"/>
  <c r="S14" i="10"/>
  <c r="S16" i="10"/>
  <c r="Q12" i="10"/>
  <c r="S2" i="10"/>
  <c r="R2" i="10"/>
  <c r="R72" i="8"/>
  <c r="N7" i="4"/>
  <c r="P7" i="4" s="1"/>
  <c r="O7" i="4"/>
  <c r="Q7" i="4" s="1"/>
  <c r="R32" i="4"/>
  <c r="R64" i="4"/>
  <c r="R25" i="4"/>
  <c r="R57" i="4"/>
  <c r="R26" i="4"/>
  <c r="R58" i="4"/>
  <c r="R11" i="4"/>
  <c r="R43" i="4"/>
  <c r="R4" i="4"/>
  <c r="R36" i="4"/>
  <c r="R29" i="4"/>
  <c r="R61" i="4"/>
  <c r="R30" i="4"/>
  <c r="R62" i="4"/>
  <c r="R15" i="4"/>
  <c r="R47" i="4"/>
  <c r="R8" i="4"/>
  <c r="R40" i="4"/>
  <c r="R33" i="4"/>
  <c r="R65" i="4"/>
  <c r="O7" i="3"/>
  <c r="Q7" i="3" s="1"/>
  <c r="S54" i="3"/>
  <c r="S33" i="3"/>
  <c r="N7" i="3"/>
  <c r="R14" i="3" s="1"/>
  <c r="S2" i="3"/>
  <c r="N5" i="1"/>
  <c r="R31" i="1" s="1"/>
  <c r="O5" i="1"/>
  <c r="R13" i="11" l="1"/>
  <c r="R17" i="11"/>
  <c r="R21" i="11"/>
  <c r="R25" i="11"/>
  <c r="R29" i="11"/>
  <c r="R33" i="11"/>
  <c r="R37" i="11"/>
  <c r="R41" i="11"/>
  <c r="R45" i="11"/>
  <c r="R49" i="11"/>
  <c r="R53" i="11"/>
  <c r="R57" i="11"/>
  <c r="R61" i="11"/>
  <c r="R65" i="11"/>
  <c r="R69" i="11"/>
  <c r="R73" i="11"/>
  <c r="R5" i="11"/>
  <c r="R9" i="11"/>
  <c r="R14" i="11"/>
  <c r="R18" i="11"/>
  <c r="R22" i="11"/>
  <c r="R26" i="11"/>
  <c r="R30" i="11"/>
  <c r="R34" i="11"/>
  <c r="R38" i="11"/>
  <c r="R42" i="11"/>
  <c r="R46" i="11"/>
  <c r="R50" i="11"/>
  <c r="R54" i="11"/>
  <c r="R58" i="11"/>
  <c r="R62" i="11"/>
  <c r="R66" i="11"/>
  <c r="R70" i="11"/>
  <c r="R74" i="11"/>
  <c r="R6" i="11"/>
  <c r="R10" i="11"/>
  <c r="R15" i="11"/>
  <c r="R19" i="11"/>
  <c r="R23" i="11"/>
  <c r="R27" i="11"/>
  <c r="R31" i="11"/>
  <c r="R35" i="11"/>
  <c r="R39" i="11"/>
  <c r="R43" i="11"/>
  <c r="R47" i="11"/>
  <c r="R51" i="11"/>
  <c r="R55" i="11"/>
  <c r="R59" i="11"/>
  <c r="R63" i="11"/>
  <c r="R67" i="11"/>
  <c r="R71" i="11"/>
  <c r="R75" i="11"/>
  <c r="R3" i="11"/>
  <c r="R7" i="11"/>
  <c r="R11" i="11"/>
  <c r="R16" i="11"/>
  <c r="R20" i="11"/>
  <c r="R24" i="11"/>
  <c r="R28" i="11"/>
  <c r="R32" i="11"/>
  <c r="R36" i="11"/>
  <c r="R40" i="11"/>
  <c r="R44" i="11"/>
  <c r="R48" i="11"/>
  <c r="R52" i="11"/>
  <c r="R56" i="11"/>
  <c r="R60" i="11"/>
  <c r="R64" i="11"/>
  <c r="R68" i="11"/>
  <c r="R72" i="11"/>
  <c r="R4" i="11"/>
  <c r="R8" i="11"/>
  <c r="R12" i="11"/>
  <c r="Q12" i="11"/>
  <c r="S13" i="11"/>
  <c r="S17" i="11"/>
  <c r="S21" i="11"/>
  <c r="S25" i="11"/>
  <c r="S29" i="11"/>
  <c r="S33" i="11"/>
  <c r="S37" i="11"/>
  <c r="S41" i="11"/>
  <c r="S45" i="11"/>
  <c r="S49" i="11"/>
  <c r="S53" i="11"/>
  <c r="S57" i="11"/>
  <c r="S61" i="11"/>
  <c r="S65" i="11"/>
  <c r="S69" i="11"/>
  <c r="S73" i="11"/>
  <c r="S3" i="11"/>
  <c r="S7" i="11"/>
  <c r="S11" i="11"/>
  <c r="S14" i="11"/>
  <c r="S18" i="11"/>
  <c r="S22" i="11"/>
  <c r="S26" i="11"/>
  <c r="S30" i="11"/>
  <c r="S34" i="11"/>
  <c r="S38" i="11"/>
  <c r="S42" i="11"/>
  <c r="S46" i="11"/>
  <c r="S50" i="11"/>
  <c r="S54" i="11"/>
  <c r="S58" i="11"/>
  <c r="S62" i="11"/>
  <c r="S66" i="11"/>
  <c r="S70" i="11"/>
  <c r="S74" i="11"/>
  <c r="S4" i="11"/>
  <c r="S8" i="11"/>
  <c r="S12" i="11"/>
  <c r="S15" i="11"/>
  <c r="S19" i="11"/>
  <c r="S23" i="11"/>
  <c r="S27" i="11"/>
  <c r="S31" i="11"/>
  <c r="S35" i="11"/>
  <c r="S39" i="11"/>
  <c r="S43" i="11"/>
  <c r="S47" i="11"/>
  <c r="S51" i="11"/>
  <c r="S55" i="11"/>
  <c r="S59" i="11"/>
  <c r="S63" i="11"/>
  <c r="S67" i="11"/>
  <c r="S71" i="11"/>
  <c r="S75" i="11"/>
  <c r="S5" i="11"/>
  <c r="S9" i="11"/>
  <c r="S16" i="11"/>
  <c r="S20" i="11"/>
  <c r="S24" i="11"/>
  <c r="S28" i="11"/>
  <c r="S32" i="11"/>
  <c r="S36" i="11"/>
  <c r="S40" i="11"/>
  <c r="S44" i="11"/>
  <c r="S48" i="11"/>
  <c r="S52" i="11"/>
  <c r="S56" i="11"/>
  <c r="S60" i="11"/>
  <c r="S64" i="11"/>
  <c r="S68" i="11"/>
  <c r="S72" i="11"/>
  <c r="S6" i="11"/>
  <c r="S10" i="11"/>
  <c r="R76" i="11"/>
  <c r="S2" i="11"/>
  <c r="S76" i="11"/>
  <c r="P12" i="11"/>
  <c r="R2" i="11"/>
  <c r="R39" i="4"/>
  <c r="R7" i="4"/>
  <c r="R54" i="4"/>
  <c r="R22" i="4"/>
  <c r="R9" i="4"/>
  <c r="S21" i="4"/>
  <c r="R28" i="4"/>
  <c r="S53" i="4"/>
  <c r="S3" i="4"/>
  <c r="S2" i="4"/>
  <c r="S28" i="4"/>
  <c r="S49" i="4"/>
  <c r="S24" i="4"/>
  <c r="S63" i="4"/>
  <c r="R13" i="4"/>
  <c r="S42" i="4"/>
  <c r="S16" i="4"/>
  <c r="S55" i="4"/>
  <c r="R21" i="4"/>
  <c r="R49" i="4"/>
  <c r="R24" i="4"/>
  <c r="R63" i="4"/>
  <c r="S13" i="4"/>
  <c r="R42" i="4"/>
  <c r="R16" i="4"/>
  <c r="R55" i="4"/>
  <c r="R5" i="4"/>
  <c r="S30" i="4"/>
  <c r="S61" i="4"/>
  <c r="S4" i="4"/>
  <c r="S43" i="4"/>
  <c r="S64" i="4"/>
  <c r="S22" i="4"/>
  <c r="R37" i="4"/>
  <c r="R19" i="4"/>
  <c r="R66" i="4"/>
  <c r="R2" i="4"/>
  <c r="R3" i="4"/>
  <c r="S35" i="4"/>
  <c r="S17" i="4"/>
  <c r="S31" i="4"/>
  <c r="S52" i="4"/>
  <c r="S10" i="4"/>
  <c r="S41" i="4"/>
  <c r="S23" i="4"/>
  <c r="R60" i="4"/>
  <c r="R17" i="4"/>
  <c r="R31" i="4"/>
  <c r="R52" i="4"/>
  <c r="R10" i="4"/>
  <c r="R41" i="4"/>
  <c r="R23" i="4"/>
  <c r="S44" i="4"/>
  <c r="S40" i="4"/>
  <c r="S29" i="4"/>
  <c r="S11" i="4"/>
  <c r="S58" i="4"/>
  <c r="S32" i="4"/>
  <c r="S5" i="4"/>
  <c r="R34" i="4"/>
  <c r="S50" i="4"/>
  <c r="S46" i="4"/>
  <c r="S20" i="4"/>
  <c r="S59" i="4"/>
  <c r="S38" i="4"/>
  <c r="R46" i="4"/>
  <c r="R20" i="4"/>
  <c r="R59" i="4"/>
  <c r="S9" i="4"/>
  <c r="R38" i="4"/>
  <c r="S12" i="4"/>
  <c r="S51" i="4"/>
  <c r="S65" i="4"/>
  <c r="S8" i="4"/>
  <c r="S47" i="4"/>
  <c r="S26" i="4"/>
  <c r="S57" i="4"/>
  <c r="S39" i="4"/>
  <c r="R44" i="4"/>
  <c r="S34" i="4"/>
  <c r="S18" i="4"/>
  <c r="S60" i="4"/>
  <c r="S56" i="4"/>
  <c r="S14" i="4"/>
  <c r="S45" i="4"/>
  <c r="S27" i="4"/>
  <c r="S48" i="4"/>
  <c r="S6" i="4"/>
  <c r="R53" i="4"/>
  <c r="R56" i="4"/>
  <c r="R14" i="4"/>
  <c r="R45" i="4"/>
  <c r="R27" i="4"/>
  <c r="R48" i="4"/>
  <c r="R6" i="4"/>
  <c r="S37" i="4"/>
  <c r="S19" i="4"/>
  <c r="S66" i="4"/>
  <c r="S33" i="4"/>
  <c r="S15" i="4"/>
  <c r="S62" i="4"/>
  <c r="S36" i="4"/>
  <c r="S25" i="4"/>
  <c r="S7" i="4"/>
  <c r="S54" i="4"/>
  <c r="R12" i="4"/>
  <c r="R51" i="4"/>
  <c r="R50" i="4"/>
  <c r="R35" i="4"/>
  <c r="R18" i="4"/>
  <c r="S12" i="3"/>
  <c r="S65" i="3"/>
  <c r="S59" i="3"/>
  <c r="S44" i="3"/>
  <c r="S52" i="3"/>
  <c r="S46" i="3"/>
  <c r="S6" i="3"/>
  <c r="S63" i="3"/>
  <c r="S8" i="3"/>
  <c r="S37" i="3"/>
  <c r="S9" i="3"/>
  <c r="S14" i="3"/>
  <c r="S41" i="3"/>
  <c r="S40" i="3"/>
  <c r="S7" i="3"/>
  <c r="S35" i="3"/>
  <c r="S45" i="3"/>
  <c r="S31" i="3"/>
  <c r="S26" i="3"/>
  <c r="S16" i="3"/>
  <c r="S43" i="3"/>
  <c r="S48" i="3"/>
  <c r="S58" i="3"/>
  <c r="S20" i="3"/>
  <c r="S17" i="3"/>
  <c r="S39" i="3"/>
  <c r="S49" i="3"/>
  <c r="S3" i="3"/>
  <c r="S50" i="3"/>
  <c r="S19" i="3"/>
  <c r="S60" i="3"/>
  <c r="S18" i="3"/>
  <c r="S27" i="3"/>
  <c r="S62" i="3"/>
  <c r="S51" i="3"/>
  <c r="S13" i="3"/>
  <c r="S28" i="3"/>
  <c r="S61" i="3"/>
  <c r="R56" i="3"/>
  <c r="S38" i="3"/>
  <c r="R47" i="3"/>
  <c r="R36" i="3"/>
  <c r="R24" i="3"/>
  <c r="R37" i="3"/>
  <c r="S47" i="3"/>
  <c r="R10" i="3"/>
  <c r="R15" i="3"/>
  <c r="R42" i="3"/>
  <c r="R66" i="3"/>
  <c r="R44" i="3"/>
  <c r="R63" i="3"/>
  <c r="R40" i="3"/>
  <c r="S57" i="3"/>
  <c r="R50" i="3"/>
  <c r="S15" i="3"/>
  <c r="R65" i="3"/>
  <c r="S42" i="3"/>
  <c r="R27" i="3"/>
  <c r="S29" i="3"/>
  <c r="R19" i="3"/>
  <c r="R45" i="3"/>
  <c r="S66" i="3"/>
  <c r="R23" i="3"/>
  <c r="R17" i="3"/>
  <c r="R52" i="3"/>
  <c r="R54" i="3"/>
  <c r="R46" i="3"/>
  <c r="R38" i="3"/>
  <c r="R25" i="3"/>
  <c r="R26" i="3"/>
  <c r="R29" i="3"/>
  <c r="R20" i="3"/>
  <c r="R7" i="3"/>
  <c r="S24" i="3"/>
  <c r="R51" i="3"/>
  <c r="R28" i="3"/>
  <c r="S21" i="3"/>
  <c r="S36" i="3"/>
  <c r="S23" i="3"/>
  <c r="P7" i="3"/>
  <c r="R5" i="3"/>
  <c r="R4" i="3"/>
  <c r="R11" i="3"/>
  <c r="R55" i="3"/>
  <c r="R32" i="3"/>
  <c r="R49" i="3"/>
  <c r="R2" i="3"/>
  <c r="R13" i="3"/>
  <c r="R57" i="3"/>
  <c r="R58" i="3"/>
  <c r="R21" i="3"/>
  <c r="R39" i="3"/>
  <c r="R16" i="3"/>
  <c r="S4" i="3"/>
  <c r="R3" i="3"/>
  <c r="S22" i="3"/>
  <c r="R60" i="3"/>
  <c r="S53" i="3"/>
  <c r="S30" i="3"/>
  <c r="S11" i="3"/>
  <c r="R6" i="3"/>
  <c r="S55" i="3"/>
  <c r="S32" i="3"/>
  <c r="R9" i="3"/>
  <c r="R64" i="3"/>
  <c r="R34" i="3"/>
  <c r="R59" i="3"/>
  <c r="R35" i="3"/>
  <c r="R12" i="3"/>
  <c r="R61" i="3"/>
  <c r="R31" i="3"/>
  <c r="R8" i="3"/>
  <c r="R22" i="3"/>
  <c r="R53" i="3"/>
  <c r="R30" i="3"/>
  <c r="R43" i="3"/>
  <c r="R48" i="3"/>
  <c r="S25" i="3"/>
  <c r="R18" i="3"/>
  <c r="S56" i="3"/>
  <c r="R33" i="3"/>
  <c r="S10" i="3"/>
  <c r="R62" i="3"/>
  <c r="S64" i="3"/>
  <c r="R41" i="3"/>
  <c r="S34" i="3"/>
  <c r="S5" i="3"/>
  <c r="S6" i="1"/>
  <c r="S10" i="1"/>
  <c r="S14" i="1"/>
  <c r="S18" i="1"/>
  <c r="S22" i="1"/>
  <c r="S26" i="1"/>
  <c r="S30" i="1"/>
  <c r="S34" i="1"/>
  <c r="S3" i="1"/>
  <c r="S4" i="1"/>
  <c r="S8" i="1"/>
  <c r="S16" i="1"/>
  <c r="S20" i="1"/>
  <c r="S28" i="1"/>
  <c r="S36" i="1"/>
  <c r="S9" i="1"/>
  <c r="S17" i="1"/>
  <c r="S25" i="1"/>
  <c r="S29" i="1"/>
  <c r="S7" i="1"/>
  <c r="S11" i="1"/>
  <c r="S15" i="1"/>
  <c r="S19" i="1"/>
  <c r="S23" i="1"/>
  <c r="S27" i="1"/>
  <c r="S31" i="1"/>
  <c r="S35" i="1"/>
  <c r="S12" i="1"/>
  <c r="S24" i="1"/>
  <c r="S32" i="1"/>
  <c r="S5" i="1"/>
  <c r="S13" i="1"/>
  <c r="S21" i="1"/>
  <c r="S33" i="1"/>
  <c r="S37" i="1"/>
  <c r="P5" i="1"/>
  <c r="R32" i="1"/>
  <c r="R8" i="1"/>
  <c r="R5" i="1"/>
  <c r="R9" i="1"/>
  <c r="R34" i="1"/>
  <c r="R14" i="1"/>
  <c r="R26" i="1"/>
  <c r="R4" i="1"/>
  <c r="R16" i="1"/>
  <c r="R30" i="1"/>
  <c r="R25" i="1"/>
  <c r="R21" i="1"/>
  <c r="R6" i="1"/>
  <c r="R7" i="1"/>
  <c r="R10" i="1"/>
  <c r="R20" i="1"/>
  <c r="R12" i="1"/>
  <c r="R23" i="1"/>
  <c r="R22" i="1"/>
  <c r="R17" i="1"/>
  <c r="R36" i="1"/>
  <c r="R28" i="1"/>
  <c r="R24" i="1"/>
  <c r="R18" i="1"/>
  <c r="R2" i="1"/>
  <c r="R37" i="1"/>
  <c r="R33" i="1"/>
  <c r="R15" i="1"/>
  <c r="R11" i="1"/>
  <c r="R27" i="1"/>
  <c r="R35" i="1"/>
  <c r="R13" i="1"/>
  <c r="R29" i="1"/>
  <c r="Q5" i="1"/>
  <c r="S2" i="1"/>
  <c r="R3" i="1"/>
  <c r="R19" i="1"/>
</calcChain>
</file>

<file path=xl/sharedStrings.xml><?xml version="1.0" encoding="utf-8"?>
<sst xmlns="http://schemas.openxmlformats.org/spreadsheetml/2006/main" count="150" uniqueCount="17">
  <si>
    <t>Time [s]</t>
  </si>
  <si>
    <t>Adjusted time [s]</t>
  </si>
  <si>
    <t xml:space="preserve">Intensity Region 1 </t>
  </si>
  <si>
    <t>Intensity Region 2</t>
  </si>
  <si>
    <t xml:space="preserve">Intensity Region 3 </t>
  </si>
  <si>
    <t>Average Region 1</t>
  </si>
  <si>
    <t>Average Region 2</t>
  </si>
  <si>
    <t>Average Region 3</t>
  </si>
  <si>
    <t>Normalized Region 1</t>
  </si>
  <si>
    <t>Normalized Region 2</t>
  </si>
  <si>
    <t>Normalized Region 3</t>
  </si>
  <si>
    <t>Normalized 2 Region 1</t>
  </si>
  <si>
    <t>Normalized 2 Region 2</t>
  </si>
  <si>
    <t>R(t) Region 1</t>
  </si>
  <si>
    <t>R(t) Region 2</t>
  </si>
  <si>
    <t>Intensity Region 1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</si>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</sst>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YS_40kDa_1!$R$1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YS_40kDa_1!$B$2:$B$47</c:f>
              <c:numCache>
                <c:formatCode>General</c:formatCode>
                <c:ptCount val="46"/>
                <c:pt idx="0">
                  <c:v>-6.1920000000000002</c:v>
                </c:pt>
                <c:pt idx="1">
                  <c:v>-5.1890999999999998</c:v>
                </c:pt>
                <c:pt idx="2">
                  <c:v>-4.1889000000000003</c:v>
                </c:pt>
                <c:pt idx="3">
                  <c:v>0</c:v>
                </c:pt>
                <c:pt idx="4">
                  <c:v>1.0026000000000002</c:v>
                </c:pt>
                <c:pt idx="5">
                  <c:v>2.0028000000000006</c:v>
                </c:pt>
                <c:pt idx="6">
                  <c:v>3.0029000000000003</c:v>
                </c:pt>
                <c:pt idx="7">
                  <c:v>4.0029000000000003</c:v>
                </c:pt>
                <c:pt idx="8">
                  <c:v>5.0023</c:v>
                </c:pt>
                <c:pt idx="9">
                  <c:v>6.0031999999999996</c:v>
                </c:pt>
                <c:pt idx="10">
                  <c:v>7.0025999999999993</c:v>
                </c:pt>
                <c:pt idx="11">
                  <c:v>8.0029000000000003</c:v>
                </c:pt>
                <c:pt idx="12">
                  <c:v>9.0029000000000003</c:v>
                </c:pt>
                <c:pt idx="13">
                  <c:v>10.002800000000001</c:v>
                </c:pt>
                <c:pt idx="14">
                  <c:v>11.002800000000001</c:v>
                </c:pt>
                <c:pt idx="15">
                  <c:v>12.002700000000001</c:v>
                </c:pt>
                <c:pt idx="16">
                  <c:v>13.002800000000001</c:v>
                </c:pt>
                <c:pt idx="17">
                  <c:v>14.0032</c:v>
                </c:pt>
                <c:pt idx="18">
                  <c:v>15.002700000000001</c:v>
                </c:pt>
                <c:pt idx="19">
                  <c:v>16.002700000000001</c:v>
                </c:pt>
                <c:pt idx="20">
                  <c:v>17.002600000000001</c:v>
                </c:pt>
                <c:pt idx="21">
                  <c:v>18.002700000000001</c:v>
                </c:pt>
                <c:pt idx="22">
                  <c:v>19.002700000000001</c:v>
                </c:pt>
                <c:pt idx="23">
                  <c:v>20.002800000000001</c:v>
                </c:pt>
                <c:pt idx="24">
                  <c:v>21.002400000000002</c:v>
                </c:pt>
                <c:pt idx="25">
                  <c:v>22.0032</c:v>
                </c:pt>
                <c:pt idx="26">
                  <c:v>23.002700000000001</c:v>
                </c:pt>
                <c:pt idx="27">
                  <c:v>24.002700000000001</c:v>
                </c:pt>
                <c:pt idx="28">
                  <c:v>25.002800000000001</c:v>
                </c:pt>
                <c:pt idx="29">
                  <c:v>26.003</c:v>
                </c:pt>
                <c:pt idx="30">
                  <c:v>27.002600000000001</c:v>
                </c:pt>
                <c:pt idx="31">
                  <c:v>28.002800000000001</c:v>
                </c:pt>
                <c:pt idx="32">
                  <c:v>29.002899999999997</c:v>
                </c:pt>
                <c:pt idx="33">
                  <c:v>30.002899999999997</c:v>
                </c:pt>
                <c:pt idx="34">
                  <c:v>31.002400000000002</c:v>
                </c:pt>
                <c:pt idx="35">
                  <c:v>32.0032</c:v>
                </c:pt>
              </c:numCache>
            </c:numRef>
          </c:xVal>
          <c:yVal>
            <c:numRef>
              <c:f>YS_40kDa_1!$R$2:$R$47</c:f>
              <c:numCache>
                <c:formatCode>General</c:formatCode>
                <c:ptCount val="46"/>
                <c:pt idx="0">
                  <c:v>1.4332719829296101</c:v>
                </c:pt>
                <c:pt idx="1">
                  <c:v>1.11728131025482</c:v>
                </c:pt>
                <c:pt idx="2">
                  <c:v>1.2585652600191215</c:v>
                </c:pt>
                <c:pt idx="3">
                  <c:v>0</c:v>
                </c:pt>
                <c:pt idx="4">
                  <c:v>0.25321332260193041</c:v>
                </c:pt>
                <c:pt idx="5">
                  <c:v>0.37159693791653581</c:v>
                </c:pt>
                <c:pt idx="6">
                  <c:v>0.47932079978029046</c:v>
                </c:pt>
                <c:pt idx="7">
                  <c:v>0.4837910066351524</c:v>
                </c:pt>
                <c:pt idx="8">
                  <c:v>0.57672217896630418</c:v>
                </c:pt>
                <c:pt idx="9">
                  <c:v>0.57055321427246886</c:v>
                </c:pt>
                <c:pt idx="10">
                  <c:v>0.56946667561962305</c:v>
                </c:pt>
                <c:pt idx="11">
                  <c:v>0.583324170772623</c:v>
                </c:pt>
                <c:pt idx="12">
                  <c:v>0.62673117274020507</c:v>
                </c:pt>
                <c:pt idx="13">
                  <c:v>0.77349478344392852</c:v>
                </c:pt>
                <c:pt idx="14">
                  <c:v>0.82736569946983762</c:v>
                </c:pt>
                <c:pt idx="15">
                  <c:v>0.88017264519242677</c:v>
                </c:pt>
                <c:pt idx="16">
                  <c:v>0.86672406234677979</c:v>
                </c:pt>
                <c:pt idx="17">
                  <c:v>0.90590216085967235</c:v>
                </c:pt>
                <c:pt idx="18">
                  <c:v>0.85223601225280288</c:v>
                </c:pt>
                <c:pt idx="19">
                  <c:v>0.85518838245981721</c:v>
                </c:pt>
                <c:pt idx="20">
                  <c:v>0.90565537439835786</c:v>
                </c:pt>
                <c:pt idx="21">
                  <c:v>0.93065984644560418</c:v>
                </c:pt>
                <c:pt idx="22">
                  <c:v>0.87116910419669358</c:v>
                </c:pt>
                <c:pt idx="23">
                  <c:v>0.90375459018836279</c:v>
                </c:pt>
                <c:pt idx="24">
                  <c:v>0.95182752764946554</c:v>
                </c:pt>
                <c:pt idx="25">
                  <c:v>0.96977668638909154</c:v>
                </c:pt>
                <c:pt idx="26">
                  <c:v>0.99171952043377243</c:v>
                </c:pt>
                <c:pt idx="27">
                  <c:v>0.99879697989510985</c:v>
                </c:pt>
                <c:pt idx="28">
                  <c:v>1.0304051533398664</c:v>
                </c:pt>
                <c:pt idx="29">
                  <c:v>1.0106062094900976</c:v>
                </c:pt>
                <c:pt idx="30">
                  <c:v>0.99337062343284288</c:v>
                </c:pt>
                <c:pt idx="31">
                  <c:v>1.0172322509014373</c:v>
                </c:pt>
                <c:pt idx="32">
                  <c:v>1.0160231211961026</c:v>
                </c:pt>
                <c:pt idx="33">
                  <c:v>0.98563786601206627</c:v>
                </c:pt>
                <c:pt idx="34">
                  <c:v>0.99817171499379764</c:v>
                </c:pt>
                <c:pt idx="35">
                  <c:v>0.98825987391581827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0E-4D5A-B0F7-8FEE0C7DA11F}"/>
            </c:ext>
          </c:extLst>
        </c:ser>
        <c:ser>
          <c:idx val="1"/>
          <c:order val="1"/>
          <c:tx>
            <c:strRef>
              <c:f>YS_40kDa_1!$S$1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YS_40kDa_1!$B$2:$B$47</c:f>
              <c:numCache>
                <c:formatCode>General</c:formatCode>
                <c:ptCount val="46"/>
                <c:pt idx="0">
                  <c:v>-6.1920000000000002</c:v>
                </c:pt>
                <c:pt idx="1">
                  <c:v>-5.1890999999999998</c:v>
                </c:pt>
                <c:pt idx="2">
                  <c:v>-4.1889000000000003</c:v>
                </c:pt>
                <c:pt idx="3">
                  <c:v>0</c:v>
                </c:pt>
                <c:pt idx="4">
                  <c:v>1.0026000000000002</c:v>
                </c:pt>
                <c:pt idx="5">
                  <c:v>2.0028000000000006</c:v>
                </c:pt>
                <c:pt idx="6">
                  <c:v>3.0029000000000003</c:v>
                </c:pt>
                <c:pt idx="7">
                  <c:v>4.0029000000000003</c:v>
                </c:pt>
                <c:pt idx="8">
                  <c:v>5.0023</c:v>
                </c:pt>
                <c:pt idx="9">
                  <c:v>6.0031999999999996</c:v>
                </c:pt>
                <c:pt idx="10">
                  <c:v>7.0025999999999993</c:v>
                </c:pt>
                <c:pt idx="11">
                  <c:v>8.0029000000000003</c:v>
                </c:pt>
                <c:pt idx="12">
                  <c:v>9.0029000000000003</c:v>
                </c:pt>
                <c:pt idx="13">
                  <c:v>10.002800000000001</c:v>
                </c:pt>
                <c:pt idx="14">
                  <c:v>11.002800000000001</c:v>
                </c:pt>
                <c:pt idx="15">
                  <c:v>12.002700000000001</c:v>
                </c:pt>
                <c:pt idx="16">
                  <c:v>13.002800000000001</c:v>
                </c:pt>
                <c:pt idx="17">
                  <c:v>14.0032</c:v>
                </c:pt>
                <c:pt idx="18">
                  <c:v>15.002700000000001</c:v>
                </c:pt>
                <c:pt idx="19">
                  <c:v>16.002700000000001</c:v>
                </c:pt>
                <c:pt idx="20">
                  <c:v>17.002600000000001</c:v>
                </c:pt>
                <c:pt idx="21">
                  <c:v>18.002700000000001</c:v>
                </c:pt>
                <c:pt idx="22">
                  <c:v>19.002700000000001</c:v>
                </c:pt>
                <c:pt idx="23">
                  <c:v>20.002800000000001</c:v>
                </c:pt>
                <c:pt idx="24">
                  <c:v>21.002400000000002</c:v>
                </c:pt>
                <c:pt idx="25">
                  <c:v>22.0032</c:v>
                </c:pt>
                <c:pt idx="26">
                  <c:v>23.002700000000001</c:v>
                </c:pt>
                <c:pt idx="27">
                  <c:v>24.002700000000001</c:v>
                </c:pt>
                <c:pt idx="28">
                  <c:v>25.002800000000001</c:v>
                </c:pt>
                <c:pt idx="29">
                  <c:v>26.003</c:v>
                </c:pt>
                <c:pt idx="30">
                  <c:v>27.002600000000001</c:v>
                </c:pt>
                <c:pt idx="31">
                  <c:v>28.002800000000001</c:v>
                </c:pt>
                <c:pt idx="32">
                  <c:v>29.002899999999997</c:v>
                </c:pt>
                <c:pt idx="33">
                  <c:v>30.002899999999997</c:v>
                </c:pt>
                <c:pt idx="34">
                  <c:v>31.002400000000002</c:v>
                </c:pt>
                <c:pt idx="35">
                  <c:v>32.0032</c:v>
                </c:pt>
              </c:numCache>
            </c:numRef>
          </c:xVal>
          <c:yVal>
            <c:numRef>
              <c:f>YS_40kDa_1!$S$2:$S$47</c:f>
              <c:numCache>
                <c:formatCode>General</c:formatCode>
                <c:ptCount val="46"/>
                <c:pt idx="0">
                  <c:v>1.7902601396948865</c:v>
                </c:pt>
                <c:pt idx="1">
                  <c:v>1.5677356441037416</c:v>
                </c:pt>
                <c:pt idx="2">
                  <c:v>1.6990436285394774</c:v>
                </c:pt>
                <c:pt idx="3">
                  <c:v>0</c:v>
                </c:pt>
                <c:pt idx="4">
                  <c:v>0.15730518140463842</c:v>
                </c:pt>
                <c:pt idx="5">
                  <c:v>0.2510286969916995</c:v>
                </c:pt>
                <c:pt idx="6">
                  <c:v>0.26586988945225409</c:v>
                </c:pt>
                <c:pt idx="7">
                  <c:v>0.2663820009287684</c:v>
                </c:pt>
                <c:pt idx="8">
                  <c:v>0.39423057119125154</c:v>
                </c:pt>
                <c:pt idx="9">
                  <c:v>0.39747577762989666</c:v>
                </c:pt>
                <c:pt idx="10">
                  <c:v>0.47399598153379419</c:v>
                </c:pt>
                <c:pt idx="11">
                  <c:v>0.47857697534956684</c:v>
                </c:pt>
                <c:pt idx="12">
                  <c:v>0.55367222112619685</c:v>
                </c:pt>
                <c:pt idx="13">
                  <c:v>0.57436912404636475</c:v>
                </c:pt>
                <c:pt idx="14">
                  <c:v>0.67634243342137779</c:v>
                </c:pt>
                <c:pt idx="15">
                  <c:v>0.73414005675046567</c:v>
                </c:pt>
                <c:pt idx="16">
                  <c:v>0.78748673464879015</c:v>
                </c:pt>
                <c:pt idx="17">
                  <c:v>0.78170198986692929</c:v>
                </c:pt>
                <c:pt idx="18">
                  <c:v>0.81478096691831803</c:v>
                </c:pt>
                <c:pt idx="19">
                  <c:v>0.88344782002146072</c:v>
                </c:pt>
                <c:pt idx="20">
                  <c:v>0.84439030585132036</c:v>
                </c:pt>
                <c:pt idx="21">
                  <c:v>0.86998780500092843</c:v>
                </c:pt>
                <c:pt idx="22">
                  <c:v>1.016345614133447</c:v>
                </c:pt>
                <c:pt idx="23">
                  <c:v>0.95964046098126521</c:v>
                </c:pt>
                <c:pt idx="24">
                  <c:v>0.92066412148718679</c:v>
                </c:pt>
                <c:pt idx="25">
                  <c:v>0.99360040497846069</c:v>
                </c:pt>
                <c:pt idx="26">
                  <c:v>0.91203104157353132</c:v>
                </c:pt>
                <c:pt idx="27">
                  <c:v>0.92950434048567709</c:v>
                </c:pt>
                <c:pt idx="28">
                  <c:v>0.98180565752619819</c:v>
                </c:pt>
                <c:pt idx="29">
                  <c:v>0.99205751250820684</c:v>
                </c:pt>
                <c:pt idx="30">
                  <c:v>1.0241793568028961</c:v>
                </c:pt>
                <c:pt idx="31">
                  <c:v>0.96073375852840637</c:v>
                </c:pt>
                <c:pt idx="32">
                  <c:v>1.0312692270179571</c:v>
                </c:pt>
                <c:pt idx="33">
                  <c:v>1.0687075119565137</c:v>
                </c:pt>
                <c:pt idx="34">
                  <c:v>1.0217447891787796</c:v>
                </c:pt>
                <c:pt idx="35">
                  <c:v>1.0843663994433783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0E-4D5A-B0F7-8FEE0C7D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60360"/>
        <c:axId val="668760688"/>
      </c:scatterChart>
      <c:valAx>
        <c:axId val="66876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0688"/>
        <c:crosses val="autoZero"/>
        <c:crossBetween val="midCat"/>
      </c:valAx>
      <c:valAx>
        <c:axId val="6687606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0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YS_40kDa_2!$R$1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YS_40kDa_2!$B$2:$B$121</c:f>
              <c:numCache>
                <c:formatCode>General</c:formatCode>
                <c:ptCount val="120"/>
                <c:pt idx="0">
                  <c:v>-6.1990999999999996</c:v>
                </c:pt>
                <c:pt idx="1">
                  <c:v>-5.6547000000000001</c:v>
                </c:pt>
                <c:pt idx="2">
                  <c:v>-5.1102999999999996</c:v>
                </c:pt>
                <c:pt idx="3">
                  <c:v>-4.5658999999999992</c:v>
                </c:pt>
                <c:pt idx="4">
                  <c:v>-4.0214999999999996</c:v>
                </c:pt>
                <c:pt idx="5">
                  <c:v>0</c:v>
                </c:pt>
                <c:pt idx="6">
                  <c:v>0.54440000000000044</c:v>
                </c:pt>
                <c:pt idx="7">
                  <c:v>1.1047000000000002</c:v>
                </c:pt>
                <c:pt idx="8">
                  <c:v>1.665</c:v>
                </c:pt>
                <c:pt idx="9">
                  <c:v>2.225200000000001</c:v>
                </c:pt>
                <c:pt idx="10">
                  <c:v>2.7855000000000008</c:v>
                </c:pt>
                <c:pt idx="11">
                  <c:v>3.3299000000000003</c:v>
                </c:pt>
                <c:pt idx="12">
                  <c:v>3.8742999999999999</c:v>
                </c:pt>
                <c:pt idx="13">
                  <c:v>4.4187000000000012</c:v>
                </c:pt>
                <c:pt idx="14">
                  <c:v>4.9631000000000007</c:v>
                </c:pt>
                <c:pt idx="15">
                  <c:v>5.5234000000000005</c:v>
                </c:pt>
                <c:pt idx="16">
                  <c:v>6.0837000000000003</c:v>
                </c:pt>
                <c:pt idx="17">
                  <c:v>6.6440000000000001</c:v>
                </c:pt>
                <c:pt idx="18">
                  <c:v>7.2042999999999999</c:v>
                </c:pt>
                <c:pt idx="19">
                  <c:v>7.7487000000000013</c:v>
                </c:pt>
                <c:pt idx="20">
                  <c:v>8.2931000000000008</c:v>
                </c:pt>
                <c:pt idx="21">
                  <c:v>8.8375000000000004</c:v>
                </c:pt>
                <c:pt idx="22">
                  <c:v>9.3818999999999999</c:v>
                </c:pt>
                <c:pt idx="23">
                  <c:v>9.9262999999999995</c:v>
                </c:pt>
                <c:pt idx="24">
                  <c:v>10.486500000000001</c:v>
                </c:pt>
                <c:pt idx="25">
                  <c:v>11.046799999999999</c:v>
                </c:pt>
                <c:pt idx="26">
                  <c:v>11.607100000000001</c:v>
                </c:pt>
                <c:pt idx="27">
                  <c:v>12.167399999999999</c:v>
                </c:pt>
                <c:pt idx="28">
                  <c:v>12.6959</c:v>
                </c:pt>
                <c:pt idx="29">
                  <c:v>13.2403</c:v>
                </c:pt>
                <c:pt idx="30">
                  <c:v>13.784699999999999</c:v>
                </c:pt>
                <c:pt idx="31">
                  <c:v>14.329099999999999</c:v>
                </c:pt>
                <c:pt idx="32">
                  <c:v>14.873500000000002</c:v>
                </c:pt>
                <c:pt idx="33">
                  <c:v>15.417900000000001</c:v>
                </c:pt>
                <c:pt idx="34">
                  <c:v>15.978199999999999</c:v>
                </c:pt>
                <c:pt idx="35">
                  <c:v>16.538499999999999</c:v>
                </c:pt>
                <c:pt idx="36">
                  <c:v>17.082900000000002</c:v>
                </c:pt>
                <c:pt idx="37">
                  <c:v>17.627299999999998</c:v>
                </c:pt>
                <c:pt idx="38">
                  <c:v>18.171700000000001</c:v>
                </c:pt>
                <c:pt idx="39">
                  <c:v>18.731999999999999</c:v>
                </c:pt>
                <c:pt idx="40">
                  <c:v>19.292200000000001</c:v>
                </c:pt>
                <c:pt idx="41">
                  <c:v>19.836599999999997</c:v>
                </c:pt>
                <c:pt idx="42">
                  <c:v>20.396900000000002</c:v>
                </c:pt>
                <c:pt idx="43">
                  <c:v>20.9572</c:v>
                </c:pt>
                <c:pt idx="44">
                  <c:v>21.485700000000001</c:v>
                </c:pt>
                <c:pt idx="45">
                  <c:v>22.030099999999997</c:v>
                </c:pt>
                <c:pt idx="46">
                  <c:v>22.5745</c:v>
                </c:pt>
                <c:pt idx="47">
                  <c:v>23.118900000000004</c:v>
                </c:pt>
                <c:pt idx="48">
                  <c:v>23.6633</c:v>
                </c:pt>
                <c:pt idx="49">
                  <c:v>24.207700000000003</c:v>
                </c:pt>
                <c:pt idx="50">
                  <c:v>24.752099999999999</c:v>
                </c:pt>
                <c:pt idx="51">
                  <c:v>25.312400000000004</c:v>
                </c:pt>
                <c:pt idx="52">
                  <c:v>25.8568</c:v>
                </c:pt>
                <c:pt idx="53">
                  <c:v>26.417099999999998</c:v>
                </c:pt>
                <c:pt idx="54">
                  <c:v>26.961500000000001</c:v>
                </c:pt>
                <c:pt idx="55">
                  <c:v>27.505899999999997</c:v>
                </c:pt>
                <c:pt idx="56">
                  <c:v>28.0503</c:v>
                </c:pt>
                <c:pt idx="57">
                  <c:v>28.594699999999996</c:v>
                </c:pt>
                <c:pt idx="58">
                  <c:v>29.139099999999999</c:v>
                </c:pt>
                <c:pt idx="59">
                  <c:v>29.699399999999997</c:v>
                </c:pt>
                <c:pt idx="60">
                  <c:v>30.2438</c:v>
                </c:pt>
                <c:pt idx="61">
                  <c:v>30.804000000000002</c:v>
                </c:pt>
                <c:pt idx="62">
                  <c:v>31.348399999999998</c:v>
                </c:pt>
                <c:pt idx="63">
                  <c:v>31.892800000000001</c:v>
                </c:pt>
                <c:pt idx="64">
                  <c:v>32.437199999999997</c:v>
                </c:pt>
              </c:numCache>
            </c:numRef>
          </c:xVal>
          <c:yVal>
            <c:numRef>
              <c:f>YS_40kDa_2!$R$2:$R$121</c:f>
              <c:numCache>
                <c:formatCode>General</c:formatCode>
                <c:ptCount val="120"/>
                <c:pt idx="0">
                  <c:v>1.32333237392087</c:v>
                </c:pt>
                <c:pt idx="1">
                  <c:v>1.310858161350182</c:v>
                </c:pt>
                <c:pt idx="2">
                  <c:v>1.1907139313391515</c:v>
                </c:pt>
                <c:pt idx="3">
                  <c:v>1.2281904389275646</c:v>
                </c:pt>
                <c:pt idx="4">
                  <c:v>1.3089676797841701</c:v>
                </c:pt>
                <c:pt idx="5">
                  <c:v>0</c:v>
                </c:pt>
                <c:pt idx="6">
                  <c:v>0.21923644606168602</c:v>
                </c:pt>
                <c:pt idx="7">
                  <c:v>0.43335331795017323</c:v>
                </c:pt>
                <c:pt idx="8">
                  <c:v>0.45878549939106827</c:v>
                </c:pt>
                <c:pt idx="9">
                  <c:v>0.47598370338271645</c:v>
                </c:pt>
                <c:pt idx="10">
                  <c:v>0.47844060200658156</c:v>
                </c:pt>
                <c:pt idx="11">
                  <c:v>0.64151507024270082</c:v>
                </c:pt>
                <c:pt idx="12">
                  <c:v>0.749624928535779</c:v>
                </c:pt>
                <c:pt idx="13">
                  <c:v>0.85381560141082191</c:v>
                </c:pt>
                <c:pt idx="14">
                  <c:v>0.75531174976706827</c:v>
                </c:pt>
                <c:pt idx="15">
                  <c:v>0.80490614655755277</c:v>
                </c:pt>
                <c:pt idx="16">
                  <c:v>0.81019653674512904</c:v>
                </c:pt>
                <c:pt idx="17">
                  <c:v>0.96178788574836249</c:v>
                </c:pt>
                <c:pt idx="18">
                  <c:v>0.89638301131057918</c:v>
                </c:pt>
                <c:pt idx="19">
                  <c:v>0.89527258199780047</c:v>
                </c:pt>
                <c:pt idx="20">
                  <c:v>1.0444831338461154</c:v>
                </c:pt>
                <c:pt idx="21">
                  <c:v>1.0081103399189482</c:v>
                </c:pt>
                <c:pt idx="22">
                  <c:v>0.9981482776705265</c:v>
                </c:pt>
                <c:pt idx="23">
                  <c:v>1.0690945732437742</c:v>
                </c:pt>
                <c:pt idx="24">
                  <c:v>0.98212670215733855</c:v>
                </c:pt>
                <c:pt idx="25">
                  <c:v>1.0271830688564683</c:v>
                </c:pt>
                <c:pt idx="26">
                  <c:v>1.0562297278890196</c:v>
                </c:pt>
                <c:pt idx="27">
                  <c:v>0.9942440437130623</c:v>
                </c:pt>
                <c:pt idx="28">
                  <c:v>0.96231987998627877</c:v>
                </c:pt>
                <c:pt idx="29">
                  <c:v>0.940885080049085</c:v>
                </c:pt>
                <c:pt idx="30">
                  <c:v>0.92885027386889052</c:v>
                </c:pt>
                <c:pt idx="31">
                  <c:v>0.92018103485864677</c:v>
                </c:pt>
                <c:pt idx="32">
                  <c:v>1.0156600506477464</c:v>
                </c:pt>
                <c:pt idx="33">
                  <c:v>1.0316956634381018</c:v>
                </c:pt>
                <c:pt idx="34">
                  <c:v>1.0099689254385729</c:v>
                </c:pt>
                <c:pt idx="35">
                  <c:v>0.97636192719004145</c:v>
                </c:pt>
                <c:pt idx="36">
                  <c:v>1.0170263371173864</c:v>
                </c:pt>
                <c:pt idx="37">
                  <c:v>0.89002298798788559</c:v>
                </c:pt>
                <c:pt idx="38">
                  <c:v>1.0064040795285962</c:v>
                </c:pt>
                <c:pt idx="39">
                  <c:v>0.94348180706901075</c:v>
                </c:pt>
                <c:pt idx="40">
                  <c:v>1.011069314511132</c:v>
                </c:pt>
                <c:pt idx="41">
                  <c:v>0.95055609131361907</c:v>
                </c:pt>
                <c:pt idx="42">
                  <c:v>1.1124831119062382</c:v>
                </c:pt>
                <c:pt idx="43">
                  <c:v>0.95027704268659263</c:v>
                </c:pt>
                <c:pt idx="44">
                  <c:v>1.0948844347513582</c:v>
                </c:pt>
                <c:pt idx="45">
                  <c:v>1.1260900556687075</c:v>
                </c:pt>
                <c:pt idx="46">
                  <c:v>1.0729786038248852</c:v>
                </c:pt>
                <c:pt idx="47">
                  <c:v>0.98731940691297382</c:v>
                </c:pt>
                <c:pt idx="48">
                  <c:v>0.96437962554926759</c:v>
                </c:pt>
                <c:pt idx="49">
                  <c:v>0.97153957257778967</c:v>
                </c:pt>
                <c:pt idx="50">
                  <c:v>1.0669663303157773</c:v>
                </c:pt>
                <c:pt idx="51">
                  <c:v>0.98729373193863557</c:v>
                </c:pt>
                <c:pt idx="52">
                  <c:v>1.1435419805185556</c:v>
                </c:pt>
                <c:pt idx="53">
                  <c:v>1.13961616577539</c:v>
                </c:pt>
                <c:pt idx="54">
                  <c:v>1.0930457055208691</c:v>
                </c:pt>
                <c:pt idx="55">
                  <c:v>1.0986689081756753</c:v>
                </c:pt>
                <c:pt idx="56">
                  <c:v>1.0695973842618602</c:v>
                </c:pt>
                <c:pt idx="57">
                  <c:v>0.98176483436863327</c:v>
                </c:pt>
                <c:pt idx="58">
                  <c:v>1.0637218565479569</c:v>
                </c:pt>
                <c:pt idx="59">
                  <c:v>0.97121047166383312</c:v>
                </c:pt>
                <c:pt idx="60">
                  <c:v>0.93027812523676168</c:v>
                </c:pt>
                <c:pt idx="61">
                  <c:v>0.90017480341095213</c:v>
                </c:pt>
                <c:pt idx="62">
                  <c:v>0.9982191530859692</c:v>
                </c:pt>
                <c:pt idx="63">
                  <c:v>0.91658536584440842</c:v>
                </c:pt>
                <c:pt idx="64">
                  <c:v>0.97673339188307895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FB-4BFD-B520-426897EF19B2}"/>
            </c:ext>
          </c:extLst>
        </c:ser>
        <c:ser>
          <c:idx val="1"/>
          <c:order val="1"/>
          <c:tx>
            <c:strRef>
              <c:f>YS_40kDa_2!$S$1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YS_40kDa_2!$B$2:$B$121</c:f>
              <c:numCache>
                <c:formatCode>General</c:formatCode>
                <c:ptCount val="120"/>
                <c:pt idx="0">
                  <c:v>-6.1990999999999996</c:v>
                </c:pt>
                <c:pt idx="1">
                  <c:v>-5.6547000000000001</c:v>
                </c:pt>
                <c:pt idx="2">
                  <c:v>-5.1102999999999996</c:v>
                </c:pt>
                <c:pt idx="3">
                  <c:v>-4.5658999999999992</c:v>
                </c:pt>
                <c:pt idx="4">
                  <c:v>-4.0214999999999996</c:v>
                </c:pt>
                <c:pt idx="5">
                  <c:v>0</c:v>
                </c:pt>
                <c:pt idx="6">
                  <c:v>0.54440000000000044</c:v>
                </c:pt>
                <c:pt idx="7">
                  <c:v>1.1047000000000002</c:v>
                </c:pt>
                <c:pt idx="8">
                  <c:v>1.665</c:v>
                </c:pt>
                <c:pt idx="9">
                  <c:v>2.225200000000001</c:v>
                </c:pt>
                <c:pt idx="10">
                  <c:v>2.7855000000000008</c:v>
                </c:pt>
                <c:pt idx="11">
                  <c:v>3.3299000000000003</c:v>
                </c:pt>
                <c:pt idx="12">
                  <c:v>3.8742999999999999</c:v>
                </c:pt>
                <c:pt idx="13">
                  <c:v>4.4187000000000012</c:v>
                </c:pt>
                <c:pt idx="14">
                  <c:v>4.9631000000000007</c:v>
                </c:pt>
                <c:pt idx="15">
                  <c:v>5.5234000000000005</c:v>
                </c:pt>
                <c:pt idx="16">
                  <c:v>6.0837000000000003</c:v>
                </c:pt>
                <c:pt idx="17">
                  <c:v>6.6440000000000001</c:v>
                </c:pt>
                <c:pt idx="18">
                  <c:v>7.2042999999999999</c:v>
                </c:pt>
                <c:pt idx="19">
                  <c:v>7.7487000000000013</c:v>
                </c:pt>
                <c:pt idx="20">
                  <c:v>8.2931000000000008</c:v>
                </c:pt>
                <c:pt idx="21">
                  <c:v>8.8375000000000004</c:v>
                </c:pt>
                <c:pt idx="22">
                  <c:v>9.3818999999999999</c:v>
                </c:pt>
                <c:pt idx="23">
                  <c:v>9.9262999999999995</c:v>
                </c:pt>
                <c:pt idx="24">
                  <c:v>10.486500000000001</c:v>
                </c:pt>
                <c:pt idx="25">
                  <c:v>11.046799999999999</c:v>
                </c:pt>
                <c:pt idx="26">
                  <c:v>11.607100000000001</c:v>
                </c:pt>
                <c:pt idx="27">
                  <c:v>12.167399999999999</c:v>
                </c:pt>
                <c:pt idx="28">
                  <c:v>12.6959</c:v>
                </c:pt>
                <c:pt idx="29">
                  <c:v>13.2403</c:v>
                </c:pt>
                <c:pt idx="30">
                  <c:v>13.784699999999999</c:v>
                </c:pt>
                <c:pt idx="31">
                  <c:v>14.329099999999999</c:v>
                </c:pt>
                <c:pt idx="32">
                  <c:v>14.873500000000002</c:v>
                </c:pt>
                <c:pt idx="33">
                  <c:v>15.417900000000001</c:v>
                </c:pt>
                <c:pt idx="34">
                  <c:v>15.978199999999999</c:v>
                </c:pt>
                <c:pt idx="35">
                  <c:v>16.538499999999999</c:v>
                </c:pt>
                <c:pt idx="36">
                  <c:v>17.082900000000002</c:v>
                </c:pt>
                <c:pt idx="37">
                  <c:v>17.627299999999998</c:v>
                </c:pt>
                <c:pt idx="38">
                  <c:v>18.171700000000001</c:v>
                </c:pt>
                <c:pt idx="39">
                  <c:v>18.731999999999999</c:v>
                </c:pt>
                <c:pt idx="40">
                  <c:v>19.292200000000001</c:v>
                </c:pt>
                <c:pt idx="41">
                  <c:v>19.836599999999997</c:v>
                </c:pt>
                <c:pt idx="42">
                  <c:v>20.396900000000002</c:v>
                </c:pt>
                <c:pt idx="43">
                  <c:v>20.9572</c:v>
                </c:pt>
                <c:pt idx="44">
                  <c:v>21.485700000000001</c:v>
                </c:pt>
                <c:pt idx="45">
                  <c:v>22.030099999999997</c:v>
                </c:pt>
                <c:pt idx="46">
                  <c:v>22.5745</c:v>
                </c:pt>
                <c:pt idx="47">
                  <c:v>23.118900000000004</c:v>
                </c:pt>
                <c:pt idx="48">
                  <c:v>23.6633</c:v>
                </c:pt>
                <c:pt idx="49">
                  <c:v>24.207700000000003</c:v>
                </c:pt>
                <c:pt idx="50">
                  <c:v>24.752099999999999</c:v>
                </c:pt>
                <c:pt idx="51">
                  <c:v>25.312400000000004</c:v>
                </c:pt>
                <c:pt idx="52">
                  <c:v>25.8568</c:v>
                </c:pt>
                <c:pt idx="53">
                  <c:v>26.417099999999998</c:v>
                </c:pt>
                <c:pt idx="54">
                  <c:v>26.961500000000001</c:v>
                </c:pt>
                <c:pt idx="55">
                  <c:v>27.505899999999997</c:v>
                </c:pt>
                <c:pt idx="56">
                  <c:v>28.0503</c:v>
                </c:pt>
                <c:pt idx="57">
                  <c:v>28.594699999999996</c:v>
                </c:pt>
                <c:pt idx="58">
                  <c:v>29.139099999999999</c:v>
                </c:pt>
                <c:pt idx="59">
                  <c:v>29.699399999999997</c:v>
                </c:pt>
                <c:pt idx="60">
                  <c:v>30.2438</c:v>
                </c:pt>
                <c:pt idx="61">
                  <c:v>30.804000000000002</c:v>
                </c:pt>
                <c:pt idx="62">
                  <c:v>31.348399999999998</c:v>
                </c:pt>
                <c:pt idx="63">
                  <c:v>31.892800000000001</c:v>
                </c:pt>
                <c:pt idx="64">
                  <c:v>32.437199999999997</c:v>
                </c:pt>
              </c:numCache>
            </c:numRef>
          </c:xVal>
          <c:yVal>
            <c:numRef>
              <c:f>YS_40kDa_2!$S$2:$S$121</c:f>
              <c:numCache>
                <c:formatCode>General</c:formatCode>
                <c:ptCount val="120"/>
                <c:pt idx="0">
                  <c:v>1.5658888995132705</c:v>
                </c:pt>
                <c:pt idx="1">
                  <c:v>1.4659387965636101</c:v>
                </c:pt>
                <c:pt idx="2">
                  <c:v>1.45030099203701</c:v>
                </c:pt>
                <c:pt idx="3">
                  <c:v>1.4705032652591774</c:v>
                </c:pt>
                <c:pt idx="4">
                  <c:v>1.6211043691157572</c:v>
                </c:pt>
                <c:pt idx="5">
                  <c:v>0</c:v>
                </c:pt>
                <c:pt idx="6">
                  <c:v>2.1057224063374678E-5</c:v>
                </c:pt>
                <c:pt idx="7">
                  <c:v>0.10713689335175416</c:v>
                </c:pt>
                <c:pt idx="8">
                  <c:v>0.10050248642444252</c:v>
                </c:pt>
                <c:pt idx="9">
                  <c:v>0.1300827761687412</c:v>
                </c:pt>
                <c:pt idx="10">
                  <c:v>0.2288760900062613</c:v>
                </c:pt>
                <c:pt idx="11">
                  <c:v>0.28157087729123764</c:v>
                </c:pt>
                <c:pt idx="12">
                  <c:v>0.31925541109044875</c:v>
                </c:pt>
                <c:pt idx="13">
                  <c:v>0.22844428525405816</c:v>
                </c:pt>
                <c:pt idx="14">
                  <c:v>0.34936021869366213</c:v>
                </c:pt>
                <c:pt idx="15">
                  <c:v>0.44777723882533532</c:v>
                </c:pt>
                <c:pt idx="16">
                  <c:v>0.39106857681086199</c:v>
                </c:pt>
                <c:pt idx="17">
                  <c:v>0.49144327851287972</c:v>
                </c:pt>
                <c:pt idx="18">
                  <c:v>0.42087992240277661</c:v>
                </c:pt>
                <c:pt idx="19">
                  <c:v>0.60898398216762906</c:v>
                </c:pt>
                <c:pt idx="20">
                  <c:v>0.51772659588658121</c:v>
                </c:pt>
                <c:pt idx="21">
                  <c:v>0.64111259667689213</c:v>
                </c:pt>
                <c:pt idx="22">
                  <c:v>0.67263534157777904</c:v>
                </c:pt>
                <c:pt idx="23">
                  <c:v>0.74611554037310435</c:v>
                </c:pt>
                <c:pt idx="24">
                  <c:v>0.68576074209313065</c:v>
                </c:pt>
                <c:pt idx="25">
                  <c:v>0.72722497737020053</c:v>
                </c:pt>
                <c:pt idx="26">
                  <c:v>0.67578942432828082</c:v>
                </c:pt>
                <c:pt idx="27">
                  <c:v>0.62458106894916565</c:v>
                </c:pt>
                <c:pt idx="28">
                  <c:v>0.66884768435201358</c:v>
                </c:pt>
                <c:pt idx="29">
                  <c:v>0.59888295640811573</c:v>
                </c:pt>
                <c:pt idx="30">
                  <c:v>0.6821002062319852</c:v>
                </c:pt>
                <c:pt idx="31">
                  <c:v>0.70016524879779285</c:v>
                </c:pt>
                <c:pt idx="32">
                  <c:v>0.67521617112938459</c:v>
                </c:pt>
                <c:pt idx="33">
                  <c:v>0.85705483134670479</c:v>
                </c:pt>
                <c:pt idx="34">
                  <c:v>0.79831972937606865</c:v>
                </c:pt>
                <c:pt idx="35">
                  <c:v>0.75739096517522764</c:v>
                </c:pt>
                <c:pt idx="36">
                  <c:v>0.82513928101210532</c:v>
                </c:pt>
                <c:pt idx="37">
                  <c:v>0.78972513989033277</c:v>
                </c:pt>
                <c:pt idx="38">
                  <c:v>0.79119908361035995</c:v>
                </c:pt>
                <c:pt idx="39">
                  <c:v>0.89055085953686253</c:v>
                </c:pt>
                <c:pt idx="40">
                  <c:v>0.88447672790189646</c:v>
                </c:pt>
                <c:pt idx="41">
                  <c:v>0.84356358083941874</c:v>
                </c:pt>
                <c:pt idx="42">
                  <c:v>0.85465735752062799</c:v>
                </c:pt>
                <c:pt idx="43">
                  <c:v>0.81584206051178398</c:v>
                </c:pt>
                <c:pt idx="44">
                  <c:v>0.97212957095652641</c:v>
                </c:pt>
                <c:pt idx="45">
                  <c:v>0.9580538669171601</c:v>
                </c:pt>
                <c:pt idx="46">
                  <c:v>0.97389600182660296</c:v>
                </c:pt>
                <c:pt idx="47">
                  <c:v>0.83961585591140908</c:v>
                </c:pt>
                <c:pt idx="48">
                  <c:v>0.91345551006424708</c:v>
                </c:pt>
                <c:pt idx="49">
                  <c:v>0.89961589531497244</c:v>
                </c:pt>
                <c:pt idx="50">
                  <c:v>1.013318909122753</c:v>
                </c:pt>
                <c:pt idx="51">
                  <c:v>0.95499401149797458</c:v>
                </c:pt>
                <c:pt idx="52">
                  <c:v>0.93959390429357192</c:v>
                </c:pt>
                <c:pt idx="53">
                  <c:v>0.90084778065049842</c:v>
                </c:pt>
                <c:pt idx="54">
                  <c:v>0.97541438064973152</c:v>
                </c:pt>
                <c:pt idx="55">
                  <c:v>0.96768182266600988</c:v>
                </c:pt>
                <c:pt idx="56">
                  <c:v>1.0810429683981311</c:v>
                </c:pt>
                <c:pt idx="57">
                  <c:v>0.99796951294659042</c:v>
                </c:pt>
                <c:pt idx="58">
                  <c:v>0.99226806919675581</c:v>
                </c:pt>
                <c:pt idx="59">
                  <c:v>0.97442148202271839</c:v>
                </c:pt>
                <c:pt idx="60">
                  <c:v>0.97148836660798921</c:v>
                </c:pt>
                <c:pt idx="61">
                  <c:v>1.0295210214019432</c:v>
                </c:pt>
                <c:pt idx="62">
                  <c:v>0.91475932130951954</c:v>
                </c:pt>
                <c:pt idx="63">
                  <c:v>1.0980443647668436</c:v>
                </c:pt>
                <c:pt idx="64">
                  <c:v>0.99738869003376041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FB-4BFD-B520-426897EF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39744"/>
        <c:axId val="612731872"/>
      </c:scatterChart>
      <c:valAx>
        <c:axId val="6127397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1872"/>
        <c:crosses val="autoZero"/>
        <c:crossBetween val="midCat"/>
      </c:valAx>
      <c:valAx>
        <c:axId val="61273187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YS_40kDa_3!$R$1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YS_40kDa_3!$B$2:$B$151</c:f>
              <c:numCache>
                <c:formatCode>General</c:formatCode>
                <c:ptCount val="150"/>
                <c:pt idx="0">
                  <c:v>-6.2149999999999999</c:v>
                </c:pt>
                <c:pt idx="1">
                  <c:v>-5.6706000000000003</c:v>
                </c:pt>
                <c:pt idx="2">
                  <c:v>-5.1261999999999999</c:v>
                </c:pt>
                <c:pt idx="3">
                  <c:v>-4.5817999999999994</c:v>
                </c:pt>
                <c:pt idx="4">
                  <c:v>-4.0214999999999996</c:v>
                </c:pt>
                <c:pt idx="5">
                  <c:v>0</c:v>
                </c:pt>
                <c:pt idx="6">
                  <c:v>0.54440000000000044</c:v>
                </c:pt>
                <c:pt idx="7">
                  <c:v>1.1047000000000002</c:v>
                </c:pt>
                <c:pt idx="8">
                  <c:v>1.6649000000000003</c:v>
                </c:pt>
                <c:pt idx="9">
                  <c:v>2.2093000000000007</c:v>
                </c:pt>
                <c:pt idx="10">
                  <c:v>2.7537000000000003</c:v>
                </c:pt>
                <c:pt idx="11">
                  <c:v>3.2980999999999998</c:v>
                </c:pt>
                <c:pt idx="12">
                  <c:v>3.8424999999999994</c:v>
                </c:pt>
                <c:pt idx="13">
                  <c:v>4.3869000000000007</c:v>
                </c:pt>
                <c:pt idx="14">
                  <c:v>4.9472000000000005</c:v>
                </c:pt>
                <c:pt idx="15">
                  <c:v>5.5075000000000003</c:v>
                </c:pt>
                <c:pt idx="16">
                  <c:v>6.0678000000000001</c:v>
                </c:pt>
                <c:pt idx="17">
                  <c:v>6.6121999999999996</c:v>
                </c:pt>
                <c:pt idx="18">
                  <c:v>7.156600000000001</c:v>
                </c:pt>
                <c:pt idx="19">
                  <c:v>7.7010000000000005</c:v>
                </c:pt>
                <c:pt idx="20">
                  <c:v>8.2454000000000001</c:v>
                </c:pt>
                <c:pt idx="21">
                  <c:v>8.7897999999999996</c:v>
                </c:pt>
                <c:pt idx="22">
                  <c:v>9.3500999999999994</c:v>
                </c:pt>
                <c:pt idx="23">
                  <c:v>9.9103999999999992</c:v>
                </c:pt>
                <c:pt idx="24">
                  <c:v>10.470600000000001</c:v>
                </c:pt>
                <c:pt idx="25">
                  <c:v>11.030899999999999</c:v>
                </c:pt>
                <c:pt idx="26">
                  <c:v>11.591200000000001</c:v>
                </c:pt>
                <c:pt idx="27">
                  <c:v>12.151499999999999</c:v>
                </c:pt>
                <c:pt idx="28">
                  <c:v>12.695900000000002</c:v>
                </c:pt>
                <c:pt idx="29">
                  <c:v>13.240300000000001</c:v>
                </c:pt>
                <c:pt idx="30">
                  <c:v>13.784700000000001</c:v>
                </c:pt>
                <c:pt idx="31">
                  <c:v>14.3291</c:v>
                </c:pt>
                <c:pt idx="32">
                  <c:v>14.889399999999998</c:v>
                </c:pt>
                <c:pt idx="33">
                  <c:v>15.4497</c:v>
                </c:pt>
                <c:pt idx="34">
                  <c:v>16.010000000000002</c:v>
                </c:pt>
                <c:pt idx="35">
                  <c:v>16.554300000000001</c:v>
                </c:pt>
                <c:pt idx="36">
                  <c:v>17.098700000000001</c:v>
                </c:pt>
                <c:pt idx="37">
                  <c:v>17.6431</c:v>
                </c:pt>
                <c:pt idx="38">
                  <c:v>18.1875</c:v>
                </c:pt>
                <c:pt idx="39">
                  <c:v>18.7319</c:v>
                </c:pt>
                <c:pt idx="40">
                  <c:v>19.292200000000001</c:v>
                </c:pt>
                <c:pt idx="41">
                  <c:v>19.852499999999999</c:v>
                </c:pt>
                <c:pt idx="42">
                  <c:v>20.412800000000001</c:v>
                </c:pt>
                <c:pt idx="43">
                  <c:v>20.9572</c:v>
                </c:pt>
                <c:pt idx="44">
                  <c:v>21.5016</c:v>
                </c:pt>
                <c:pt idx="45">
                  <c:v>22.045999999999999</c:v>
                </c:pt>
                <c:pt idx="46">
                  <c:v>22.5745</c:v>
                </c:pt>
                <c:pt idx="47">
                  <c:v>23.1189</c:v>
                </c:pt>
                <c:pt idx="48">
                  <c:v>23.6633</c:v>
                </c:pt>
                <c:pt idx="49">
                  <c:v>24.223600000000001</c:v>
                </c:pt>
                <c:pt idx="50">
                  <c:v>24.783899999999999</c:v>
                </c:pt>
                <c:pt idx="51">
                  <c:v>25.344200000000001</c:v>
                </c:pt>
                <c:pt idx="52">
                  <c:v>25.8886</c:v>
                </c:pt>
                <c:pt idx="53">
                  <c:v>26.433000000000003</c:v>
                </c:pt>
                <c:pt idx="54">
                  <c:v>26.977399999999999</c:v>
                </c:pt>
                <c:pt idx="55">
                  <c:v>27.521800000000002</c:v>
                </c:pt>
                <c:pt idx="56">
                  <c:v>28.066199999999998</c:v>
                </c:pt>
                <c:pt idx="57">
                  <c:v>28.6264</c:v>
                </c:pt>
                <c:pt idx="58">
                  <c:v>29.186699999999998</c:v>
                </c:pt>
                <c:pt idx="59">
                  <c:v>29.747000000000003</c:v>
                </c:pt>
                <c:pt idx="60">
                  <c:v>30.307300000000001</c:v>
                </c:pt>
                <c:pt idx="61">
                  <c:v>30.851699999999997</c:v>
                </c:pt>
                <c:pt idx="62">
                  <c:v>31.396100000000001</c:v>
                </c:pt>
                <c:pt idx="63">
                  <c:v>31.940500000000004</c:v>
                </c:pt>
                <c:pt idx="64">
                  <c:v>32.484899999999996</c:v>
                </c:pt>
              </c:numCache>
            </c:numRef>
          </c:xVal>
          <c:yVal>
            <c:numRef>
              <c:f>YS_40kDa_3!$R$2:$R$151</c:f>
              <c:numCache>
                <c:formatCode>General</c:formatCode>
                <c:ptCount val="150"/>
                <c:pt idx="0">
                  <c:v>1.349527857529804</c:v>
                </c:pt>
                <c:pt idx="1">
                  <c:v>1.3907111832036996</c:v>
                </c:pt>
                <c:pt idx="2">
                  <c:v>1.2387291223286028</c:v>
                </c:pt>
                <c:pt idx="3">
                  <c:v>1.2237083745835242</c:v>
                </c:pt>
                <c:pt idx="4">
                  <c:v>1.249320528994295</c:v>
                </c:pt>
                <c:pt idx="5">
                  <c:v>0</c:v>
                </c:pt>
                <c:pt idx="6">
                  <c:v>0.21404054402217504</c:v>
                </c:pt>
                <c:pt idx="7">
                  <c:v>0.20223993349336444</c:v>
                </c:pt>
                <c:pt idx="8">
                  <c:v>0.29438257744048685</c:v>
                </c:pt>
                <c:pt idx="9">
                  <c:v>0.40234826209457392</c:v>
                </c:pt>
                <c:pt idx="10">
                  <c:v>0.44401158227782622</c:v>
                </c:pt>
                <c:pt idx="11">
                  <c:v>0.45682763982985386</c:v>
                </c:pt>
                <c:pt idx="12">
                  <c:v>0.57211403620084067</c:v>
                </c:pt>
                <c:pt idx="13">
                  <c:v>0.6208048002626857</c:v>
                </c:pt>
                <c:pt idx="14">
                  <c:v>0.63891682890366375</c:v>
                </c:pt>
                <c:pt idx="15">
                  <c:v>0.7700222757757984</c:v>
                </c:pt>
                <c:pt idx="16">
                  <c:v>0.72656601323311831</c:v>
                </c:pt>
                <c:pt idx="17">
                  <c:v>0.78508073804930367</c:v>
                </c:pt>
                <c:pt idx="18">
                  <c:v>0.76666441658422224</c:v>
                </c:pt>
                <c:pt idx="19">
                  <c:v>0.78991282835513699</c:v>
                </c:pt>
                <c:pt idx="20">
                  <c:v>0.84532937945536013</c:v>
                </c:pt>
                <c:pt idx="21">
                  <c:v>0.81060579188050996</c:v>
                </c:pt>
                <c:pt idx="22">
                  <c:v>0.83417339742855712</c:v>
                </c:pt>
                <c:pt idx="23">
                  <c:v>0.88615245468218973</c:v>
                </c:pt>
                <c:pt idx="24">
                  <c:v>0.9270969197812734</c:v>
                </c:pt>
                <c:pt idx="25">
                  <c:v>0.89635499293924092</c:v>
                </c:pt>
                <c:pt idx="26">
                  <c:v>0.93041826609505318</c:v>
                </c:pt>
                <c:pt idx="27">
                  <c:v>0.88271721777562051</c:v>
                </c:pt>
                <c:pt idx="28">
                  <c:v>0.89710731722187409</c:v>
                </c:pt>
                <c:pt idx="29">
                  <c:v>0.9060187362433505</c:v>
                </c:pt>
                <c:pt idx="30">
                  <c:v>0.96422101067116217</c:v>
                </c:pt>
                <c:pt idx="31">
                  <c:v>0.94535934778154418</c:v>
                </c:pt>
                <c:pt idx="32">
                  <c:v>0.9929423534327817</c:v>
                </c:pt>
                <c:pt idx="33">
                  <c:v>0.97735270817463593</c:v>
                </c:pt>
                <c:pt idx="34">
                  <c:v>0.97990375486799275</c:v>
                </c:pt>
                <c:pt idx="35">
                  <c:v>0.97461346790859782</c:v>
                </c:pt>
                <c:pt idx="36">
                  <c:v>1.0095269855204092</c:v>
                </c:pt>
                <c:pt idx="37">
                  <c:v>0.9972877222103167</c:v>
                </c:pt>
                <c:pt idx="38">
                  <c:v>0.99406694859593636</c:v>
                </c:pt>
                <c:pt idx="39">
                  <c:v>0.9718632658355264</c:v>
                </c:pt>
                <c:pt idx="40">
                  <c:v>0.94695872760221622</c:v>
                </c:pt>
                <c:pt idx="41">
                  <c:v>0.98210862692733747</c:v>
                </c:pt>
                <c:pt idx="42">
                  <c:v>1.0277138050884338</c:v>
                </c:pt>
                <c:pt idx="43">
                  <c:v>1.0092312076108145</c:v>
                </c:pt>
                <c:pt idx="44">
                  <c:v>0.95068595697288927</c:v>
                </c:pt>
                <c:pt idx="45">
                  <c:v>1.007998999240195</c:v>
                </c:pt>
                <c:pt idx="46">
                  <c:v>1.0099517383348156</c:v>
                </c:pt>
                <c:pt idx="47">
                  <c:v>0.97149701585355186</c:v>
                </c:pt>
                <c:pt idx="48">
                  <c:v>0.98466139604117642</c:v>
                </c:pt>
                <c:pt idx="49">
                  <c:v>1.0005921552329287</c:v>
                </c:pt>
                <c:pt idx="50">
                  <c:v>0.99962060670838493</c:v>
                </c:pt>
                <c:pt idx="51">
                  <c:v>1.0221317713725302</c:v>
                </c:pt>
                <c:pt idx="52">
                  <c:v>0.96832690091177942</c:v>
                </c:pt>
                <c:pt idx="53">
                  <c:v>0.95561405184756099</c:v>
                </c:pt>
                <c:pt idx="54">
                  <c:v>1.0512466978127679</c:v>
                </c:pt>
                <c:pt idx="55">
                  <c:v>1.0518212771480033</c:v>
                </c:pt>
                <c:pt idx="56">
                  <c:v>1.0616400609585319</c:v>
                </c:pt>
                <c:pt idx="57">
                  <c:v>0.99380688554225693</c:v>
                </c:pt>
                <c:pt idx="58">
                  <c:v>1.0125900623175397</c:v>
                </c:pt>
                <c:pt idx="59">
                  <c:v>1.0180230902040328</c:v>
                </c:pt>
                <c:pt idx="60">
                  <c:v>0.92673674027670538</c:v>
                </c:pt>
                <c:pt idx="61">
                  <c:v>0.95160462603537999</c:v>
                </c:pt>
                <c:pt idx="62">
                  <c:v>1.0230744951070676</c:v>
                </c:pt>
                <c:pt idx="63">
                  <c:v>0.92687679537992695</c:v>
                </c:pt>
                <c:pt idx="64">
                  <c:v>0.9825792692177876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5-49FC-BBA6-AD8AB0B24E6D}"/>
            </c:ext>
          </c:extLst>
        </c:ser>
        <c:ser>
          <c:idx val="1"/>
          <c:order val="1"/>
          <c:tx>
            <c:strRef>
              <c:f>YS_40kDa_3!$S$1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YS_40kDa_3!$B$2:$B$151</c:f>
              <c:numCache>
                <c:formatCode>General</c:formatCode>
                <c:ptCount val="150"/>
                <c:pt idx="0">
                  <c:v>-6.2149999999999999</c:v>
                </c:pt>
                <c:pt idx="1">
                  <c:v>-5.6706000000000003</c:v>
                </c:pt>
                <c:pt idx="2">
                  <c:v>-5.1261999999999999</c:v>
                </c:pt>
                <c:pt idx="3">
                  <c:v>-4.5817999999999994</c:v>
                </c:pt>
                <c:pt idx="4">
                  <c:v>-4.0214999999999996</c:v>
                </c:pt>
                <c:pt idx="5">
                  <c:v>0</c:v>
                </c:pt>
                <c:pt idx="6">
                  <c:v>0.54440000000000044</c:v>
                </c:pt>
                <c:pt idx="7">
                  <c:v>1.1047000000000002</c:v>
                </c:pt>
                <c:pt idx="8">
                  <c:v>1.6649000000000003</c:v>
                </c:pt>
                <c:pt idx="9">
                  <c:v>2.2093000000000007</c:v>
                </c:pt>
                <c:pt idx="10">
                  <c:v>2.7537000000000003</c:v>
                </c:pt>
                <c:pt idx="11">
                  <c:v>3.2980999999999998</c:v>
                </c:pt>
                <c:pt idx="12">
                  <c:v>3.8424999999999994</c:v>
                </c:pt>
                <c:pt idx="13">
                  <c:v>4.3869000000000007</c:v>
                </c:pt>
                <c:pt idx="14">
                  <c:v>4.9472000000000005</c:v>
                </c:pt>
                <c:pt idx="15">
                  <c:v>5.5075000000000003</c:v>
                </c:pt>
                <c:pt idx="16">
                  <c:v>6.0678000000000001</c:v>
                </c:pt>
                <c:pt idx="17">
                  <c:v>6.6121999999999996</c:v>
                </c:pt>
                <c:pt idx="18">
                  <c:v>7.156600000000001</c:v>
                </c:pt>
                <c:pt idx="19">
                  <c:v>7.7010000000000005</c:v>
                </c:pt>
                <c:pt idx="20">
                  <c:v>8.2454000000000001</c:v>
                </c:pt>
                <c:pt idx="21">
                  <c:v>8.7897999999999996</c:v>
                </c:pt>
                <c:pt idx="22">
                  <c:v>9.3500999999999994</c:v>
                </c:pt>
                <c:pt idx="23">
                  <c:v>9.9103999999999992</c:v>
                </c:pt>
                <c:pt idx="24">
                  <c:v>10.470600000000001</c:v>
                </c:pt>
                <c:pt idx="25">
                  <c:v>11.030899999999999</c:v>
                </c:pt>
                <c:pt idx="26">
                  <c:v>11.591200000000001</c:v>
                </c:pt>
                <c:pt idx="27">
                  <c:v>12.151499999999999</c:v>
                </c:pt>
                <c:pt idx="28">
                  <c:v>12.695900000000002</c:v>
                </c:pt>
                <c:pt idx="29">
                  <c:v>13.240300000000001</c:v>
                </c:pt>
                <c:pt idx="30">
                  <c:v>13.784700000000001</c:v>
                </c:pt>
                <c:pt idx="31">
                  <c:v>14.3291</c:v>
                </c:pt>
                <c:pt idx="32">
                  <c:v>14.889399999999998</c:v>
                </c:pt>
                <c:pt idx="33">
                  <c:v>15.4497</c:v>
                </c:pt>
                <c:pt idx="34">
                  <c:v>16.010000000000002</c:v>
                </c:pt>
                <c:pt idx="35">
                  <c:v>16.554300000000001</c:v>
                </c:pt>
                <c:pt idx="36">
                  <c:v>17.098700000000001</c:v>
                </c:pt>
                <c:pt idx="37">
                  <c:v>17.6431</c:v>
                </c:pt>
                <c:pt idx="38">
                  <c:v>18.1875</c:v>
                </c:pt>
                <c:pt idx="39">
                  <c:v>18.7319</c:v>
                </c:pt>
                <c:pt idx="40">
                  <c:v>19.292200000000001</c:v>
                </c:pt>
                <c:pt idx="41">
                  <c:v>19.852499999999999</c:v>
                </c:pt>
                <c:pt idx="42">
                  <c:v>20.412800000000001</c:v>
                </c:pt>
                <c:pt idx="43">
                  <c:v>20.9572</c:v>
                </c:pt>
                <c:pt idx="44">
                  <c:v>21.5016</c:v>
                </c:pt>
                <c:pt idx="45">
                  <c:v>22.045999999999999</c:v>
                </c:pt>
                <c:pt idx="46">
                  <c:v>22.5745</c:v>
                </c:pt>
                <c:pt idx="47">
                  <c:v>23.1189</c:v>
                </c:pt>
                <c:pt idx="48">
                  <c:v>23.6633</c:v>
                </c:pt>
                <c:pt idx="49">
                  <c:v>24.223600000000001</c:v>
                </c:pt>
                <c:pt idx="50">
                  <c:v>24.783899999999999</c:v>
                </c:pt>
                <c:pt idx="51">
                  <c:v>25.344200000000001</c:v>
                </c:pt>
                <c:pt idx="52">
                  <c:v>25.8886</c:v>
                </c:pt>
                <c:pt idx="53">
                  <c:v>26.433000000000003</c:v>
                </c:pt>
                <c:pt idx="54">
                  <c:v>26.977399999999999</c:v>
                </c:pt>
                <c:pt idx="55">
                  <c:v>27.521800000000002</c:v>
                </c:pt>
                <c:pt idx="56">
                  <c:v>28.066199999999998</c:v>
                </c:pt>
                <c:pt idx="57">
                  <c:v>28.6264</c:v>
                </c:pt>
                <c:pt idx="58">
                  <c:v>29.186699999999998</c:v>
                </c:pt>
                <c:pt idx="59">
                  <c:v>29.747000000000003</c:v>
                </c:pt>
                <c:pt idx="60">
                  <c:v>30.307300000000001</c:v>
                </c:pt>
                <c:pt idx="61">
                  <c:v>30.851699999999997</c:v>
                </c:pt>
                <c:pt idx="62">
                  <c:v>31.396100000000001</c:v>
                </c:pt>
                <c:pt idx="63">
                  <c:v>31.940500000000004</c:v>
                </c:pt>
                <c:pt idx="64">
                  <c:v>32.484899999999996</c:v>
                </c:pt>
              </c:numCache>
            </c:numRef>
          </c:xVal>
          <c:yVal>
            <c:numRef>
              <c:f>YS_40kDa_3!$S$2:$S$151</c:f>
              <c:numCache>
                <c:formatCode>General</c:formatCode>
                <c:ptCount val="150"/>
                <c:pt idx="0">
                  <c:v>1.6401745317996144</c:v>
                </c:pt>
                <c:pt idx="1">
                  <c:v>1.5125833358811067</c:v>
                </c:pt>
                <c:pt idx="2">
                  <c:v>1.5651381170223229</c:v>
                </c:pt>
                <c:pt idx="3">
                  <c:v>1.416184155469201</c:v>
                </c:pt>
                <c:pt idx="4">
                  <c:v>1.6527949244704105</c:v>
                </c:pt>
                <c:pt idx="5">
                  <c:v>0</c:v>
                </c:pt>
                <c:pt idx="6">
                  <c:v>3.8644699498413128E-2</c:v>
                </c:pt>
                <c:pt idx="7">
                  <c:v>7.6396259983131966E-3</c:v>
                </c:pt>
                <c:pt idx="8">
                  <c:v>1.224679366809372E-2</c:v>
                </c:pt>
                <c:pt idx="9">
                  <c:v>5.9098206314369829E-2</c:v>
                </c:pt>
                <c:pt idx="10">
                  <c:v>0.10207273748066546</c:v>
                </c:pt>
                <c:pt idx="11">
                  <c:v>0.15024606198851639</c:v>
                </c:pt>
                <c:pt idx="12">
                  <c:v>0.29520908156656406</c:v>
                </c:pt>
                <c:pt idx="13">
                  <c:v>0.37141569568703864</c:v>
                </c:pt>
                <c:pt idx="14">
                  <c:v>0.35669484448160249</c:v>
                </c:pt>
                <c:pt idx="15">
                  <c:v>0.27357812753981248</c:v>
                </c:pt>
                <c:pt idx="16">
                  <c:v>0.48752963964423496</c:v>
                </c:pt>
                <c:pt idx="17">
                  <c:v>0.47690804359507288</c:v>
                </c:pt>
                <c:pt idx="18">
                  <c:v>0.45360997536366049</c:v>
                </c:pt>
                <c:pt idx="19">
                  <c:v>0.43891482326352232</c:v>
                </c:pt>
                <c:pt idx="20">
                  <c:v>0.56684889853190545</c:v>
                </c:pt>
                <c:pt idx="21">
                  <c:v>0.46864118624012679</c:v>
                </c:pt>
                <c:pt idx="22">
                  <c:v>0.56395055795771132</c:v>
                </c:pt>
                <c:pt idx="23">
                  <c:v>0.61734521928263097</c:v>
                </c:pt>
                <c:pt idx="24">
                  <c:v>0.65642313975601119</c:v>
                </c:pt>
                <c:pt idx="25">
                  <c:v>0.64630419071346912</c:v>
                </c:pt>
                <c:pt idx="26">
                  <c:v>0.70021108398396092</c:v>
                </c:pt>
                <c:pt idx="27">
                  <c:v>0.68848202245029766</c:v>
                </c:pt>
                <c:pt idx="28">
                  <c:v>0.56924052530023761</c:v>
                </c:pt>
                <c:pt idx="29">
                  <c:v>0.70225004472572305</c:v>
                </c:pt>
                <c:pt idx="30">
                  <c:v>0.54376312805835003</c:v>
                </c:pt>
                <c:pt idx="31">
                  <c:v>0.63616784092445544</c:v>
                </c:pt>
                <c:pt idx="32">
                  <c:v>0.77769823869208154</c:v>
                </c:pt>
                <c:pt idx="33">
                  <c:v>0.73047427525911091</c:v>
                </c:pt>
                <c:pt idx="34">
                  <c:v>0.77741838630994764</c:v>
                </c:pt>
                <c:pt idx="35">
                  <c:v>0.74526338142800519</c:v>
                </c:pt>
                <c:pt idx="36">
                  <c:v>0.77850128443663402</c:v>
                </c:pt>
                <c:pt idx="37">
                  <c:v>0.91360915067278559</c:v>
                </c:pt>
                <c:pt idx="38">
                  <c:v>0.81692955719422555</c:v>
                </c:pt>
                <c:pt idx="39">
                  <c:v>0.79169608855275475</c:v>
                </c:pt>
                <c:pt idx="40">
                  <c:v>0.89217700927345556</c:v>
                </c:pt>
                <c:pt idx="41">
                  <c:v>0.95388173201468796</c:v>
                </c:pt>
                <c:pt idx="42">
                  <c:v>0.92152731030519586</c:v>
                </c:pt>
                <c:pt idx="43">
                  <c:v>0.810406941941756</c:v>
                </c:pt>
                <c:pt idx="44">
                  <c:v>0.857221168051014</c:v>
                </c:pt>
                <c:pt idx="45">
                  <c:v>0.84993480008753208</c:v>
                </c:pt>
                <c:pt idx="46">
                  <c:v>0.93626710630846322</c:v>
                </c:pt>
                <c:pt idx="47">
                  <c:v>1.0019319732521099</c:v>
                </c:pt>
                <c:pt idx="48">
                  <c:v>1.0597574061880988</c:v>
                </c:pt>
                <c:pt idx="49">
                  <c:v>1.0558544327047505</c:v>
                </c:pt>
                <c:pt idx="50">
                  <c:v>1.0392731004180249</c:v>
                </c:pt>
                <c:pt idx="51">
                  <c:v>1.0042310682873152</c:v>
                </c:pt>
                <c:pt idx="52">
                  <c:v>0.99363032292160092</c:v>
                </c:pt>
                <c:pt idx="53">
                  <c:v>1.0525193999991886</c:v>
                </c:pt>
                <c:pt idx="54">
                  <c:v>1.0037655276400341</c:v>
                </c:pt>
                <c:pt idx="55">
                  <c:v>0.96392044302980529</c:v>
                </c:pt>
                <c:pt idx="56">
                  <c:v>0.98332702280547668</c:v>
                </c:pt>
                <c:pt idx="57">
                  <c:v>1.0397158710667829</c:v>
                </c:pt>
                <c:pt idx="58">
                  <c:v>0.98360744013132106</c:v>
                </c:pt>
                <c:pt idx="59">
                  <c:v>0.97526420001825542</c:v>
                </c:pt>
                <c:pt idx="60">
                  <c:v>1.0218223197149721</c:v>
                </c:pt>
                <c:pt idx="61">
                  <c:v>1.019532391218601</c:v>
                </c:pt>
                <c:pt idx="62">
                  <c:v>0.99308421127278534</c:v>
                </c:pt>
                <c:pt idx="63">
                  <c:v>1.0504275059133166</c:v>
                </c:pt>
                <c:pt idx="64">
                  <c:v>0.96553306718865195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5-49FC-BBA6-AD8AB0B24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35808"/>
        <c:axId val="612737120"/>
      </c:scatterChart>
      <c:valAx>
        <c:axId val="61273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7120"/>
        <c:crosses val="autoZero"/>
        <c:crossBetween val="midCat"/>
      </c:valAx>
      <c:valAx>
        <c:axId val="612737120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YS_40kDa_4!$R$1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YS_40kDa_4!$B$2:$B$176</c:f>
              <c:numCache>
                <c:formatCode>General</c:formatCode>
                <c:ptCount val="175"/>
                <c:pt idx="0">
                  <c:v>-6.2149000000000001</c:v>
                </c:pt>
                <c:pt idx="1">
                  <c:v>-5.6705000000000005</c:v>
                </c:pt>
                <c:pt idx="2">
                  <c:v>-5.1101999999999999</c:v>
                </c:pt>
                <c:pt idx="3">
                  <c:v>-4.5499000000000001</c:v>
                </c:pt>
                <c:pt idx="4">
                  <c:v>-4.0054999999999996</c:v>
                </c:pt>
                <c:pt idx="5">
                  <c:v>0</c:v>
                </c:pt>
                <c:pt idx="6">
                  <c:v>0.54439999999999955</c:v>
                </c:pt>
                <c:pt idx="7">
                  <c:v>1.0888</c:v>
                </c:pt>
                <c:pt idx="8">
                  <c:v>1.6331999999999995</c:v>
                </c:pt>
                <c:pt idx="9">
                  <c:v>2.1776</c:v>
                </c:pt>
                <c:pt idx="10">
                  <c:v>2.7219999999999995</c:v>
                </c:pt>
                <c:pt idx="11">
                  <c:v>3.2822999999999993</c:v>
                </c:pt>
                <c:pt idx="12">
                  <c:v>3.8425999999999991</c:v>
                </c:pt>
                <c:pt idx="13">
                  <c:v>4.3711000000000002</c:v>
                </c:pt>
                <c:pt idx="14">
                  <c:v>4.9154999999999998</c:v>
                </c:pt>
                <c:pt idx="15">
                  <c:v>5.4598999999999993</c:v>
                </c:pt>
                <c:pt idx="16">
                  <c:v>6.0043000000000006</c:v>
                </c:pt>
                <c:pt idx="17">
                  <c:v>6.5487000000000002</c:v>
                </c:pt>
                <c:pt idx="18">
                  <c:v>7.0930999999999997</c:v>
                </c:pt>
                <c:pt idx="19">
                  <c:v>7.6374999999999993</c:v>
                </c:pt>
                <c:pt idx="20">
                  <c:v>8.1977999999999991</c:v>
                </c:pt>
                <c:pt idx="21">
                  <c:v>8.7422000000000004</c:v>
                </c:pt>
                <c:pt idx="22">
                  <c:v>9.3024000000000004</c:v>
                </c:pt>
                <c:pt idx="23">
                  <c:v>9.8309999999999995</c:v>
                </c:pt>
                <c:pt idx="24">
                  <c:v>10.375299999999999</c:v>
                </c:pt>
                <c:pt idx="25">
                  <c:v>10.919699999999999</c:v>
                </c:pt>
                <c:pt idx="26">
                  <c:v>11.464099999999998</c:v>
                </c:pt>
                <c:pt idx="27">
                  <c:v>12.0244</c:v>
                </c:pt>
                <c:pt idx="28">
                  <c:v>12.5688</c:v>
                </c:pt>
                <c:pt idx="29">
                  <c:v>13.129100000000001</c:v>
                </c:pt>
                <c:pt idx="30">
                  <c:v>13.689399999999999</c:v>
                </c:pt>
                <c:pt idx="31">
                  <c:v>14.233799999999999</c:v>
                </c:pt>
                <c:pt idx="32">
                  <c:v>14.778199999999998</c:v>
                </c:pt>
                <c:pt idx="33">
                  <c:v>15.322600000000001</c:v>
                </c:pt>
                <c:pt idx="34">
                  <c:v>15.867000000000001</c:v>
                </c:pt>
                <c:pt idx="35">
                  <c:v>16.4114</c:v>
                </c:pt>
                <c:pt idx="36">
                  <c:v>16.971699999999998</c:v>
                </c:pt>
                <c:pt idx="37">
                  <c:v>17.532</c:v>
                </c:pt>
                <c:pt idx="38">
                  <c:v>18.092300000000002</c:v>
                </c:pt>
                <c:pt idx="39">
                  <c:v>18.6525</c:v>
                </c:pt>
                <c:pt idx="40">
                  <c:v>19.196899999999999</c:v>
                </c:pt>
                <c:pt idx="41">
                  <c:v>19.741299999999999</c:v>
                </c:pt>
                <c:pt idx="42">
                  <c:v>20.285699999999999</c:v>
                </c:pt>
                <c:pt idx="43">
                  <c:v>20.830100000000002</c:v>
                </c:pt>
                <c:pt idx="44">
                  <c:v>21.374500000000001</c:v>
                </c:pt>
                <c:pt idx="45">
                  <c:v>21.934799999999999</c:v>
                </c:pt>
                <c:pt idx="46">
                  <c:v>22.495100000000001</c:v>
                </c:pt>
                <c:pt idx="47">
                  <c:v>23.055399999999999</c:v>
                </c:pt>
                <c:pt idx="48">
                  <c:v>23.599799999999998</c:v>
                </c:pt>
                <c:pt idx="49">
                  <c:v>24.144200000000001</c:v>
                </c:pt>
                <c:pt idx="50">
                  <c:v>24.688600000000001</c:v>
                </c:pt>
                <c:pt idx="51">
                  <c:v>25.233000000000001</c:v>
                </c:pt>
                <c:pt idx="52">
                  <c:v>25.7774</c:v>
                </c:pt>
                <c:pt idx="53">
                  <c:v>26.337699999999998</c:v>
                </c:pt>
                <c:pt idx="54">
                  <c:v>26.8979</c:v>
                </c:pt>
                <c:pt idx="55">
                  <c:v>27.458199999999998</c:v>
                </c:pt>
                <c:pt idx="56">
                  <c:v>28.018500000000003</c:v>
                </c:pt>
                <c:pt idx="57">
                  <c:v>28.578800000000001</c:v>
                </c:pt>
                <c:pt idx="58">
                  <c:v>29.123199999999997</c:v>
                </c:pt>
                <c:pt idx="59">
                  <c:v>29.6676</c:v>
                </c:pt>
                <c:pt idx="60">
                  <c:v>30.212000000000003</c:v>
                </c:pt>
                <c:pt idx="61">
                  <c:v>30.756399999999999</c:v>
                </c:pt>
                <c:pt idx="62">
                  <c:v>31.316699999999997</c:v>
                </c:pt>
                <c:pt idx="63">
                  <c:v>31.877000000000002</c:v>
                </c:pt>
                <c:pt idx="64">
                  <c:v>32.4373</c:v>
                </c:pt>
              </c:numCache>
            </c:numRef>
          </c:xVal>
          <c:yVal>
            <c:numRef>
              <c:f>YS_40kDa_4!$R$2:$R$176</c:f>
              <c:numCache>
                <c:formatCode>General</c:formatCode>
                <c:ptCount val="175"/>
                <c:pt idx="0">
                  <c:v>1.3024898917301595</c:v>
                </c:pt>
                <c:pt idx="1">
                  <c:v>1.2944190827640043</c:v>
                </c:pt>
                <c:pt idx="2">
                  <c:v>1.2478795882443408</c:v>
                </c:pt>
                <c:pt idx="3">
                  <c:v>1.7397362169324595</c:v>
                </c:pt>
                <c:pt idx="4">
                  <c:v>1.2844133382600302</c:v>
                </c:pt>
                <c:pt idx="5">
                  <c:v>0</c:v>
                </c:pt>
                <c:pt idx="6">
                  <c:v>0.16702696521782681</c:v>
                </c:pt>
                <c:pt idx="7">
                  <c:v>0.33676428121548363</c:v>
                </c:pt>
                <c:pt idx="8">
                  <c:v>0.48646242381211557</c:v>
                </c:pt>
                <c:pt idx="9">
                  <c:v>0.40872719443629918</c:v>
                </c:pt>
                <c:pt idx="10">
                  <c:v>0.62468601652390443</c:v>
                </c:pt>
                <c:pt idx="11">
                  <c:v>0.70051030513812196</c:v>
                </c:pt>
                <c:pt idx="12">
                  <c:v>0.62970450666842281</c:v>
                </c:pt>
                <c:pt idx="13">
                  <c:v>0.71879091158948238</c:v>
                </c:pt>
                <c:pt idx="14">
                  <c:v>0.62243546183363052</c:v>
                </c:pt>
                <c:pt idx="15">
                  <c:v>0.67804920383478018</c:v>
                </c:pt>
                <c:pt idx="16">
                  <c:v>0.77095828351669837</c:v>
                </c:pt>
                <c:pt idx="17">
                  <c:v>0.72882773765041076</c:v>
                </c:pt>
                <c:pt idx="18">
                  <c:v>0.7230180929417892</c:v>
                </c:pt>
                <c:pt idx="19">
                  <c:v>0.73470417121691711</c:v>
                </c:pt>
                <c:pt idx="20">
                  <c:v>0.73609225966355296</c:v>
                </c:pt>
                <c:pt idx="21">
                  <c:v>0.7952183989245829</c:v>
                </c:pt>
                <c:pt idx="22">
                  <c:v>0.78239550011076275</c:v>
                </c:pt>
                <c:pt idx="23">
                  <c:v>0.79727728047671531</c:v>
                </c:pt>
                <c:pt idx="24">
                  <c:v>0.77772507105777688</c:v>
                </c:pt>
                <c:pt idx="25">
                  <c:v>0.78661483339980087</c:v>
                </c:pt>
                <c:pt idx="26">
                  <c:v>0.78893970547714198</c:v>
                </c:pt>
                <c:pt idx="27">
                  <c:v>0.81953746181346432</c:v>
                </c:pt>
                <c:pt idx="28">
                  <c:v>0.83400082079416538</c:v>
                </c:pt>
                <c:pt idx="29">
                  <c:v>0.84356758516027786</c:v>
                </c:pt>
                <c:pt idx="30">
                  <c:v>0.84984434206386261</c:v>
                </c:pt>
                <c:pt idx="31">
                  <c:v>0.82564159225648692</c:v>
                </c:pt>
                <c:pt idx="32">
                  <c:v>0.84335893268045004</c:v>
                </c:pt>
                <c:pt idx="33">
                  <c:v>0.79080719734662996</c:v>
                </c:pt>
                <c:pt idx="34">
                  <c:v>0.76342697560112671</c:v>
                </c:pt>
                <c:pt idx="35">
                  <c:v>0.79955305011711464</c:v>
                </c:pt>
                <c:pt idx="36">
                  <c:v>0.85843477268924517</c:v>
                </c:pt>
                <c:pt idx="37">
                  <c:v>0.8572070823445046</c:v>
                </c:pt>
                <c:pt idx="38">
                  <c:v>0.92470520827612401</c:v>
                </c:pt>
                <c:pt idx="39">
                  <c:v>0.92552243419895863</c:v>
                </c:pt>
                <c:pt idx="40">
                  <c:v>0.88484059993424158</c:v>
                </c:pt>
                <c:pt idx="41">
                  <c:v>0.90169097472430138</c:v>
                </c:pt>
                <c:pt idx="42">
                  <c:v>0.96907526865182592</c:v>
                </c:pt>
                <c:pt idx="43">
                  <c:v>0.9832165064752143</c:v>
                </c:pt>
                <c:pt idx="44">
                  <c:v>0.9398626043920052</c:v>
                </c:pt>
                <c:pt idx="45">
                  <c:v>1.0182503646863481</c:v>
                </c:pt>
                <c:pt idx="46">
                  <c:v>1.0292187382312286</c:v>
                </c:pt>
                <c:pt idx="47">
                  <c:v>1.0055248473875402</c:v>
                </c:pt>
                <c:pt idx="48">
                  <c:v>1.0259970342503195</c:v>
                </c:pt>
                <c:pt idx="49">
                  <c:v>1.0511236483424231</c:v>
                </c:pt>
                <c:pt idx="50">
                  <c:v>1.0505567099522117</c:v>
                </c:pt>
                <c:pt idx="51">
                  <c:v>1.0203737942001139</c:v>
                </c:pt>
                <c:pt idx="52">
                  <c:v>1.0415036867528398</c:v>
                </c:pt>
                <c:pt idx="53">
                  <c:v>1.0378357531524542</c:v>
                </c:pt>
                <c:pt idx="54">
                  <c:v>1.0867884839744688</c:v>
                </c:pt>
                <c:pt idx="55">
                  <c:v>1.0304853209430567</c:v>
                </c:pt>
                <c:pt idx="56">
                  <c:v>0.95261255530725331</c:v>
                </c:pt>
                <c:pt idx="57">
                  <c:v>1.0223667986574534</c:v>
                </c:pt>
                <c:pt idx="58">
                  <c:v>0.97326966353691879</c:v>
                </c:pt>
                <c:pt idx="59">
                  <c:v>0.94757178894683136</c:v>
                </c:pt>
                <c:pt idx="60">
                  <c:v>1.0164792599640555</c:v>
                </c:pt>
                <c:pt idx="61">
                  <c:v>1.015187115409083</c:v>
                </c:pt>
                <c:pt idx="62">
                  <c:v>1.0378022283649464</c:v>
                </c:pt>
                <c:pt idx="63">
                  <c:v>0.95276150864766607</c:v>
                </c:pt>
                <c:pt idx="64">
                  <c:v>0.96467527624826088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97-4FE9-8777-1F9EDBCC1588}"/>
            </c:ext>
          </c:extLst>
        </c:ser>
        <c:ser>
          <c:idx val="1"/>
          <c:order val="1"/>
          <c:tx>
            <c:strRef>
              <c:f>YS_40kDa_4!$S$1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YS_40kDa_4!$B$2:$B$176</c:f>
              <c:numCache>
                <c:formatCode>General</c:formatCode>
                <c:ptCount val="175"/>
                <c:pt idx="0">
                  <c:v>-6.2149000000000001</c:v>
                </c:pt>
                <c:pt idx="1">
                  <c:v>-5.6705000000000005</c:v>
                </c:pt>
                <c:pt idx="2">
                  <c:v>-5.1101999999999999</c:v>
                </c:pt>
                <c:pt idx="3">
                  <c:v>-4.5499000000000001</c:v>
                </c:pt>
                <c:pt idx="4">
                  <c:v>-4.0054999999999996</c:v>
                </c:pt>
                <c:pt idx="5">
                  <c:v>0</c:v>
                </c:pt>
                <c:pt idx="6">
                  <c:v>0.54439999999999955</c:v>
                </c:pt>
                <c:pt idx="7">
                  <c:v>1.0888</c:v>
                </c:pt>
                <c:pt idx="8">
                  <c:v>1.6331999999999995</c:v>
                </c:pt>
                <c:pt idx="9">
                  <c:v>2.1776</c:v>
                </c:pt>
                <c:pt idx="10">
                  <c:v>2.7219999999999995</c:v>
                </c:pt>
                <c:pt idx="11">
                  <c:v>3.2822999999999993</c:v>
                </c:pt>
                <c:pt idx="12">
                  <c:v>3.8425999999999991</c:v>
                </c:pt>
                <c:pt idx="13">
                  <c:v>4.3711000000000002</c:v>
                </c:pt>
                <c:pt idx="14">
                  <c:v>4.9154999999999998</c:v>
                </c:pt>
                <c:pt idx="15">
                  <c:v>5.4598999999999993</c:v>
                </c:pt>
                <c:pt idx="16">
                  <c:v>6.0043000000000006</c:v>
                </c:pt>
                <c:pt idx="17">
                  <c:v>6.5487000000000002</c:v>
                </c:pt>
                <c:pt idx="18">
                  <c:v>7.0930999999999997</c:v>
                </c:pt>
                <c:pt idx="19">
                  <c:v>7.6374999999999993</c:v>
                </c:pt>
                <c:pt idx="20">
                  <c:v>8.1977999999999991</c:v>
                </c:pt>
                <c:pt idx="21">
                  <c:v>8.7422000000000004</c:v>
                </c:pt>
                <c:pt idx="22">
                  <c:v>9.3024000000000004</c:v>
                </c:pt>
                <c:pt idx="23">
                  <c:v>9.8309999999999995</c:v>
                </c:pt>
                <c:pt idx="24">
                  <c:v>10.375299999999999</c:v>
                </c:pt>
                <c:pt idx="25">
                  <c:v>10.919699999999999</c:v>
                </c:pt>
                <c:pt idx="26">
                  <c:v>11.464099999999998</c:v>
                </c:pt>
                <c:pt idx="27">
                  <c:v>12.0244</c:v>
                </c:pt>
                <c:pt idx="28">
                  <c:v>12.5688</c:v>
                </c:pt>
                <c:pt idx="29">
                  <c:v>13.129100000000001</c:v>
                </c:pt>
                <c:pt idx="30">
                  <c:v>13.689399999999999</c:v>
                </c:pt>
                <c:pt idx="31">
                  <c:v>14.233799999999999</c:v>
                </c:pt>
                <c:pt idx="32">
                  <c:v>14.778199999999998</c:v>
                </c:pt>
                <c:pt idx="33">
                  <c:v>15.322600000000001</c:v>
                </c:pt>
                <c:pt idx="34">
                  <c:v>15.867000000000001</c:v>
                </c:pt>
                <c:pt idx="35">
                  <c:v>16.4114</c:v>
                </c:pt>
                <c:pt idx="36">
                  <c:v>16.971699999999998</c:v>
                </c:pt>
                <c:pt idx="37">
                  <c:v>17.532</c:v>
                </c:pt>
                <c:pt idx="38">
                  <c:v>18.092300000000002</c:v>
                </c:pt>
                <c:pt idx="39">
                  <c:v>18.6525</c:v>
                </c:pt>
                <c:pt idx="40">
                  <c:v>19.196899999999999</c:v>
                </c:pt>
                <c:pt idx="41">
                  <c:v>19.741299999999999</c:v>
                </c:pt>
                <c:pt idx="42">
                  <c:v>20.285699999999999</c:v>
                </c:pt>
                <c:pt idx="43">
                  <c:v>20.830100000000002</c:v>
                </c:pt>
                <c:pt idx="44">
                  <c:v>21.374500000000001</c:v>
                </c:pt>
                <c:pt idx="45">
                  <c:v>21.934799999999999</c:v>
                </c:pt>
                <c:pt idx="46">
                  <c:v>22.495100000000001</c:v>
                </c:pt>
                <c:pt idx="47">
                  <c:v>23.055399999999999</c:v>
                </c:pt>
                <c:pt idx="48">
                  <c:v>23.599799999999998</c:v>
                </c:pt>
                <c:pt idx="49">
                  <c:v>24.144200000000001</c:v>
                </c:pt>
                <c:pt idx="50">
                  <c:v>24.688600000000001</c:v>
                </c:pt>
                <c:pt idx="51">
                  <c:v>25.233000000000001</c:v>
                </c:pt>
                <c:pt idx="52">
                  <c:v>25.7774</c:v>
                </c:pt>
                <c:pt idx="53">
                  <c:v>26.337699999999998</c:v>
                </c:pt>
                <c:pt idx="54">
                  <c:v>26.8979</c:v>
                </c:pt>
                <c:pt idx="55">
                  <c:v>27.458199999999998</c:v>
                </c:pt>
                <c:pt idx="56">
                  <c:v>28.018500000000003</c:v>
                </c:pt>
                <c:pt idx="57">
                  <c:v>28.578800000000001</c:v>
                </c:pt>
                <c:pt idx="58">
                  <c:v>29.123199999999997</c:v>
                </c:pt>
                <c:pt idx="59">
                  <c:v>29.6676</c:v>
                </c:pt>
                <c:pt idx="60">
                  <c:v>30.212000000000003</c:v>
                </c:pt>
                <c:pt idx="61">
                  <c:v>30.756399999999999</c:v>
                </c:pt>
                <c:pt idx="62">
                  <c:v>31.316699999999997</c:v>
                </c:pt>
                <c:pt idx="63">
                  <c:v>31.877000000000002</c:v>
                </c:pt>
                <c:pt idx="64">
                  <c:v>32.4373</c:v>
                </c:pt>
              </c:numCache>
            </c:numRef>
          </c:xVal>
          <c:yVal>
            <c:numRef>
              <c:f>YS_40kDa_4!$S$2:$S$176</c:f>
              <c:numCache>
                <c:formatCode>General</c:formatCode>
                <c:ptCount val="175"/>
                <c:pt idx="0">
                  <c:v>1.2093232212945673</c:v>
                </c:pt>
                <c:pt idx="1">
                  <c:v>1.2007701496806376</c:v>
                </c:pt>
                <c:pt idx="2">
                  <c:v>1.1775367970696073</c:v>
                </c:pt>
                <c:pt idx="3">
                  <c:v>1.3734942934777827</c:v>
                </c:pt>
                <c:pt idx="4">
                  <c:v>1.1390416731900059</c:v>
                </c:pt>
                <c:pt idx="5">
                  <c:v>0</c:v>
                </c:pt>
                <c:pt idx="6">
                  <c:v>0.10380978038665724</c:v>
                </c:pt>
                <c:pt idx="7">
                  <c:v>0.10052024679765789</c:v>
                </c:pt>
                <c:pt idx="8">
                  <c:v>0.20084472995386815</c:v>
                </c:pt>
                <c:pt idx="9">
                  <c:v>0.26125275404850223</c:v>
                </c:pt>
                <c:pt idx="10">
                  <c:v>0.35213222442454151</c:v>
                </c:pt>
                <c:pt idx="11">
                  <c:v>0.33200064001429846</c:v>
                </c:pt>
                <c:pt idx="12">
                  <c:v>0.41377203611223107</c:v>
                </c:pt>
                <c:pt idx="13">
                  <c:v>0.34193627100360224</c:v>
                </c:pt>
                <c:pt idx="14">
                  <c:v>0.40689293113104341</c:v>
                </c:pt>
                <c:pt idx="15">
                  <c:v>0.40416453252805618</c:v>
                </c:pt>
                <c:pt idx="16">
                  <c:v>0.46636706479179435</c:v>
                </c:pt>
                <c:pt idx="17">
                  <c:v>0.4323356575303372</c:v>
                </c:pt>
                <c:pt idx="18">
                  <c:v>0.41018423118951991</c:v>
                </c:pt>
                <c:pt idx="19">
                  <c:v>0.43444729134798676</c:v>
                </c:pt>
                <c:pt idx="20">
                  <c:v>0.56715089953632125</c:v>
                </c:pt>
                <c:pt idx="21">
                  <c:v>0.47651744707064997</c:v>
                </c:pt>
                <c:pt idx="22">
                  <c:v>0.43202985783524456</c:v>
                </c:pt>
                <c:pt idx="23">
                  <c:v>0.49387149118382873</c:v>
                </c:pt>
                <c:pt idx="24">
                  <c:v>0.56911027864450803</c:v>
                </c:pt>
                <c:pt idx="25">
                  <c:v>0.59568175065692364</c:v>
                </c:pt>
                <c:pt idx="26">
                  <c:v>0.60949564275273316</c:v>
                </c:pt>
                <c:pt idx="27">
                  <c:v>0.64921148102371817</c:v>
                </c:pt>
                <c:pt idx="28">
                  <c:v>0.6102376145650702</c:v>
                </c:pt>
                <c:pt idx="29">
                  <c:v>0.66442013027582569</c:v>
                </c:pt>
                <c:pt idx="30">
                  <c:v>0.58142624969721601</c:v>
                </c:pt>
                <c:pt idx="31">
                  <c:v>0.64810200851130539</c:v>
                </c:pt>
                <c:pt idx="32">
                  <c:v>0.682296777298671</c:v>
                </c:pt>
                <c:pt idx="33">
                  <c:v>0.58827728523965939</c:v>
                </c:pt>
                <c:pt idx="34">
                  <c:v>0.66978514532271771</c:v>
                </c:pt>
                <c:pt idx="35">
                  <c:v>0.76193965574677713</c:v>
                </c:pt>
                <c:pt idx="36">
                  <c:v>0.72132338883534419</c:v>
                </c:pt>
                <c:pt idx="37">
                  <c:v>0.86547481784042224</c:v>
                </c:pt>
                <c:pt idx="38">
                  <c:v>0.71226304993784495</c:v>
                </c:pt>
                <c:pt idx="39">
                  <c:v>0.74374495600439172</c:v>
                </c:pt>
                <c:pt idx="40">
                  <c:v>0.8058209040822395</c:v>
                </c:pt>
                <c:pt idx="41">
                  <c:v>0.80399342600832302</c:v>
                </c:pt>
                <c:pt idx="42">
                  <c:v>0.85975654897175013</c:v>
                </c:pt>
                <c:pt idx="43">
                  <c:v>0.9927435083863011</c:v>
                </c:pt>
                <c:pt idx="44">
                  <c:v>0.75534650739709697</c:v>
                </c:pt>
                <c:pt idx="45">
                  <c:v>0.82024387011796529</c:v>
                </c:pt>
                <c:pt idx="46">
                  <c:v>0.81195419309823746</c:v>
                </c:pt>
                <c:pt idx="47">
                  <c:v>0.92887147582085527</c:v>
                </c:pt>
                <c:pt idx="48">
                  <c:v>0.82437865778808594</c:v>
                </c:pt>
                <c:pt idx="49">
                  <c:v>0.80908415309924253</c:v>
                </c:pt>
                <c:pt idx="50">
                  <c:v>0.97435389157245123</c:v>
                </c:pt>
                <c:pt idx="51">
                  <c:v>1.0041992888028768</c:v>
                </c:pt>
                <c:pt idx="52">
                  <c:v>0.82878884738243841</c:v>
                </c:pt>
                <c:pt idx="53">
                  <c:v>0.95338215975439711</c:v>
                </c:pt>
                <c:pt idx="54">
                  <c:v>0.8909976704877659</c:v>
                </c:pt>
                <c:pt idx="55">
                  <c:v>1.0182404375269765</c:v>
                </c:pt>
                <c:pt idx="56">
                  <c:v>1.0014557938943169</c:v>
                </c:pt>
                <c:pt idx="57">
                  <c:v>0.91476073925365309</c:v>
                </c:pt>
                <c:pt idx="58">
                  <c:v>0.98763722639779039</c:v>
                </c:pt>
                <c:pt idx="59">
                  <c:v>1.0849907954582947</c:v>
                </c:pt>
                <c:pt idx="60">
                  <c:v>1.0421390532936456</c:v>
                </c:pt>
                <c:pt idx="61">
                  <c:v>0.97443237326686782</c:v>
                </c:pt>
                <c:pt idx="62">
                  <c:v>0.97436176982091949</c:v>
                </c:pt>
                <c:pt idx="63">
                  <c:v>1.0731109466836948</c:v>
                </c:pt>
                <c:pt idx="64">
                  <c:v>1.0378731939160726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97-4FE9-8777-1F9EDBCC1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443184"/>
        <c:axId val="604443512"/>
      </c:scatterChart>
      <c:valAx>
        <c:axId val="6044431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43512"/>
        <c:crosses val="autoZero"/>
        <c:crossBetween val="midCat"/>
      </c:valAx>
      <c:valAx>
        <c:axId val="60444351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4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YS_250kDa_1!$R$1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YS_250kDa_1!$B$2:$B$76</c:f>
              <c:numCache>
                <c:formatCode>General</c:formatCode>
                <c:ptCount val="75"/>
                <c:pt idx="0">
                  <c:v>-7.9446000000000003</c:v>
                </c:pt>
                <c:pt idx="1">
                  <c:v>-7.4415000000000004</c:v>
                </c:pt>
                <c:pt idx="2">
                  <c:v>-6.9419000000000004</c:v>
                </c:pt>
                <c:pt idx="3">
                  <c:v>-6.4417000000000009</c:v>
                </c:pt>
                <c:pt idx="4">
                  <c:v>-5.9420999999999999</c:v>
                </c:pt>
                <c:pt idx="5">
                  <c:v>-5.4416000000000002</c:v>
                </c:pt>
                <c:pt idx="6">
                  <c:v>-4.9421999999999997</c:v>
                </c:pt>
                <c:pt idx="7">
                  <c:v>-4.4418000000000006</c:v>
                </c:pt>
                <c:pt idx="8">
                  <c:v>-3.9417</c:v>
                </c:pt>
                <c:pt idx="9">
                  <c:v>-3.4417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1.0032000000000005</c:v>
                </c:pt>
                <c:pt idx="13">
                  <c:v>1.5026000000000002</c:v>
                </c:pt>
                <c:pt idx="14">
                  <c:v>2.0027999999999997</c:v>
                </c:pt>
                <c:pt idx="15">
                  <c:v>2.5023999999999988</c:v>
                </c:pt>
                <c:pt idx="16">
                  <c:v>3.0032000000000005</c:v>
                </c:pt>
                <c:pt idx="17">
                  <c:v>3.5026000000000002</c:v>
                </c:pt>
                <c:pt idx="18">
                  <c:v>4.0026000000000002</c:v>
                </c:pt>
                <c:pt idx="19">
                  <c:v>4.5026000000000002</c:v>
                </c:pt>
                <c:pt idx="20">
                  <c:v>5.0027999999999997</c:v>
                </c:pt>
                <c:pt idx="21">
                  <c:v>5.5026999999999999</c:v>
                </c:pt>
                <c:pt idx="22">
                  <c:v>6.0028999999999995</c:v>
                </c:pt>
                <c:pt idx="23">
                  <c:v>6.5025000000000004</c:v>
                </c:pt>
                <c:pt idx="24">
                  <c:v>7.0026999999999999</c:v>
                </c:pt>
                <c:pt idx="25">
                  <c:v>7.5026999999999999</c:v>
                </c:pt>
                <c:pt idx="26">
                  <c:v>8.0027000000000008</c:v>
                </c:pt>
                <c:pt idx="27">
                  <c:v>8.502799999999997</c:v>
                </c:pt>
                <c:pt idx="28">
                  <c:v>9.002799999999997</c:v>
                </c:pt>
                <c:pt idx="29">
                  <c:v>9.502799999999997</c:v>
                </c:pt>
                <c:pt idx="30">
                  <c:v>10.002799999999997</c:v>
                </c:pt>
                <c:pt idx="31">
                  <c:v>10.5029</c:v>
                </c:pt>
                <c:pt idx="32">
                  <c:v>11.0029</c:v>
                </c:pt>
                <c:pt idx="33">
                  <c:v>11.5029</c:v>
                </c:pt>
                <c:pt idx="34">
                  <c:v>12.0029</c:v>
                </c:pt>
                <c:pt idx="35">
                  <c:v>12.502399999999998</c:v>
                </c:pt>
                <c:pt idx="36">
                  <c:v>13.0032</c:v>
                </c:pt>
                <c:pt idx="37">
                  <c:v>13.502799999999997</c:v>
                </c:pt>
                <c:pt idx="38">
                  <c:v>14.003</c:v>
                </c:pt>
                <c:pt idx="39">
                  <c:v>14.502399999999998</c:v>
                </c:pt>
                <c:pt idx="40">
                  <c:v>15.003</c:v>
                </c:pt>
                <c:pt idx="41">
                  <c:v>15.502399999999998</c:v>
                </c:pt>
                <c:pt idx="42">
                  <c:v>16.002599999999997</c:v>
                </c:pt>
                <c:pt idx="43">
                  <c:v>16.502499999999998</c:v>
                </c:pt>
                <c:pt idx="44">
                  <c:v>17.0031</c:v>
                </c:pt>
                <c:pt idx="45">
                  <c:v>17.502499999999998</c:v>
                </c:pt>
                <c:pt idx="46">
                  <c:v>18.002699999999997</c:v>
                </c:pt>
                <c:pt idx="47">
                  <c:v>18.5029</c:v>
                </c:pt>
                <c:pt idx="48">
                  <c:v>19.0031</c:v>
                </c:pt>
                <c:pt idx="49">
                  <c:v>19.502499999999998</c:v>
                </c:pt>
                <c:pt idx="50">
                  <c:v>20.0032</c:v>
                </c:pt>
                <c:pt idx="51">
                  <c:v>20.502599999999997</c:v>
                </c:pt>
                <c:pt idx="52">
                  <c:v>21.002799999999997</c:v>
                </c:pt>
                <c:pt idx="53">
                  <c:v>21.502399999999998</c:v>
                </c:pt>
                <c:pt idx="54">
                  <c:v>22.0032</c:v>
                </c:pt>
                <c:pt idx="55">
                  <c:v>22.502599999999997</c:v>
                </c:pt>
                <c:pt idx="56">
                  <c:v>23.0032</c:v>
                </c:pt>
                <c:pt idx="57">
                  <c:v>23.502599999999997</c:v>
                </c:pt>
                <c:pt idx="58">
                  <c:v>24.002799999999997</c:v>
                </c:pt>
                <c:pt idx="59">
                  <c:v>24.502400000000002</c:v>
                </c:pt>
                <c:pt idx="60">
                  <c:v>25.002600000000001</c:v>
                </c:pt>
                <c:pt idx="61">
                  <c:v>25.502600000000001</c:v>
                </c:pt>
                <c:pt idx="62">
                  <c:v>26.002699999999997</c:v>
                </c:pt>
                <c:pt idx="63">
                  <c:v>26.502499999999998</c:v>
                </c:pt>
                <c:pt idx="64">
                  <c:v>27.0032</c:v>
                </c:pt>
                <c:pt idx="65">
                  <c:v>27.502600000000001</c:v>
                </c:pt>
                <c:pt idx="66">
                  <c:v>28.002800000000001</c:v>
                </c:pt>
                <c:pt idx="67">
                  <c:v>28.502400000000002</c:v>
                </c:pt>
                <c:pt idx="68">
                  <c:v>29.0032</c:v>
                </c:pt>
                <c:pt idx="69">
                  <c:v>29.502600000000001</c:v>
                </c:pt>
                <c:pt idx="70">
                  <c:v>30.0032</c:v>
                </c:pt>
                <c:pt idx="71">
                  <c:v>30.502800000000001</c:v>
                </c:pt>
                <c:pt idx="72">
                  <c:v>31.003</c:v>
                </c:pt>
                <c:pt idx="73">
                  <c:v>31.502600000000001</c:v>
                </c:pt>
                <c:pt idx="74">
                  <c:v>32.002800000000001</c:v>
                </c:pt>
              </c:numCache>
            </c:numRef>
          </c:xVal>
          <c:yVal>
            <c:numRef>
              <c:f>YS_250kDa_1!$R$2:$R$76</c:f>
              <c:numCache>
                <c:formatCode>General</c:formatCode>
                <c:ptCount val="75"/>
                <c:pt idx="0">
                  <c:v>1.1852897249043211</c:v>
                </c:pt>
                <c:pt idx="1">
                  <c:v>1.2694040402331528</c:v>
                </c:pt>
                <c:pt idx="2">
                  <c:v>1.221100018047991</c:v>
                </c:pt>
                <c:pt idx="3">
                  <c:v>1.1540929184579163</c:v>
                </c:pt>
                <c:pt idx="4">
                  <c:v>1.1522722653921902</c:v>
                </c:pt>
                <c:pt idx="5">
                  <c:v>1.2908368735259352</c:v>
                </c:pt>
                <c:pt idx="6">
                  <c:v>1.215144385333466</c:v>
                </c:pt>
                <c:pt idx="7">
                  <c:v>1.1878733212502637</c:v>
                </c:pt>
                <c:pt idx="8">
                  <c:v>1.2279371575074902</c:v>
                </c:pt>
                <c:pt idx="9">
                  <c:v>1.1549100058788782</c:v>
                </c:pt>
                <c:pt idx="10">
                  <c:v>0</c:v>
                </c:pt>
                <c:pt idx="11">
                  <c:v>0.23549801718438559</c:v>
                </c:pt>
                <c:pt idx="12">
                  <c:v>0.29194817274479484</c:v>
                </c:pt>
                <c:pt idx="13">
                  <c:v>0.44183340418516798</c:v>
                </c:pt>
                <c:pt idx="14">
                  <c:v>0.47280921459912661</c:v>
                </c:pt>
                <c:pt idx="15">
                  <c:v>0.52924954511930378</c:v>
                </c:pt>
                <c:pt idx="16">
                  <c:v>0.58361854400231239</c:v>
                </c:pt>
                <c:pt idx="17">
                  <c:v>0.63125181492067006</c:v>
                </c:pt>
                <c:pt idx="18">
                  <c:v>0.694933262088966</c:v>
                </c:pt>
                <c:pt idx="19">
                  <c:v>0.74108769002054242</c:v>
                </c:pt>
                <c:pt idx="20">
                  <c:v>0.72953866409284773</c:v>
                </c:pt>
                <c:pt idx="21">
                  <c:v>0.78526719982047521</c:v>
                </c:pt>
                <c:pt idx="22">
                  <c:v>0.79547782194844652</c:v>
                </c:pt>
                <c:pt idx="23">
                  <c:v>0.88085960824567566</c:v>
                </c:pt>
                <c:pt idx="24">
                  <c:v>0.89723647943226836</c:v>
                </c:pt>
                <c:pt idx="25">
                  <c:v>0.87917944872448672</c:v>
                </c:pt>
                <c:pt idx="26">
                  <c:v>0.84456490690132535</c:v>
                </c:pt>
                <c:pt idx="27">
                  <c:v>0.8403781967501277</c:v>
                </c:pt>
                <c:pt idx="28">
                  <c:v>0.87730706764887345</c:v>
                </c:pt>
                <c:pt idx="29">
                  <c:v>0.8010738041375427</c:v>
                </c:pt>
                <c:pt idx="30">
                  <c:v>0.88283461887304426</c:v>
                </c:pt>
                <c:pt idx="31">
                  <c:v>0.8912136425523759</c:v>
                </c:pt>
                <c:pt idx="32">
                  <c:v>0.88082661052084477</c:v>
                </c:pt>
                <c:pt idx="33">
                  <c:v>0.88395465518587357</c:v>
                </c:pt>
                <c:pt idx="34">
                  <c:v>0.87578207814217435</c:v>
                </c:pt>
                <c:pt idx="35">
                  <c:v>0.87474968759501703</c:v>
                </c:pt>
                <c:pt idx="36">
                  <c:v>0.87415989942161076</c:v>
                </c:pt>
                <c:pt idx="37">
                  <c:v>0.88400676296280145</c:v>
                </c:pt>
                <c:pt idx="38">
                  <c:v>0.93222209790674715</c:v>
                </c:pt>
                <c:pt idx="39">
                  <c:v>0.9329734107852885</c:v>
                </c:pt>
                <c:pt idx="40">
                  <c:v>0.95583187440833306</c:v>
                </c:pt>
                <c:pt idx="41">
                  <c:v>0.87213904312304391</c:v>
                </c:pt>
                <c:pt idx="42">
                  <c:v>0.90286663117364296</c:v>
                </c:pt>
                <c:pt idx="43">
                  <c:v>0.93933114305659948</c:v>
                </c:pt>
                <c:pt idx="44">
                  <c:v>0.89657214859010748</c:v>
                </c:pt>
                <c:pt idx="45">
                  <c:v>0.90671635691583696</c:v>
                </c:pt>
                <c:pt idx="46">
                  <c:v>0.90375075924433657</c:v>
                </c:pt>
                <c:pt idx="47">
                  <c:v>0.88608447486452602</c:v>
                </c:pt>
                <c:pt idx="48">
                  <c:v>0.94437735853310756</c:v>
                </c:pt>
                <c:pt idx="49">
                  <c:v>0.98117732541161973</c:v>
                </c:pt>
                <c:pt idx="50">
                  <c:v>0.9437239934258369</c:v>
                </c:pt>
                <c:pt idx="51">
                  <c:v>0.93921436253165447</c:v>
                </c:pt>
                <c:pt idx="52">
                  <c:v>0.90981227218686367</c:v>
                </c:pt>
                <c:pt idx="53">
                  <c:v>0.91968460638837424</c:v>
                </c:pt>
                <c:pt idx="54">
                  <c:v>0.94917135100328687</c:v>
                </c:pt>
                <c:pt idx="55">
                  <c:v>0.97762934837110937</c:v>
                </c:pt>
                <c:pt idx="56">
                  <c:v>0.89797083438894176</c:v>
                </c:pt>
                <c:pt idx="57">
                  <c:v>0.9404925999893482</c:v>
                </c:pt>
                <c:pt idx="58">
                  <c:v>0.97842104230372984</c:v>
                </c:pt>
                <c:pt idx="59">
                  <c:v>0.9231756248641122</c:v>
                </c:pt>
                <c:pt idx="60">
                  <c:v>0.96180832036409558</c:v>
                </c:pt>
                <c:pt idx="61">
                  <c:v>0.97982734093763579</c:v>
                </c:pt>
                <c:pt idx="62">
                  <c:v>0.95354305785755045</c:v>
                </c:pt>
                <c:pt idx="63">
                  <c:v>0.97374594371325074</c:v>
                </c:pt>
                <c:pt idx="64">
                  <c:v>0.9538150378170116</c:v>
                </c:pt>
                <c:pt idx="65">
                  <c:v>1.0414784712560532</c:v>
                </c:pt>
                <c:pt idx="66">
                  <c:v>0.91573136848023617</c:v>
                </c:pt>
                <c:pt idx="67">
                  <c:v>1.019887859336619</c:v>
                </c:pt>
                <c:pt idx="68">
                  <c:v>1.0174559290384406</c:v>
                </c:pt>
                <c:pt idx="69">
                  <c:v>0.98783669044394651</c:v>
                </c:pt>
                <c:pt idx="70">
                  <c:v>1.0231822285005601</c:v>
                </c:pt>
                <c:pt idx="71">
                  <c:v>0.97884929380374286</c:v>
                </c:pt>
                <c:pt idx="72">
                  <c:v>1.0426120566952572</c:v>
                </c:pt>
                <c:pt idx="73">
                  <c:v>1.0101519110186106</c:v>
                </c:pt>
                <c:pt idx="74">
                  <c:v>1.0089991536095193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88-4AA6-9F4D-A9D7E360D628}"/>
            </c:ext>
          </c:extLst>
        </c:ser>
        <c:ser>
          <c:idx val="1"/>
          <c:order val="1"/>
          <c:tx>
            <c:strRef>
              <c:f>YS_250kDa_1!$S$1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YS_250kDa_1!$B$2:$B$76</c:f>
              <c:numCache>
                <c:formatCode>General</c:formatCode>
                <c:ptCount val="75"/>
                <c:pt idx="0">
                  <c:v>-7.9446000000000003</c:v>
                </c:pt>
                <c:pt idx="1">
                  <c:v>-7.4415000000000004</c:v>
                </c:pt>
                <c:pt idx="2">
                  <c:v>-6.9419000000000004</c:v>
                </c:pt>
                <c:pt idx="3">
                  <c:v>-6.4417000000000009</c:v>
                </c:pt>
                <c:pt idx="4">
                  <c:v>-5.9420999999999999</c:v>
                </c:pt>
                <c:pt idx="5">
                  <c:v>-5.4416000000000002</c:v>
                </c:pt>
                <c:pt idx="6">
                  <c:v>-4.9421999999999997</c:v>
                </c:pt>
                <c:pt idx="7">
                  <c:v>-4.4418000000000006</c:v>
                </c:pt>
                <c:pt idx="8">
                  <c:v>-3.9417</c:v>
                </c:pt>
                <c:pt idx="9">
                  <c:v>-3.4417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1.0032000000000005</c:v>
                </c:pt>
                <c:pt idx="13">
                  <c:v>1.5026000000000002</c:v>
                </c:pt>
                <c:pt idx="14">
                  <c:v>2.0027999999999997</c:v>
                </c:pt>
                <c:pt idx="15">
                  <c:v>2.5023999999999988</c:v>
                </c:pt>
                <c:pt idx="16">
                  <c:v>3.0032000000000005</c:v>
                </c:pt>
                <c:pt idx="17">
                  <c:v>3.5026000000000002</c:v>
                </c:pt>
                <c:pt idx="18">
                  <c:v>4.0026000000000002</c:v>
                </c:pt>
                <c:pt idx="19">
                  <c:v>4.5026000000000002</c:v>
                </c:pt>
                <c:pt idx="20">
                  <c:v>5.0027999999999997</c:v>
                </c:pt>
                <c:pt idx="21">
                  <c:v>5.5026999999999999</c:v>
                </c:pt>
                <c:pt idx="22">
                  <c:v>6.0028999999999995</c:v>
                </c:pt>
                <c:pt idx="23">
                  <c:v>6.5025000000000004</c:v>
                </c:pt>
                <c:pt idx="24">
                  <c:v>7.0026999999999999</c:v>
                </c:pt>
                <c:pt idx="25">
                  <c:v>7.5026999999999999</c:v>
                </c:pt>
                <c:pt idx="26">
                  <c:v>8.0027000000000008</c:v>
                </c:pt>
                <c:pt idx="27">
                  <c:v>8.502799999999997</c:v>
                </c:pt>
                <c:pt idx="28">
                  <c:v>9.002799999999997</c:v>
                </c:pt>
                <c:pt idx="29">
                  <c:v>9.502799999999997</c:v>
                </c:pt>
                <c:pt idx="30">
                  <c:v>10.002799999999997</c:v>
                </c:pt>
                <c:pt idx="31">
                  <c:v>10.5029</c:v>
                </c:pt>
                <c:pt idx="32">
                  <c:v>11.0029</c:v>
                </c:pt>
                <c:pt idx="33">
                  <c:v>11.5029</c:v>
                </c:pt>
                <c:pt idx="34">
                  <c:v>12.0029</c:v>
                </c:pt>
                <c:pt idx="35">
                  <c:v>12.502399999999998</c:v>
                </c:pt>
                <c:pt idx="36">
                  <c:v>13.0032</c:v>
                </c:pt>
                <c:pt idx="37">
                  <c:v>13.502799999999997</c:v>
                </c:pt>
                <c:pt idx="38">
                  <c:v>14.003</c:v>
                </c:pt>
                <c:pt idx="39">
                  <c:v>14.502399999999998</c:v>
                </c:pt>
                <c:pt idx="40">
                  <c:v>15.003</c:v>
                </c:pt>
                <c:pt idx="41">
                  <c:v>15.502399999999998</c:v>
                </c:pt>
                <c:pt idx="42">
                  <c:v>16.002599999999997</c:v>
                </c:pt>
                <c:pt idx="43">
                  <c:v>16.502499999999998</c:v>
                </c:pt>
                <c:pt idx="44">
                  <c:v>17.0031</c:v>
                </c:pt>
                <c:pt idx="45">
                  <c:v>17.502499999999998</c:v>
                </c:pt>
                <c:pt idx="46">
                  <c:v>18.002699999999997</c:v>
                </c:pt>
                <c:pt idx="47">
                  <c:v>18.5029</c:v>
                </c:pt>
                <c:pt idx="48">
                  <c:v>19.0031</c:v>
                </c:pt>
                <c:pt idx="49">
                  <c:v>19.502499999999998</c:v>
                </c:pt>
                <c:pt idx="50">
                  <c:v>20.0032</c:v>
                </c:pt>
                <c:pt idx="51">
                  <c:v>20.502599999999997</c:v>
                </c:pt>
                <c:pt idx="52">
                  <c:v>21.002799999999997</c:v>
                </c:pt>
                <c:pt idx="53">
                  <c:v>21.502399999999998</c:v>
                </c:pt>
                <c:pt idx="54">
                  <c:v>22.0032</c:v>
                </c:pt>
                <c:pt idx="55">
                  <c:v>22.502599999999997</c:v>
                </c:pt>
                <c:pt idx="56">
                  <c:v>23.0032</c:v>
                </c:pt>
                <c:pt idx="57">
                  <c:v>23.502599999999997</c:v>
                </c:pt>
                <c:pt idx="58">
                  <c:v>24.002799999999997</c:v>
                </c:pt>
                <c:pt idx="59">
                  <c:v>24.502400000000002</c:v>
                </c:pt>
                <c:pt idx="60">
                  <c:v>25.002600000000001</c:v>
                </c:pt>
                <c:pt idx="61">
                  <c:v>25.502600000000001</c:v>
                </c:pt>
                <c:pt idx="62">
                  <c:v>26.002699999999997</c:v>
                </c:pt>
                <c:pt idx="63">
                  <c:v>26.502499999999998</c:v>
                </c:pt>
                <c:pt idx="64">
                  <c:v>27.0032</c:v>
                </c:pt>
                <c:pt idx="65">
                  <c:v>27.502600000000001</c:v>
                </c:pt>
                <c:pt idx="66">
                  <c:v>28.002800000000001</c:v>
                </c:pt>
                <c:pt idx="67">
                  <c:v>28.502400000000002</c:v>
                </c:pt>
                <c:pt idx="68">
                  <c:v>29.0032</c:v>
                </c:pt>
                <c:pt idx="69">
                  <c:v>29.502600000000001</c:v>
                </c:pt>
                <c:pt idx="70">
                  <c:v>30.0032</c:v>
                </c:pt>
                <c:pt idx="71">
                  <c:v>30.502800000000001</c:v>
                </c:pt>
                <c:pt idx="72">
                  <c:v>31.003</c:v>
                </c:pt>
                <c:pt idx="73">
                  <c:v>31.502600000000001</c:v>
                </c:pt>
                <c:pt idx="74">
                  <c:v>32.002800000000001</c:v>
                </c:pt>
              </c:numCache>
            </c:numRef>
          </c:xVal>
          <c:yVal>
            <c:numRef>
              <c:f>YS_250kDa_1!$S$2:$S$76</c:f>
              <c:numCache>
                <c:formatCode>General</c:formatCode>
                <c:ptCount val="75"/>
                <c:pt idx="0">
                  <c:v>3.0598259385292406</c:v>
                </c:pt>
                <c:pt idx="1">
                  <c:v>3.0008799653615457</c:v>
                </c:pt>
                <c:pt idx="2">
                  <c:v>3.1378960070118866</c:v>
                </c:pt>
                <c:pt idx="3">
                  <c:v>3.0417696381099955</c:v>
                </c:pt>
                <c:pt idx="4">
                  <c:v>2.8662457174496772</c:v>
                </c:pt>
                <c:pt idx="5">
                  <c:v>3.1804359890548901</c:v>
                </c:pt>
                <c:pt idx="6">
                  <c:v>3.015345337212378</c:v>
                </c:pt>
                <c:pt idx="7">
                  <c:v>3.1349170092747225</c:v>
                </c:pt>
                <c:pt idx="8">
                  <c:v>3.0874626238696594</c:v>
                </c:pt>
                <c:pt idx="9">
                  <c:v>3.0087292991080137</c:v>
                </c:pt>
                <c:pt idx="10">
                  <c:v>0</c:v>
                </c:pt>
                <c:pt idx="11">
                  <c:v>0.14884685179025178</c:v>
                </c:pt>
                <c:pt idx="12">
                  <c:v>0.26194801328734668</c:v>
                </c:pt>
                <c:pt idx="13">
                  <c:v>0.37106320935949916</c:v>
                </c:pt>
                <c:pt idx="14">
                  <c:v>0.36643089377691029</c:v>
                </c:pt>
                <c:pt idx="15">
                  <c:v>0.49542616906125264</c:v>
                </c:pt>
                <c:pt idx="16">
                  <c:v>0.51170892837232551</c:v>
                </c:pt>
                <c:pt idx="17">
                  <c:v>0.60012870950642505</c:v>
                </c:pt>
                <c:pt idx="18">
                  <c:v>0.59308138084388051</c:v>
                </c:pt>
                <c:pt idx="19">
                  <c:v>0.7201638246859402</c:v>
                </c:pt>
                <c:pt idx="20">
                  <c:v>0.68380358241842054</c:v>
                </c:pt>
                <c:pt idx="21">
                  <c:v>0.73742319672413215</c:v>
                </c:pt>
                <c:pt idx="22">
                  <c:v>0.81327282903089659</c:v>
                </c:pt>
                <c:pt idx="23">
                  <c:v>0.77713861126425166</c:v>
                </c:pt>
                <c:pt idx="24">
                  <c:v>0.79825324042828671</c:v>
                </c:pt>
                <c:pt idx="25">
                  <c:v>0.7383778368570918</c:v>
                </c:pt>
                <c:pt idx="26">
                  <c:v>0.74899310222424564</c:v>
                </c:pt>
                <c:pt idx="27">
                  <c:v>0.76030083177966878</c:v>
                </c:pt>
                <c:pt idx="28">
                  <c:v>0.8188832967423294</c:v>
                </c:pt>
                <c:pt idx="29">
                  <c:v>0.87388845154686501</c:v>
                </c:pt>
                <c:pt idx="30">
                  <c:v>0.91391102149244985</c:v>
                </c:pt>
                <c:pt idx="31">
                  <c:v>0.83971778481098902</c:v>
                </c:pt>
                <c:pt idx="32">
                  <c:v>0.83616428253549957</c:v>
                </c:pt>
                <c:pt idx="33">
                  <c:v>0.9647238179818759</c:v>
                </c:pt>
                <c:pt idx="34">
                  <c:v>0.86129833644129083</c:v>
                </c:pt>
                <c:pt idx="35">
                  <c:v>0.97870160802721928</c:v>
                </c:pt>
                <c:pt idx="36">
                  <c:v>0.90839366223905504</c:v>
                </c:pt>
                <c:pt idx="37">
                  <c:v>0.99152560216372654</c:v>
                </c:pt>
                <c:pt idx="38">
                  <c:v>0.90753552035513607</c:v>
                </c:pt>
                <c:pt idx="39">
                  <c:v>1.005635459597406</c:v>
                </c:pt>
                <c:pt idx="40">
                  <c:v>0.98503517090165749</c:v>
                </c:pt>
                <c:pt idx="41">
                  <c:v>0.9885387896881821</c:v>
                </c:pt>
                <c:pt idx="42">
                  <c:v>0.93101350588768628</c:v>
                </c:pt>
                <c:pt idx="43">
                  <c:v>0.84418818881933777</c:v>
                </c:pt>
                <c:pt idx="44">
                  <c:v>0.87477952367291612</c:v>
                </c:pt>
                <c:pt idx="45">
                  <c:v>0.91611830165551367</c:v>
                </c:pt>
                <c:pt idx="46">
                  <c:v>0.96762772743554526</c:v>
                </c:pt>
                <c:pt idx="47">
                  <c:v>0.87136486507044753</c:v>
                </c:pt>
                <c:pt idx="48">
                  <c:v>0.88116747303514287</c:v>
                </c:pt>
                <c:pt idx="49">
                  <c:v>0.98227292091171914</c:v>
                </c:pt>
                <c:pt idx="50">
                  <c:v>0.97591523018867965</c:v>
                </c:pt>
                <c:pt idx="51">
                  <c:v>0.8736323513253238</c:v>
                </c:pt>
                <c:pt idx="52">
                  <c:v>0.97243617432756346</c:v>
                </c:pt>
                <c:pt idx="53">
                  <c:v>0.9880363628065173</c:v>
                </c:pt>
                <c:pt idx="54">
                  <c:v>0.89706417479718314</c:v>
                </c:pt>
                <c:pt idx="55">
                  <c:v>0.86846009016374859</c:v>
                </c:pt>
                <c:pt idx="56">
                  <c:v>0.97673820722545124</c:v>
                </c:pt>
                <c:pt idx="57">
                  <c:v>0.94384363222868617</c:v>
                </c:pt>
                <c:pt idx="58">
                  <c:v>0.85501810390883337</c:v>
                </c:pt>
                <c:pt idx="59">
                  <c:v>1.0187454052181282</c:v>
                </c:pt>
                <c:pt idx="60">
                  <c:v>0.98100799217581469</c:v>
                </c:pt>
                <c:pt idx="61">
                  <c:v>0.88043085116691588</c:v>
                </c:pt>
                <c:pt idx="62">
                  <c:v>0.92792780048672252</c:v>
                </c:pt>
                <c:pt idx="63">
                  <c:v>1.0081490704831579</c:v>
                </c:pt>
                <c:pt idx="64">
                  <c:v>1.0251546644864906</c:v>
                </c:pt>
                <c:pt idx="65">
                  <c:v>0.95610329159613749</c:v>
                </c:pt>
                <c:pt idx="66">
                  <c:v>1.0139391588847704</c:v>
                </c:pt>
                <c:pt idx="67">
                  <c:v>1.0143757273599574</c:v>
                </c:pt>
                <c:pt idx="68">
                  <c:v>0.9667779734551698</c:v>
                </c:pt>
                <c:pt idx="69">
                  <c:v>1.0106404569732843</c:v>
                </c:pt>
                <c:pt idx="70">
                  <c:v>0.9639778894979214</c:v>
                </c:pt>
                <c:pt idx="71">
                  <c:v>0.99457016736252712</c:v>
                </c:pt>
                <c:pt idx="72">
                  <c:v>0.99872043806539557</c:v>
                </c:pt>
                <c:pt idx="73">
                  <c:v>1.0464653828457913</c:v>
                </c:pt>
                <c:pt idx="74">
                  <c:v>1.0092748494725572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88-4AA6-9F4D-A9D7E360D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48928"/>
        <c:axId val="612750568"/>
      </c:scatterChart>
      <c:valAx>
        <c:axId val="6127489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50568"/>
        <c:crosses val="autoZero"/>
        <c:crossBetween val="midCat"/>
      </c:valAx>
      <c:valAx>
        <c:axId val="61275056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4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YS_250kDa_3!$R$1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YS_250kDa_3!$B$2:$B$76</c:f>
              <c:numCache>
                <c:formatCode>General</c:formatCode>
                <c:ptCount val="75"/>
                <c:pt idx="0">
                  <c:v>-7.8943000000000003</c:v>
                </c:pt>
                <c:pt idx="1">
                  <c:v>-7.3912000000000004</c:v>
                </c:pt>
                <c:pt idx="2">
                  <c:v>-6.8916000000000004</c:v>
                </c:pt>
                <c:pt idx="3">
                  <c:v>-6.3914000000000009</c:v>
                </c:pt>
                <c:pt idx="4">
                  <c:v>-5.8917999999999999</c:v>
                </c:pt>
                <c:pt idx="5">
                  <c:v>-5.3916000000000004</c:v>
                </c:pt>
                <c:pt idx="6">
                  <c:v>-4.8914000000000009</c:v>
                </c:pt>
                <c:pt idx="7">
                  <c:v>-4.3912000000000004</c:v>
                </c:pt>
                <c:pt idx="8">
                  <c:v>-3.8916000000000004</c:v>
                </c:pt>
                <c:pt idx="9">
                  <c:v>-3.3914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1.003099999999999</c:v>
                </c:pt>
                <c:pt idx="13">
                  <c:v>1.5026999999999999</c:v>
                </c:pt>
                <c:pt idx="14">
                  <c:v>2.0028999999999995</c:v>
                </c:pt>
                <c:pt idx="15">
                  <c:v>2.5022999999999991</c:v>
                </c:pt>
                <c:pt idx="16">
                  <c:v>3.0029999999999992</c:v>
                </c:pt>
                <c:pt idx="17">
                  <c:v>3.5023999999999988</c:v>
                </c:pt>
                <c:pt idx="18">
                  <c:v>4.0026000000000002</c:v>
                </c:pt>
                <c:pt idx="19">
                  <c:v>4.5027999999999997</c:v>
                </c:pt>
                <c:pt idx="20">
                  <c:v>5.0029999999999992</c:v>
                </c:pt>
                <c:pt idx="21">
                  <c:v>5.5025000000000004</c:v>
                </c:pt>
                <c:pt idx="22">
                  <c:v>6.0026999999999999</c:v>
                </c:pt>
                <c:pt idx="23">
                  <c:v>6.5022999999999991</c:v>
                </c:pt>
                <c:pt idx="24">
                  <c:v>7.0032000000000005</c:v>
                </c:pt>
                <c:pt idx="25">
                  <c:v>7.5026999999999999</c:v>
                </c:pt>
                <c:pt idx="26">
                  <c:v>8.0029000000000003</c:v>
                </c:pt>
                <c:pt idx="27">
                  <c:v>8.5024999999999977</c:v>
                </c:pt>
                <c:pt idx="28">
                  <c:v>9.0026999999999973</c:v>
                </c:pt>
                <c:pt idx="29">
                  <c:v>9.5022999999999982</c:v>
                </c:pt>
                <c:pt idx="30">
                  <c:v>10.0031</c:v>
                </c:pt>
                <c:pt idx="31">
                  <c:v>10.502499999999998</c:v>
                </c:pt>
                <c:pt idx="32">
                  <c:v>11.0032</c:v>
                </c:pt>
                <c:pt idx="33">
                  <c:v>11.502599999999997</c:v>
                </c:pt>
                <c:pt idx="34">
                  <c:v>12.002799999999997</c:v>
                </c:pt>
                <c:pt idx="35">
                  <c:v>12.502399999999998</c:v>
                </c:pt>
                <c:pt idx="36">
                  <c:v>13.003</c:v>
                </c:pt>
                <c:pt idx="37">
                  <c:v>13.502399999999998</c:v>
                </c:pt>
                <c:pt idx="38">
                  <c:v>14.0031</c:v>
                </c:pt>
                <c:pt idx="39">
                  <c:v>14.502499999999998</c:v>
                </c:pt>
                <c:pt idx="40">
                  <c:v>15.0031</c:v>
                </c:pt>
                <c:pt idx="41">
                  <c:v>15.502499999999998</c:v>
                </c:pt>
                <c:pt idx="42">
                  <c:v>16.0032</c:v>
                </c:pt>
                <c:pt idx="43">
                  <c:v>16.502599999999997</c:v>
                </c:pt>
                <c:pt idx="44">
                  <c:v>17.002599999999997</c:v>
                </c:pt>
                <c:pt idx="45">
                  <c:v>17.502799999999997</c:v>
                </c:pt>
                <c:pt idx="46">
                  <c:v>18.003</c:v>
                </c:pt>
                <c:pt idx="47">
                  <c:v>18.502399999999998</c:v>
                </c:pt>
                <c:pt idx="48">
                  <c:v>19.0031</c:v>
                </c:pt>
                <c:pt idx="49">
                  <c:v>19.502599999999997</c:v>
                </c:pt>
                <c:pt idx="50">
                  <c:v>20.002799999999997</c:v>
                </c:pt>
                <c:pt idx="51">
                  <c:v>20.5029</c:v>
                </c:pt>
                <c:pt idx="52">
                  <c:v>21.0029</c:v>
                </c:pt>
                <c:pt idx="53">
                  <c:v>21.502299999999998</c:v>
                </c:pt>
                <c:pt idx="54">
                  <c:v>22.0031</c:v>
                </c:pt>
                <c:pt idx="55">
                  <c:v>22.502299999999998</c:v>
                </c:pt>
                <c:pt idx="56">
                  <c:v>23.0032</c:v>
                </c:pt>
                <c:pt idx="57">
                  <c:v>23.502699999999997</c:v>
                </c:pt>
                <c:pt idx="58">
                  <c:v>24.0029</c:v>
                </c:pt>
                <c:pt idx="59">
                  <c:v>24.502499999999998</c:v>
                </c:pt>
                <c:pt idx="60">
                  <c:v>25.002699999999997</c:v>
                </c:pt>
                <c:pt idx="61">
                  <c:v>25.502299999999998</c:v>
                </c:pt>
                <c:pt idx="62">
                  <c:v>26.002800000000001</c:v>
                </c:pt>
                <c:pt idx="63">
                  <c:v>26.502800000000001</c:v>
                </c:pt>
                <c:pt idx="64">
                  <c:v>27.002600000000001</c:v>
                </c:pt>
                <c:pt idx="65">
                  <c:v>27.502699999999997</c:v>
                </c:pt>
                <c:pt idx="66">
                  <c:v>28.003099999999996</c:v>
                </c:pt>
                <c:pt idx="67">
                  <c:v>28.502499999999998</c:v>
                </c:pt>
                <c:pt idx="68">
                  <c:v>29.002699999999997</c:v>
                </c:pt>
                <c:pt idx="69">
                  <c:v>29.502299999999998</c:v>
                </c:pt>
                <c:pt idx="70">
                  <c:v>30.003</c:v>
                </c:pt>
                <c:pt idx="71">
                  <c:v>30.502400000000002</c:v>
                </c:pt>
                <c:pt idx="72">
                  <c:v>31.002600000000001</c:v>
                </c:pt>
                <c:pt idx="73">
                  <c:v>31.502800000000001</c:v>
                </c:pt>
                <c:pt idx="74">
                  <c:v>32.003</c:v>
                </c:pt>
              </c:numCache>
            </c:numRef>
          </c:xVal>
          <c:yVal>
            <c:numRef>
              <c:f>YS_250kDa_3!$R$2:$R$76</c:f>
              <c:numCache>
                <c:formatCode>General</c:formatCode>
                <c:ptCount val="75"/>
                <c:pt idx="0">
                  <c:v>1.0175164918747237</c:v>
                </c:pt>
                <c:pt idx="1">
                  <c:v>1.0699742807926167</c:v>
                </c:pt>
                <c:pt idx="2">
                  <c:v>0.9647799688227473</c:v>
                </c:pt>
                <c:pt idx="3">
                  <c:v>0.93503614776873023</c:v>
                </c:pt>
                <c:pt idx="4">
                  <c:v>1.0744117960953479</c:v>
                </c:pt>
                <c:pt idx="5">
                  <c:v>0.96975322495431848</c:v>
                </c:pt>
                <c:pt idx="6">
                  <c:v>1.0268808001510505</c:v>
                </c:pt>
                <c:pt idx="7">
                  <c:v>1.0515296552922546</c:v>
                </c:pt>
                <c:pt idx="8">
                  <c:v>1.023256446655348</c:v>
                </c:pt>
                <c:pt idx="9">
                  <c:v>1.044325538902064</c:v>
                </c:pt>
                <c:pt idx="10">
                  <c:v>0</c:v>
                </c:pt>
                <c:pt idx="11">
                  <c:v>0.22464935073397102</c:v>
                </c:pt>
                <c:pt idx="12">
                  <c:v>0.28967607457871286</c:v>
                </c:pt>
                <c:pt idx="13">
                  <c:v>0.41179829935661644</c:v>
                </c:pt>
                <c:pt idx="14">
                  <c:v>0.40629013892660226</c:v>
                </c:pt>
                <c:pt idx="15">
                  <c:v>0.43353194927143912</c:v>
                </c:pt>
                <c:pt idx="16">
                  <c:v>0.43862202075145418</c:v>
                </c:pt>
                <c:pt idx="17">
                  <c:v>0.47187334242920254</c:v>
                </c:pt>
                <c:pt idx="18">
                  <c:v>0.56081751245992872</c:v>
                </c:pt>
                <c:pt idx="19">
                  <c:v>0.65501814839457528</c:v>
                </c:pt>
                <c:pt idx="20">
                  <c:v>0.66031184015205568</c:v>
                </c:pt>
                <c:pt idx="21">
                  <c:v>0.70973305152816568</c:v>
                </c:pt>
                <c:pt idx="22">
                  <c:v>0.6909961019462626</c:v>
                </c:pt>
                <c:pt idx="23">
                  <c:v>0.82857059140261169</c:v>
                </c:pt>
                <c:pt idx="24">
                  <c:v>0.70583911632877838</c:v>
                </c:pt>
                <c:pt idx="25">
                  <c:v>0.62893023056459585</c:v>
                </c:pt>
                <c:pt idx="26">
                  <c:v>0.78117471128824312</c:v>
                </c:pt>
                <c:pt idx="27">
                  <c:v>0.69615225136377767</c:v>
                </c:pt>
                <c:pt idx="28">
                  <c:v>0.80736758716413304</c:v>
                </c:pt>
                <c:pt idx="29">
                  <c:v>0.78397491148175802</c:v>
                </c:pt>
                <c:pt idx="30">
                  <c:v>0.73821907494079264</c:v>
                </c:pt>
                <c:pt idx="31">
                  <c:v>0.80440318053454674</c:v>
                </c:pt>
                <c:pt idx="32">
                  <c:v>0.83254448022761118</c:v>
                </c:pt>
                <c:pt idx="33">
                  <c:v>0.81839840969001432</c:v>
                </c:pt>
                <c:pt idx="34">
                  <c:v>0.81775161610125546</c:v>
                </c:pt>
                <c:pt idx="35">
                  <c:v>0.88034815660083832</c:v>
                </c:pt>
                <c:pt idx="36">
                  <c:v>0.7904425186355184</c:v>
                </c:pt>
                <c:pt idx="37">
                  <c:v>0.81152176504604745</c:v>
                </c:pt>
                <c:pt idx="38">
                  <c:v>0.77943276319008648</c:v>
                </c:pt>
                <c:pt idx="39">
                  <c:v>0.82876977869497737</c:v>
                </c:pt>
                <c:pt idx="40">
                  <c:v>0.90348000704804199</c:v>
                </c:pt>
                <c:pt idx="41">
                  <c:v>0.78457928822736955</c:v>
                </c:pt>
                <c:pt idx="42">
                  <c:v>0.88411591183433946</c:v>
                </c:pt>
                <c:pt idx="43">
                  <c:v>0.86197847948126582</c:v>
                </c:pt>
                <c:pt idx="44">
                  <c:v>0.91395578195700233</c:v>
                </c:pt>
                <c:pt idx="45">
                  <c:v>0.91025068385142116</c:v>
                </c:pt>
                <c:pt idx="46">
                  <c:v>0.89170605057434993</c:v>
                </c:pt>
                <c:pt idx="47">
                  <c:v>0.96530946763185921</c:v>
                </c:pt>
                <c:pt idx="48">
                  <c:v>0.91643402334725421</c:v>
                </c:pt>
                <c:pt idx="49">
                  <c:v>0.8636800084114441</c:v>
                </c:pt>
                <c:pt idx="50">
                  <c:v>0.97983445029009608</c:v>
                </c:pt>
                <c:pt idx="51">
                  <c:v>0.93318777168778111</c:v>
                </c:pt>
                <c:pt idx="52">
                  <c:v>0.92647191498565484</c:v>
                </c:pt>
                <c:pt idx="53">
                  <c:v>0.7982352083639298</c:v>
                </c:pt>
                <c:pt idx="54">
                  <c:v>0.95215207433442095</c:v>
                </c:pt>
                <c:pt idx="55">
                  <c:v>0.89199028127315327</c:v>
                </c:pt>
                <c:pt idx="56">
                  <c:v>1.0146146234788753</c:v>
                </c:pt>
                <c:pt idx="57">
                  <c:v>0.91566600069400927</c:v>
                </c:pt>
                <c:pt idx="58">
                  <c:v>0.99473717972811748</c:v>
                </c:pt>
                <c:pt idx="59">
                  <c:v>1.0527938253922029</c:v>
                </c:pt>
                <c:pt idx="60">
                  <c:v>0.97746375404897068</c:v>
                </c:pt>
                <c:pt idx="61">
                  <c:v>0.95412208052770953</c:v>
                </c:pt>
                <c:pt idx="62">
                  <c:v>0.99478703043238914</c:v>
                </c:pt>
                <c:pt idx="63">
                  <c:v>0.93627174330720109</c:v>
                </c:pt>
                <c:pt idx="64">
                  <c:v>0.90046742370596133</c:v>
                </c:pt>
                <c:pt idx="65">
                  <c:v>1.0121073005701349</c:v>
                </c:pt>
                <c:pt idx="66">
                  <c:v>1.004125385067044</c:v>
                </c:pt>
                <c:pt idx="67">
                  <c:v>1.0578692809469608</c:v>
                </c:pt>
                <c:pt idx="68">
                  <c:v>1.0637192232938546</c:v>
                </c:pt>
                <c:pt idx="69">
                  <c:v>1.0089240981466798</c:v>
                </c:pt>
                <c:pt idx="70">
                  <c:v>1.0494553642487852</c:v>
                </c:pt>
                <c:pt idx="71">
                  <c:v>0.9765397679494493</c:v>
                </c:pt>
                <c:pt idx="72">
                  <c:v>1.0399909494974877</c:v>
                </c:pt>
                <c:pt idx="73">
                  <c:v>0.95488856770767505</c:v>
                </c:pt>
                <c:pt idx="74">
                  <c:v>0.93191263886597198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F1-4844-B634-47A8BB786B1E}"/>
            </c:ext>
          </c:extLst>
        </c:ser>
        <c:ser>
          <c:idx val="1"/>
          <c:order val="1"/>
          <c:tx>
            <c:strRef>
              <c:f>YS_250kDa_3!$S$1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YS_250kDa_3!$B$2:$B$76</c:f>
              <c:numCache>
                <c:formatCode>General</c:formatCode>
                <c:ptCount val="75"/>
                <c:pt idx="0">
                  <c:v>-7.8943000000000003</c:v>
                </c:pt>
                <c:pt idx="1">
                  <c:v>-7.3912000000000004</c:v>
                </c:pt>
                <c:pt idx="2">
                  <c:v>-6.8916000000000004</c:v>
                </c:pt>
                <c:pt idx="3">
                  <c:v>-6.3914000000000009</c:v>
                </c:pt>
                <c:pt idx="4">
                  <c:v>-5.8917999999999999</c:v>
                </c:pt>
                <c:pt idx="5">
                  <c:v>-5.3916000000000004</c:v>
                </c:pt>
                <c:pt idx="6">
                  <c:v>-4.8914000000000009</c:v>
                </c:pt>
                <c:pt idx="7">
                  <c:v>-4.3912000000000004</c:v>
                </c:pt>
                <c:pt idx="8">
                  <c:v>-3.8916000000000004</c:v>
                </c:pt>
                <c:pt idx="9">
                  <c:v>-3.3914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1.003099999999999</c:v>
                </c:pt>
                <c:pt idx="13">
                  <c:v>1.5026999999999999</c:v>
                </c:pt>
                <c:pt idx="14">
                  <c:v>2.0028999999999995</c:v>
                </c:pt>
                <c:pt idx="15">
                  <c:v>2.5022999999999991</c:v>
                </c:pt>
                <c:pt idx="16">
                  <c:v>3.0029999999999992</c:v>
                </c:pt>
                <c:pt idx="17">
                  <c:v>3.5023999999999988</c:v>
                </c:pt>
                <c:pt idx="18">
                  <c:v>4.0026000000000002</c:v>
                </c:pt>
                <c:pt idx="19">
                  <c:v>4.5027999999999997</c:v>
                </c:pt>
                <c:pt idx="20">
                  <c:v>5.0029999999999992</c:v>
                </c:pt>
                <c:pt idx="21">
                  <c:v>5.5025000000000004</c:v>
                </c:pt>
                <c:pt idx="22">
                  <c:v>6.0026999999999999</c:v>
                </c:pt>
                <c:pt idx="23">
                  <c:v>6.5022999999999991</c:v>
                </c:pt>
                <c:pt idx="24">
                  <c:v>7.0032000000000005</c:v>
                </c:pt>
                <c:pt idx="25">
                  <c:v>7.5026999999999999</c:v>
                </c:pt>
                <c:pt idx="26">
                  <c:v>8.0029000000000003</c:v>
                </c:pt>
                <c:pt idx="27">
                  <c:v>8.5024999999999977</c:v>
                </c:pt>
                <c:pt idx="28">
                  <c:v>9.0026999999999973</c:v>
                </c:pt>
                <c:pt idx="29">
                  <c:v>9.5022999999999982</c:v>
                </c:pt>
                <c:pt idx="30">
                  <c:v>10.0031</c:v>
                </c:pt>
                <c:pt idx="31">
                  <c:v>10.502499999999998</c:v>
                </c:pt>
                <c:pt idx="32">
                  <c:v>11.0032</c:v>
                </c:pt>
                <c:pt idx="33">
                  <c:v>11.502599999999997</c:v>
                </c:pt>
                <c:pt idx="34">
                  <c:v>12.002799999999997</c:v>
                </c:pt>
                <c:pt idx="35">
                  <c:v>12.502399999999998</c:v>
                </c:pt>
                <c:pt idx="36">
                  <c:v>13.003</c:v>
                </c:pt>
                <c:pt idx="37">
                  <c:v>13.502399999999998</c:v>
                </c:pt>
                <c:pt idx="38">
                  <c:v>14.0031</c:v>
                </c:pt>
                <c:pt idx="39">
                  <c:v>14.502499999999998</c:v>
                </c:pt>
                <c:pt idx="40">
                  <c:v>15.0031</c:v>
                </c:pt>
                <c:pt idx="41">
                  <c:v>15.502499999999998</c:v>
                </c:pt>
                <c:pt idx="42">
                  <c:v>16.0032</c:v>
                </c:pt>
                <c:pt idx="43">
                  <c:v>16.502599999999997</c:v>
                </c:pt>
                <c:pt idx="44">
                  <c:v>17.002599999999997</c:v>
                </c:pt>
                <c:pt idx="45">
                  <c:v>17.502799999999997</c:v>
                </c:pt>
                <c:pt idx="46">
                  <c:v>18.003</c:v>
                </c:pt>
                <c:pt idx="47">
                  <c:v>18.502399999999998</c:v>
                </c:pt>
                <c:pt idx="48">
                  <c:v>19.0031</c:v>
                </c:pt>
                <c:pt idx="49">
                  <c:v>19.502599999999997</c:v>
                </c:pt>
                <c:pt idx="50">
                  <c:v>20.002799999999997</c:v>
                </c:pt>
                <c:pt idx="51">
                  <c:v>20.5029</c:v>
                </c:pt>
                <c:pt idx="52">
                  <c:v>21.0029</c:v>
                </c:pt>
                <c:pt idx="53">
                  <c:v>21.502299999999998</c:v>
                </c:pt>
                <c:pt idx="54">
                  <c:v>22.0031</c:v>
                </c:pt>
                <c:pt idx="55">
                  <c:v>22.502299999999998</c:v>
                </c:pt>
                <c:pt idx="56">
                  <c:v>23.0032</c:v>
                </c:pt>
                <c:pt idx="57">
                  <c:v>23.502699999999997</c:v>
                </c:pt>
                <c:pt idx="58">
                  <c:v>24.0029</c:v>
                </c:pt>
                <c:pt idx="59">
                  <c:v>24.502499999999998</c:v>
                </c:pt>
                <c:pt idx="60">
                  <c:v>25.002699999999997</c:v>
                </c:pt>
                <c:pt idx="61">
                  <c:v>25.502299999999998</c:v>
                </c:pt>
                <c:pt idx="62">
                  <c:v>26.002800000000001</c:v>
                </c:pt>
                <c:pt idx="63">
                  <c:v>26.502800000000001</c:v>
                </c:pt>
                <c:pt idx="64">
                  <c:v>27.002600000000001</c:v>
                </c:pt>
                <c:pt idx="65">
                  <c:v>27.502699999999997</c:v>
                </c:pt>
                <c:pt idx="66">
                  <c:v>28.003099999999996</c:v>
                </c:pt>
                <c:pt idx="67">
                  <c:v>28.502499999999998</c:v>
                </c:pt>
                <c:pt idx="68">
                  <c:v>29.002699999999997</c:v>
                </c:pt>
                <c:pt idx="69">
                  <c:v>29.502299999999998</c:v>
                </c:pt>
                <c:pt idx="70">
                  <c:v>30.003</c:v>
                </c:pt>
                <c:pt idx="71">
                  <c:v>30.502400000000002</c:v>
                </c:pt>
                <c:pt idx="72">
                  <c:v>31.002600000000001</c:v>
                </c:pt>
                <c:pt idx="73">
                  <c:v>31.502800000000001</c:v>
                </c:pt>
                <c:pt idx="74">
                  <c:v>32.003</c:v>
                </c:pt>
              </c:numCache>
            </c:numRef>
          </c:xVal>
          <c:yVal>
            <c:numRef>
              <c:f>YS_250kDa_3!$S$2:$S$76</c:f>
              <c:numCache>
                <c:formatCode>General</c:formatCode>
                <c:ptCount val="75"/>
                <c:pt idx="0">
                  <c:v>3.5710191653351138</c:v>
                </c:pt>
                <c:pt idx="1">
                  <c:v>3.5310194846460399</c:v>
                </c:pt>
                <c:pt idx="2">
                  <c:v>3.4663962612798076</c:v>
                </c:pt>
                <c:pt idx="3">
                  <c:v>3.2369573980230517</c:v>
                </c:pt>
                <c:pt idx="4">
                  <c:v>3.2473577738557093</c:v>
                </c:pt>
                <c:pt idx="5">
                  <c:v>3.4264410439107786</c:v>
                </c:pt>
                <c:pt idx="6">
                  <c:v>3.6734086174948888</c:v>
                </c:pt>
                <c:pt idx="7">
                  <c:v>3.6551585205377002</c:v>
                </c:pt>
                <c:pt idx="8">
                  <c:v>3.6335811002082621</c:v>
                </c:pt>
                <c:pt idx="9">
                  <c:v>3.7513088388007252</c:v>
                </c:pt>
                <c:pt idx="10">
                  <c:v>0</c:v>
                </c:pt>
                <c:pt idx="11">
                  <c:v>0.17880316631285323</c:v>
                </c:pt>
                <c:pt idx="12">
                  <c:v>0.24783836275384671</c:v>
                </c:pt>
                <c:pt idx="13">
                  <c:v>0.25355482967898513</c:v>
                </c:pt>
                <c:pt idx="14">
                  <c:v>0.31514035284475045</c:v>
                </c:pt>
                <c:pt idx="15">
                  <c:v>0.29897501069676924</c:v>
                </c:pt>
                <c:pt idx="16">
                  <c:v>0.41124282352782709</c:v>
                </c:pt>
                <c:pt idx="17">
                  <c:v>0.6175513688730635</c:v>
                </c:pt>
                <c:pt idx="18">
                  <c:v>0.57686463482020511</c:v>
                </c:pt>
                <c:pt idx="19">
                  <c:v>0.52722803632800863</c:v>
                </c:pt>
                <c:pt idx="20">
                  <c:v>0.62276729969220457</c:v>
                </c:pt>
                <c:pt idx="21">
                  <c:v>0.7168320999184089</c:v>
                </c:pt>
                <c:pt idx="22">
                  <c:v>0.69733311744203208</c:v>
                </c:pt>
                <c:pt idx="23">
                  <c:v>0.53123165280797213</c:v>
                </c:pt>
                <c:pt idx="24">
                  <c:v>0.73682921903693899</c:v>
                </c:pt>
                <c:pt idx="25">
                  <c:v>0.94315680324153184</c:v>
                </c:pt>
                <c:pt idx="26">
                  <c:v>0.88879331518099525</c:v>
                </c:pt>
                <c:pt idx="27">
                  <c:v>0.83776445404962452</c:v>
                </c:pt>
                <c:pt idx="28">
                  <c:v>0.87919309803200296</c:v>
                </c:pt>
                <c:pt idx="29">
                  <c:v>0.74729139767749053</c:v>
                </c:pt>
                <c:pt idx="30">
                  <c:v>0.88236903747340689</c:v>
                </c:pt>
                <c:pt idx="31">
                  <c:v>0.71809569162731024</c:v>
                </c:pt>
                <c:pt idx="32">
                  <c:v>0.91126664208010533</c:v>
                </c:pt>
                <c:pt idx="33">
                  <c:v>0.9763218327288482</c:v>
                </c:pt>
                <c:pt idx="34">
                  <c:v>0.98324387449389927</c:v>
                </c:pt>
                <c:pt idx="35">
                  <c:v>0.90937323823772231</c:v>
                </c:pt>
                <c:pt idx="36">
                  <c:v>0.96690262436048802</c:v>
                </c:pt>
                <c:pt idx="37">
                  <c:v>1.0038072172274537</c:v>
                </c:pt>
                <c:pt idx="38">
                  <c:v>0.95920540610560878</c:v>
                </c:pt>
                <c:pt idx="39">
                  <c:v>0.9902919848284224</c:v>
                </c:pt>
                <c:pt idx="40">
                  <c:v>0.89407253290634603</c:v>
                </c:pt>
                <c:pt idx="41">
                  <c:v>0.98577365300407527</c:v>
                </c:pt>
                <c:pt idx="42">
                  <c:v>0.98859897249236428</c:v>
                </c:pt>
                <c:pt idx="43">
                  <c:v>0.88627217059691954</c:v>
                </c:pt>
                <c:pt idx="44">
                  <c:v>0.89030264944315551</c:v>
                </c:pt>
                <c:pt idx="45">
                  <c:v>0.97491542736655878</c:v>
                </c:pt>
                <c:pt idx="46">
                  <c:v>0.70275306157488693</c:v>
                </c:pt>
                <c:pt idx="47">
                  <c:v>0.72146950526224851</c:v>
                </c:pt>
                <c:pt idx="48">
                  <c:v>0.82085983921009198</c:v>
                </c:pt>
                <c:pt idx="49">
                  <c:v>0.83051602823985771</c:v>
                </c:pt>
                <c:pt idx="50">
                  <c:v>1.0270448565420358</c:v>
                </c:pt>
                <c:pt idx="51">
                  <c:v>0.92978860250551987</c:v>
                </c:pt>
                <c:pt idx="52">
                  <c:v>1.0348733927647595</c:v>
                </c:pt>
                <c:pt idx="53">
                  <c:v>1.0263037080129274</c:v>
                </c:pt>
                <c:pt idx="54">
                  <c:v>0.95670058579874873</c:v>
                </c:pt>
                <c:pt idx="55">
                  <c:v>0.94687073707954483</c:v>
                </c:pt>
                <c:pt idx="56">
                  <c:v>0.98065912439438219</c:v>
                </c:pt>
                <c:pt idx="57">
                  <c:v>1.0634777995483933</c:v>
                </c:pt>
                <c:pt idx="58">
                  <c:v>0.87815273410483419</c:v>
                </c:pt>
                <c:pt idx="59">
                  <c:v>0.88983426214310757</c:v>
                </c:pt>
                <c:pt idx="60">
                  <c:v>0.95374925914853192</c:v>
                </c:pt>
                <c:pt idx="61">
                  <c:v>1.115103543544314</c:v>
                </c:pt>
                <c:pt idx="62">
                  <c:v>1.0110389932819173</c:v>
                </c:pt>
                <c:pt idx="63">
                  <c:v>0.99360073983664909</c:v>
                </c:pt>
                <c:pt idx="64">
                  <c:v>1.0688687117658484</c:v>
                </c:pt>
                <c:pt idx="65">
                  <c:v>0.99758697591239565</c:v>
                </c:pt>
                <c:pt idx="66">
                  <c:v>1.0404925257838862</c:v>
                </c:pt>
                <c:pt idx="67">
                  <c:v>1.096332164534652</c:v>
                </c:pt>
                <c:pt idx="68">
                  <c:v>1.0805919633035879</c:v>
                </c:pt>
                <c:pt idx="69">
                  <c:v>0.8977047562774868</c:v>
                </c:pt>
                <c:pt idx="70">
                  <c:v>0.90145542833719627</c:v>
                </c:pt>
                <c:pt idx="71">
                  <c:v>1.0365250972947133</c:v>
                </c:pt>
                <c:pt idx="72">
                  <c:v>0.90808852536879903</c:v>
                </c:pt>
                <c:pt idx="73">
                  <c:v>0.89328215460642135</c:v>
                </c:pt>
                <c:pt idx="74">
                  <c:v>1.0790716968150111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F1-4844-B634-47A8BB786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04664"/>
        <c:axId val="618411880"/>
      </c:scatterChart>
      <c:valAx>
        <c:axId val="6184046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11880"/>
        <c:crosses val="autoZero"/>
        <c:crossBetween val="midCat"/>
      </c:valAx>
      <c:valAx>
        <c:axId val="618411880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04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YS_250kDa_4!$R$1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YS_250kDa_4!$B$2:$B$76</c:f>
              <c:numCache>
                <c:formatCode>General</c:formatCode>
                <c:ptCount val="75"/>
                <c:pt idx="0">
                  <c:v>-7.9440999999999997</c:v>
                </c:pt>
                <c:pt idx="1">
                  <c:v>-7.4413</c:v>
                </c:pt>
                <c:pt idx="2">
                  <c:v>-6.9410999999999996</c:v>
                </c:pt>
                <c:pt idx="3">
                  <c:v>-6.4414999999999996</c:v>
                </c:pt>
                <c:pt idx="4">
                  <c:v>-5.9413</c:v>
                </c:pt>
                <c:pt idx="5">
                  <c:v>-5.4416999999999991</c:v>
                </c:pt>
                <c:pt idx="6">
                  <c:v>-4.9408999999999992</c:v>
                </c:pt>
                <c:pt idx="7">
                  <c:v>-4.4413</c:v>
                </c:pt>
                <c:pt idx="8">
                  <c:v>-3.9410999999999996</c:v>
                </c:pt>
                <c:pt idx="9">
                  <c:v>-3.4417</c:v>
                </c:pt>
                <c:pt idx="10">
                  <c:v>0</c:v>
                </c:pt>
                <c:pt idx="11">
                  <c:v>0.50320000000000054</c:v>
                </c:pt>
                <c:pt idx="12">
                  <c:v>1.0026000000000002</c:v>
                </c:pt>
                <c:pt idx="13">
                  <c:v>1.5027999999999997</c:v>
                </c:pt>
                <c:pt idx="14">
                  <c:v>2.0023000000000009</c:v>
                </c:pt>
                <c:pt idx="15">
                  <c:v>2.5032000000000005</c:v>
                </c:pt>
                <c:pt idx="16">
                  <c:v>3.0026000000000002</c:v>
                </c:pt>
                <c:pt idx="17">
                  <c:v>3.5032000000000005</c:v>
                </c:pt>
                <c:pt idx="18">
                  <c:v>4.0027999999999997</c:v>
                </c:pt>
                <c:pt idx="19">
                  <c:v>4.503000000000001</c:v>
                </c:pt>
                <c:pt idx="20">
                  <c:v>5.0024000000000006</c:v>
                </c:pt>
                <c:pt idx="21">
                  <c:v>5.5031000000000008</c:v>
                </c:pt>
                <c:pt idx="22">
                  <c:v>6.0025000000000004</c:v>
                </c:pt>
                <c:pt idx="23">
                  <c:v>6.5031000000000008</c:v>
                </c:pt>
                <c:pt idx="24">
                  <c:v>7.0025000000000004</c:v>
                </c:pt>
                <c:pt idx="25">
                  <c:v>7.5026999999999999</c:v>
                </c:pt>
                <c:pt idx="26">
                  <c:v>8.0029000000000003</c:v>
                </c:pt>
                <c:pt idx="27">
                  <c:v>8.5030999999999999</c:v>
                </c:pt>
                <c:pt idx="28">
                  <c:v>9.0025000000000013</c:v>
                </c:pt>
                <c:pt idx="29">
                  <c:v>9.5031999999999996</c:v>
                </c:pt>
                <c:pt idx="30">
                  <c:v>10.002600000000001</c:v>
                </c:pt>
                <c:pt idx="31">
                  <c:v>10.5032</c:v>
                </c:pt>
                <c:pt idx="32">
                  <c:v>11.002600000000001</c:v>
                </c:pt>
                <c:pt idx="33">
                  <c:v>11.502800000000001</c:v>
                </c:pt>
                <c:pt idx="34">
                  <c:v>12.002400000000002</c:v>
                </c:pt>
                <c:pt idx="35">
                  <c:v>12.5032</c:v>
                </c:pt>
                <c:pt idx="36">
                  <c:v>13.002600000000001</c:v>
                </c:pt>
                <c:pt idx="37">
                  <c:v>13.502700000000001</c:v>
                </c:pt>
                <c:pt idx="38">
                  <c:v>14.0029</c:v>
                </c:pt>
                <c:pt idx="39">
                  <c:v>14.5031</c:v>
                </c:pt>
                <c:pt idx="40">
                  <c:v>15.002700000000001</c:v>
                </c:pt>
                <c:pt idx="41">
                  <c:v>15.5029</c:v>
                </c:pt>
                <c:pt idx="42">
                  <c:v>16.002400000000002</c:v>
                </c:pt>
                <c:pt idx="43">
                  <c:v>16.502600000000001</c:v>
                </c:pt>
                <c:pt idx="44">
                  <c:v>17.002700000000001</c:v>
                </c:pt>
                <c:pt idx="45">
                  <c:v>17.502700000000001</c:v>
                </c:pt>
                <c:pt idx="46">
                  <c:v>18.002700000000001</c:v>
                </c:pt>
                <c:pt idx="47">
                  <c:v>18.502700000000001</c:v>
                </c:pt>
                <c:pt idx="48">
                  <c:v>19.002800000000001</c:v>
                </c:pt>
                <c:pt idx="49">
                  <c:v>19.502800000000001</c:v>
                </c:pt>
                <c:pt idx="50">
                  <c:v>20.002800000000001</c:v>
                </c:pt>
                <c:pt idx="51">
                  <c:v>20.5029</c:v>
                </c:pt>
                <c:pt idx="52">
                  <c:v>21.0029</c:v>
                </c:pt>
                <c:pt idx="53">
                  <c:v>21.5029</c:v>
                </c:pt>
                <c:pt idx="54">
                  <c:v>22.002300000000002</c:v>
                </c:pt>
                <c:pt idx="55">
                  <c:v>22.5031</c:v>
                </c:pt>
                <c:pt idx="56">
                  <c:v>23.002700000000001</c:v>
                </c:pt>
                <c:pt idx="57">
                  <c:v>23.5029</c:v>
                </c:pt>
                <c:pt idx="58">
                  <c:v>24.002300000000002</c:v>
                </c:pt>
                <c:pt idx="59">
                  <c:v>24.503</c:v>
                </c:pt>
                <c:pt idx="60">
                  <c:v>25.002400000000002</c:v>
                </c:pt>
                <c:pt idx="61">
                  <c:v>25.5032</c:v>
                </c:pt>
                <c:pt idx="62">
                  <c:v>26.002800000000001</c:v>
                </c:pt>
                <c:pt idx="63">
                  <c:v>26.5032</c:v>
                </c:pt>
                <c:pt idx="64">
                  <c:v>27.002700000000004</c:v>
                </c:pt>
                <c:pt idx="65">
                  <c:v>27.502700000000004</c:v>
                </c:pt>
                <c:pt idx="66">
                  <c:v>28.002700000000004</c:v>
                </c:pt>
                <c:pt idx="67">
                  <c:v>28.502900000000004</c:v>
                </c:pt>
                <c:pt idx="68">
                  <c:v>29.002499999999998</c:v>
                </c:pt>
                <c:pt idx="69">
                  <c:v>29.502700000000004</c:v>
                </c:pt>
                <c:pt idx="70">
                  <c:v>30.002700000000004</c:v>
                </c:pt>
                <c:pt idx="71">
                  <c:v>30.502700000000004</c:v>
                </c:pt>
                <c:pt idx="72">
                  <c:v>31.002800000000001</c:v>
                </c:pt>
                <c:pt idx="73">
                  <c:v>31.502800000000001</c:v>
                </c:pt>
                <c:pt idx="74">
                  <c:v>32.002800000000001</c:v>
                </c:pt>
              </c:numCache>
            </c:numRef>
          </c:xVal>
          <c:yVal>
            <c:numRef>
              <c:f>YS_250kDa_4!$R$2:$R$76</c:f>
              <c:numCache>
                <c:formatCode>General</c:formatCode>
                <c:ptCount val="75"/>
                <c:pt idx="0">
                  <c:v>0.91337687100657194</c:v>
                </c:pt>
                <c:pt idx="1">
                  <c:v>0.90046831953739903</c:v>
                </c:pt>
                <c:pt idx="2">
                  <c:v>0.86903096432971794</c:v>
                </c:pt>
                <c:pt idx="3">
                  <c:v>0.91798467277129447</c:v>
                </c:pt>
                <c:pt idx="4">
                  <c:v>0.9270379417411273</c:v>
                </c:pt>
                <c:pt idx="5">
                  <c:v>0.85053536081979186</c:v>
                </c:pt>
                <c:pt idx="6">
                  <c:v>0.93385495320650913</c:v>
                </c:pt>
                <c:pt idx="7">
                  <c:v>0.9354797110123253</c:v>
                </c:pt>
                <c:pt idx="8">
                  <c:v>0.94927240720268624</c:v>
                </c:pt>
                <c:pt idx="9">
                  <c:v>0.96420312906864036</c:v>
                </c:pt>
                <c:pt idx="10">
                  <c:v>0</c:v>
                </c:pt>
                <c:pt idx="11">
                  <c:v>0.23377991145234686</c:v>
                </c:pt>
                <c:pt idx="12">
                  <c:v>0.30987677810793407</c:v>
                </c:pt>
                <c:pt idx="13">
                  <c:v>0.38630725998238596</c:v>
                </c:pt>
                <c:pt idx="14">
                  <c:v>0.3901269570044722</c:v>
                </c:pt>
                <c:pt idx="15">
                  <c:v>0.43937813571620615</c:v>
                </c:pt>
                <c:pt idx="16">
                  <c:v>0.6051550102927763</c:v>
                </c:pt>
                <c:pt idx="17">
                  <c:v>0.58964994821145489</c:v>
                </c:pt>
                <c:pt idx="18">
                  <c:v>0.63187763702000121</c:v>
                </c:pt>
                <c:pt idx="19">
                  <c:v>0.64080362733212981</c:v>
                </c:pt>
                <c:pt idx="20">
                  <c:v>0.64552368461383858</c:v>
                </c:pt>
                <c:pt idx="21">
                  <c:v>0.71631198542471908</c:v>
                </c:pt>
                <c:pt idx="22">
                  <c:v>0.6371425420581327</c:v>
                </c:pt>
                <c:pt idx="23">
                  <c:v>0.67807572209282141</c:v>
                </c:pt>
                <c:pt idx="24">
                  <c:v>0.78158716374784487</c:v>
                </c:pt>
                <c:pt idx="25">
                  <c:v>0.74862627917563684</c:v>
                </c:pt>
                <c:pt idx="26">
                  <c:v>0.77588110397981502</c:v>
                </c:pt>
                <c:pt idx="27">
                  <c:v>0.75158724217708328</c:v>
                </c:pt>
                <c:pt idx="28">
                  <c:v>0.7870918802160517</c:v>
                </c:pt>
                <c:pt idx="29">
                  <c:v>0.79340194613166048</c:v>
                </c:pt>
                <c:pt idx="30">
                  <c:v>0.86360260239564646</c:v>
                </c:pt>
                <c:pt idx="31">
                  <c:v>0.75695061659856555</c:v>
                </c:pt>
                <c:pt idx="32">
                  <c:v>0.79997824127369499</c:v>
                </c:pt>
                <c:pt idx="33">
                  <c:v>0.84032645351878932</c:v>
                </c:pt>
                <c:pt idx="34">
                  <c:v>0.86842394432505776</c:v>
                </c:pt>
                <c:pt idx="35">
                  <c:v>0.86956348757657387</c:v>
                </c:pt>
                <c:pt idx="36">
                  <c:v>0.9243515819583219</c:v>
                </c:pt>
                <c:pt idx="37">
                  <c:v>0.93593064464026487</c:v>
                </c:pt>
                <c:pt idx="38">
                  <c:v>0.94097853446776736</c:v>
                </c:pt>
                <c:pt idx="39">
                  <c:v>0.86364265925265604</c:v>
                </c:pt>
                <c:pt idx="40">
                  <c:v>0.95614895995382787</c:v>
                </c:pt>
                <c:pt idx="41">
                  <c:v>1.0073788918561259</c:v>
                </c:pt>
                <c:pt idx="42">
                  <c:v>0.89926201610991874</c:v>
                </c:pt>
                <c:pt idx="43">
                  <c:v>0.96715356126833629</c:v>
                </c:pt>
                <c:pt idx="44">
                  <c:v>0.91727967094164231</c:v>
                </c:pt>
                <c:pt idx="45">
                  <c:v>0.96825006732975205</c:v>
                </c:pt>
                <c:pt idx="46">
                  <c:v>0.89217503990684444</c:v>
                </c:pt>
                <c:pt idx="47">
                  <c:v>0.89788904711575057</c:v>
                </c:pt>
                <c:pt idx="48">
                  <c:v>1.0369084868228642</c:v>
                </c:pt>
                <c:pt idx="49">
                  <c:v>1.0485286782127479</c:v>
                </c:pt>
                <c:pt idx="50">
                  <c:v>0.91967371264634401</c:v>
                </c:pt>
                <c:pt idx="51">
                  <c:v>0.9224808960656482</c:v>
                </c:pt>
                <c:pt idx="52">
                  <c:v>0.92717409929513717</c:v>
                </c:pt>
                <c:pt idx="53">
                  <c:v>1.0020365437736527</c:v>
                </c:pt>
                <c:pt idx="54">
                  <c:v>0.93189357720314769</c:v>
                </c:pt>
                <c:pt idx="55">
                  <c:v>0.96593726479595943</c:v>
                </c:pt>
                <c:pt idx="56">
                  <c:v>0.87638335506989085</c:v>
                </c:pt>
                <c:pt idx="57">
                  <c:v>0.99173680812425902</c:v>
                </c:pt>
                <c:pt idx="58">
                  <c:v>0.98940878124027387</c:v>
                </c:pt>
                <c:pt idx="59">
                  <c:v>0.8944433859439469</c:v>
                </c:pt>
                <c:pt idx="60">
                  <c:v>0.93834430651538381</c:v>
                </c:pt>
                <c:pt idx="61">
                  <c:v>0.92656092189362094</c:v>
                </c:pt>
                <c:pt idx="62">
                  <c:v>0.89770520212366456</c:v>
                </c:pt>
                <c:pt idx="63">
                  <c:v>0.93554580024000789</c:v>
                </c:pt>
                <c:pt idx="64">
                  <c:v>1.0240482445260852</c:v>
                </c:pt>
                <c:pt idx="65">
                  <c:v>1.0609828568209465</c:v>
                </c:pt>
                <c:pt idx="66">
                  <c:v>0.97937402798044104</c:v>
                </c:pt>
                <c:pt idx="67">
                  <c:v>0.96449643922728123</c:v>
                </c:pt>
                <c:pt idx="68">
                  <c:v>1.0244872172781829</c:v>
                </c:pt>
                <c:pt idx="69">
                  <c:v>1.0147045819855922</c:v>
                </c:pt>
                <c:pt idx="70">
                  <c:v>1.0250757831336279</c:v>
                </c:pt>
                <c:pt idx="71">
                  <c:v>1.0162276577741658</c:v>
                </c:pt>
                <c:pt idx="72">
                  <c:v>0.98232932575693321</c:v>
                </c:pt>
                <c:pt idx="73">
                  <c:v>0.96040234908750277</c:v>
                </c:pt>
                <c:pt idx="74">
                  <c:v>0.94787151642924405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90-421C-92DB-83DA3607EB33}"/>
            </c:ext>
          </c:extLst>
        </c:ser>
        <c:ser>
          <c:idx val="1"/>
          <c:order val="1"/>
          <c:tx>
            <c:strRef>
              <c:f>YS_250kDa_4!$S$1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YS_250kDa_4!$B$2:$B$76</c:f>
              <c:numCache>
                <c:formatCode>General</c:formatCode>
                <c:ptCount val="75"/>
                <c:pt idx="0">
                  <c:v>-7.9440999999999997</c:v>
                </c:pt>
                <c:pt idx="1">
                  <c:v>-7.4413</c:v>
                </c:pt>
                <c:pt idx="2">
                  <c:v>-6.9410999999999996</c:v>
                </c:pt>
                <c:pt idx="3">
                  <c:v>-6.4414999999999996</c:v>
                </c:pt>
                <c:pt idx="4">
                  <c:v>-5.9413</c:v>
                </c:pt>
                <c:pt idx="5">
                  <c:v>-5.4416999999999991</c:v>
                </c:pt>
                <c:pt idx="6">
                  <c:v>-4.9408999999999992</c:v>
                </c:pt>
                <c:pt idx="7">
                  <c:v>-4.4413</c:v>
                </c:pt>
                <c:pt idx="8">
                  <c:v>-3.9410999999999996</c:v>
                </c:pt>
                <c:pt idx="9">
                  <c:v>-3.4417</c:v>
                </c:pt>
                <c:pt idx="10">
                  <c:v>0</c:v>
                </c:pt>
                <c:pt idx="11">
                  <c:v>0.50320000000000054</c:v>
                </c:pt>
                <c:pt idx="12">
                  <c:v>1.0026000000000002</c:v>
                </c:pt>
                <c:pt idx="13">
                  <c:v>1.5027999999999997</c:v>
                </c:pt>
                <c:pt idx="14">
                  <c:v>2.0023000000000009</c:v>
                </c:pt>
                <c:pt idx="15">
                  <c:v>2.5032000000000005</c:v>
                </c:pt>
                <c:pt idx="16">
                  <c:v>3.0026000000000002</c:v>
                </c:pt>
                <c:pt idx="17">
                  <c:v>3.5032000000000005</c:v>
                </c:pt>
                <c:pt idx="18">
                  <c:v>4.0027999999999997</c:v>
                </c:pt>
                <c:pt idx="19">
                  <c:v>4.503000000000001</c:v>
                </c:pt>
                <c:pt idx="20">
                  <c:v>5.0024000000000006</c:v>
                </c:pt>
                <c:pt idx="21">
                  <c:v>5.5031000000000008</c:v>
                </c:pt>
                <c:pt idx="22">
                  <c:v>6.0025000000000004</c:v>
                </c:pt>
                <c:pt idx="23">
                  <c:v>6.5031000000000008</c:v>
                </c:pt>
                <c:pt idx="24">
                  <c:v>7.0025000000000004</c:v>
                </c:pt>
                <c:pt idx="25">
                  <c:v>7.5026999999999999</c:v>
                </c:pt>
                <c:pt idx="26">
                  <c:v>8.0029000000000003</c:v>
                </c:pt>
                <c:pt idx="27">
                  <c:v>8.5030999999999999</c:v>
                </c:pt>
                <c:pt idx="28">
                  <c:v>9.0025000000000013</c:v>
                </c:pt>
                <c:pt idx="29">
                  <c:v>9.5031999999999996</c:v>
                </c:pt>
                <c:pt idx="30">
                  <c:v>10.002600000000001</c:v>
                </c:pt>
                <c:pt idx="31">
                  <c:v>10.5032</c:v>
                </c:pt>
                <c:pt idx="32">
                  <c:v>11.002600000000001</c:v>
                </c:pt>
                <c:pt idx="33">
                  <c:v>11.502800000000001</c:v>
                </c:pt>
                <c:pt idx="34">
                  <c:v>12.002400000000002</c:v>
                </c:pt>
                <c:pt idx="35">
                  <c:v>12.5032</c:v>
                </c:pt>
                <c:pt idx="36">
                  <c:v>13.002600000000001</c:v>
                </c:pt>
                <c:pt idx="37">
                  <c:v>13.502700000000001</c:v>
                </c:pt>
                <c:pt idx="38">
                  <c:v>14.0029</c:v>
                </c:pt>
                <c:pt idx="39">
                  <c:v>14.5031</c:v>
                </c:pt>
                <c:pt idx="40">
                  <c:v>15.002700000000001</c:v>
                </c:pt>
                <c:pt idx="41">
                  <c:v>15.5029</c:v>
                </c:pt>
                <c:pt idx="42">
                  <c:v>16.002400000000002</c:v>
                </c:pt>
                <c:pt idx="43">
                  <c:v>16.502600000000001</c:v>
                </c:pt>
                <c:pt idx="44">
                  <c:v>17.002700000000001</c:v>
                </c:pt>
                <c:pt idx="45">
                  <c:v>17.502700000000001</c:v>
                </c:pt>
                <c:pt idx="46">
                  <c:v>18.002700000000001</c:v>
                </c:pt>
                <c:pt idx="47">
                  <c:v>18.502700000000001</c:v>
                </c:pt>
                <c:pt idx="48">
                  <c:v>19.002800000000001</c:v>
                </c:pt>
                <c:pt idx="49">
                  <c:v>19.502800000000001</c:v>
                </c:pt>
                <c:pt idx="50">
                  <c:v>20.002800000000001</c:v>
                </c:pt>
                <c:pt idx="51">
                  <c:v>20.5029</c:v>
                </c:pt>
                <c:pt idx="52">
                  <c:v>21.0029</c:v>
                </c:pt>
                <c:pt idx="53">
                  <c:v>21.5029</c:v>
                </c:pt>
                <c:pt idx="54">
                  <c:v>22.002300000000002</c:v>
                </c:pt>
                <c:pt idx="55">
                  <c:v>22.5031</c:v>
                </c:pt>
                <c:pt idx="56">
                  <c:v>23.002700000000001</c:v>
                </c:pt>
                <c:pt idx="57">
                  <c:v>23.5029</c:v>
                </c:pt>
                <c:pt idx="58">
                  <c:v>24.002300000000002</c:v>
                </c:pt>
                <c:pt idx="59">
                  <c:v>24.503</c:v>
                </c:pt>
                <c:pt idx="60">
                  <c:v>25.002400000000002</c:v>
                </c:pt>
                <c:pt idx="61">
                  <c:v>25.5032</c:v>
                </c:pt>
                <c:pt idx="62">
                  <c:v>26.002800000000001</c:v>
                </c:pt>
                <c:pt idx="63">
                  <c:v>26.5032</c:v>
                </c:pt>
                <c:pt idx="64">
                  <c:v>27.002700000000004</c:v>
                </c:pt>
                <c:pt idx="65">
                  <c:v>27.502700000000004</c:v>
                </c:pt>
                <c:pt idx="66">
                  <c:v>28.002700000000004</c:v>
                </c:pt>
                <c:pt idx="67">
                  <c:v>28.502900000000004</c:v>
                </c:pt>
                <c:pt idx="68">
                  <c:v>29.002499999999998</c:v>
                </c:pt>
                <c:pt idx="69">
                  <c:v>29.502700000000004</c:v>
                </c:pt>
                <c:pt idx="70">
                  <c:v>30.002700000000004</c:v>
                </c:pt>
                <c:pt idx="71">
                  <c:v>30.502700000000004</c:v>
                </c:pt>
                <c:pt idx="72">
                  <c:v>31.002800000000001</c:v>
                </c:pt>
                <c:pt idx="73">
                  <c:v>31.502800000000001</c:v>
                </c:pt>
                <c:pt idx="74">
                  <c:v>32.002800000000001</c:v>
                </c:pt>
              </c:numCache>
            </c:numRef>
          </c:xVal>
          <c:yVal>
            <c:numRef>
              <c:f>YS_250kDa_4!$S$2:$S$76</c:f>
              <c:numCache>
                <c:formatCode>General</c:formatCode>
                <c:ptCount val="75"/>
                <c:pt idx="0">
                  <c:v>4.0466674292056082</c:v>
                </c:pt>
                <c:pt idx="1">
                  <c:v>3.673169239606402</c:v>
                </c:pt>
                <c:pt idx="2">
                  <c:v>3.9994317441492488</c:v>
                </c:pt>
                <c:pt idx="3">
                  <c:v>3.8615072100086918</c:v>
                </c:pt>
                <c:pt idx="4">
                  <c:v>4.4503543736131297</c:v>
                </c:pt>
                <c:pt idx="5">
                  <c:v>3.9773203326656787</c:v>
                </c:pt>
                <c:pt idx="6">
                  <c:v>4.3511750388605774</c:v>
                </c:pt>
                <c:pt idx="7">
                  <c:v>3.9797359904443215</c:v>
                </c:pt>
                <c:pt idx="8">
                  <c:v>4.0520608800799156</c:v>
                </c:pt>
                <c:pt idx="9">
                  <c:v>4.4812602055692841</c:v>
                </c:pt>
                <c:pt idx="10">
                  <c:v>0</c:v>
                </c:pt>
                <c:pt idx="11">
                  <c:v>7.7298316770796974E-2</c:v>
                </c:pt>
                <c:pt idx="12">
                  <c:v>0.19472801037787391</c:v>
                </c:pt>
                <c:pt idx="13">
                  <c:v>0.24013858792058981</c:v>
                </c:pt>
                <c:pt idx="14">
                  <c:v>0.31981034746842146</c:v>
                </c:pt>
                <c:pt idx="15">
                  <c:v>0.32219492207651196</c:v>
                </c:pt>
                <c:pt idx="16">
                  <c:v>0.35123960204521115</c:v>
                </c:pt>
                <c:pt idx="17">
                  <c:v>0.42610303108386804</c:v>
                </c:pt>
                <c:pt idx="18">
                  <c:v>0.51660409613884251</c:v>
                </c:pt>
                <c:pt idx="19">
                  <c:v>0.43997466010064773</c:v>
                </c:pt>
                <c:pt idx="20">
                  <c:v>0.62948983992985197</c:v>
                </c:pt>
                <c:pt idx="21">
                  <c:v>0.49169617346091532</c:v>
                </c:pt>
                <c:pt idx="22">
                  <c:v>0.6322762512289366</c:v>
                </c:pt>
                <c:pt idx="23">
                  <c:v>0.51008294023439993</c:v>
                </c:pt>
                <c:pt idx="24">
                  <c:v>0.50835387351202022</c:v>
                </c:pt>
                <c:pt idx="25">
                  <c:v>0.55156906526268823</c:v>
                </c:pt>
                <c:pt idx="26">
                  <c:v>0.54758696396097062</c:v>
                </c:pt>
                <c:pt idx="27">
                  <c:v>0.54669887791370997</c:v>
                </c:pt>
                <c:pt idx="28">
                  <c:v>0.62224748810650599</c:v>
                </c:pt>
                <c:pt idx="29">
                  <c:v>0.62976782782932705</c:v>
                </c:pt>
                <c:pt idx="30">
                  <c:v>0.59568566733520478</c:v>
                </c:pt>
                <c:pt idx="31">
                  <c:v>0.73467928408293459</c:v>
                </c:pt>
                <c:pt idx="32">
                  <c:v>0.71899494991166613</c:v>
                </c:pt>
                <c:pt idx="33">
                  <c:v>0.67271819384077403</c:v>
                </c:pt>
                <c:pt idx="34">
                  <c:v>0.92782731699414778</c:v>
                </c:pt>
                <c:pt idx="35">
                  <c:v>0.94993747563177255</c:v>
                </c:pt>
                <c:pt idx="36">
                  <c:v>0.96320653234649234</c:v>
                </c:pt>
                <c:pt idx="37">
                  <c:v>0.87890782336779372</c:v>
                </c:pt>
                <c:pt idx="38">
                  <c:v>0.79757867839405339</c:v>
                </c:pt>
                <c:pt idx="39">
                  <c:v>0.96460015498722873</c:v>
                </c:pt>
                <c:pt idx="40">
                  <c:v>0.89842791636632546</c:v>
                </c:pt>
                <c:pt idx="41">
                  <c:v>0.97143491137412341</c:v>
                </c:pt>
                <c:pt idx="42">
                  <c:v>0.98359109374459275</c:v>
                </c:pt>
                <c:pt idx="43">
                  <c:v>0.772537735812729</c:v>
                </c:pt>
                <c:pt idx="44">
                  <c:v>1.1288805586328667</c:v>
                </c:pt>
                <c:pt idx="45">
                  <c:v>0.88802440857619658</c:v>
                </c:pt>
                <c:pt idx="46">
                  <c:v>0.9449655169537714</c:v>
                </c:pt>
                <c:pt idx="47">
                  <c:v>0.79670059910624746</c:v>
                </c:pt>
                <c:pt idx="48">
                  <c:v>0.78287344005297521</c:v>
                </c:pt>
                <c:pt idx="49">
                  <c:v>1.1086330805461055</c:v>
                </c:pt>
                <c:pt idx="50">
                  <c:v>0.92141377171861027</c:v>
                </c:pt>
                <c:pt idx="51">
                  <c:v>0.9982775531138921</c:v>
                </c:pt>
                <c:pt idx="52">
                  <c:v>1.0016543350495313</c:v>
                </c:pt>
                <c:pt idx="53">
                  <c:v>1.0592764584246992</c:v>
                </c:pt>
                <c:pt idx="54">
                  <c:v>1.063115287579331</c:v>
                </c:pt>
                <c:pt idx="55">
                  <c:v>1.0773520675995876</c:v>
                </c:pt>
                <c:pt idx="56">
                  <c:v>0.94754901166937167</c:v>
                </c:pt>
                <c:pt idx="57">
                  <c:v>0.85884516429837832</c:v>
                </c:pt>
                <c:pt idx="58">
                  <c:v>0.978422495507284</c:v>
                </c:pt>
                <c:pt idx="59">
                  <c:v>1.0127886782357312</c:v>
                </c:pt>
                <c:pt idx="60">
                  <c:v>0.99786947164075679</c:v>
                </c:pt>
                <c:pt idx="61">
                  <c:v>0.94917156377864809</c:v>
                </c:pt>
                <c:pt idx="62">
                  <c:v>1.0786784241458414</c:v>
                </c:pt>
                <c:pt idx="63">
                  <c:v>0.94944896483330232</c:v>
                </c:pt>
                <c:pt idx="64">
                  <c:v>1.0287996664664087</c:v>
                </c:pt>
                <c:pt idx="65">
                  <c:v>0.90064419761715719</c:v>
                </c:pt>
                <c:pt idx="66">
                  <c:v>0.99997688505696403</c:v>
                </c:pt>
                <c:pt idx="67">
                  <c:v>1.0204911617504007</c:v>
                </c:pt>
                <c:pt idx="68">
                  <c:v>1.0114384532614147</c:v>
                </c:pt>
                <c:pt idx="69">
                  <c:v>1.0378384802937244</c:v>
                </c:pt>
                <c:pt idx="70">
                  <c:v>1.0095324152573484</c:v>
                </c:pt>
                <c:pt idx="71">
                  <c:v>1.0166775493162326</c:v>
                </c:pt>
                <c:pt idx="72">
                  <c:v>1.0256772704341506</c:v>
                </c:pt>
                <c:pt idx="73">
                  <c:v>0.99595732329824171</c:v>
                </c:pt>
                <c:pt idx="74">
                  <c:v>0.95296659724796429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90-421C-92DB-83DA3607E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83672"/>
        <c:axId val="618384000"/>
      </c:scatterChart>
      <c:valAx>
        <c:axId val="61838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84000"/>
        <c:crosses val="autoZero"/>
        <c:crossBetween val="midCat"/>
      </c:valAx>
      <c:valAx>
        <c:axId val="618384000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8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YS_500kDa_1!$R$1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YS_500kDa_1!$B$2:$B$152</c:f>
              <c:numCache>
                <c:formatCode>General</c:formatCode>
                <c:ptCount val="151"/>
                <c:pt idx="0">
                  <c:v>-5.0107999999999997</c:v>
                </c:pt>
                <c:pt idx="1">
                  <c:v>-4.508</c:v>
                </c:pt>
                <c:pt idx="2">
                  <c:v>-4.0077999999999996</c:v>
                </c:pt>
                <c:pt idx="3">
                  <c:v>-3.5078999999999998</c:v>
                </c:pt>
                <c:pt idx="4">
                  <c:v>-3.0080999999999998</c:v>
                </c:pt>
                <c:pt idx="5">
                  <c:v>0</c:v>
                </c:pt>
                <c:pt idx="6">
                  <c:v>0.50250000000000039</c:v>
                </c:pt>
                <c:pt idx="7">
                  <c:v>1.0030999999999999</c:v>
                </c:pt>
                <c:pt idx="8">
                  <c:v>1.5025000000000004</c:v>
                </c:pt>
                <c:pt idx="9">
                  <c:v>2.0026999999999999</c:v>
                </c:pt>
                <c:pt idx="10">
                  <c:v>2.5026000000000002</c:v>
                </c:pt>
                <c:pt idx="11">
                  <c:v>3.002600000000001</c:v>
                </c:pt>
                <c:pt idx="12">
                  <c:v>3.502600000000001</c:v>
                </c:pt>
                <c:pt idx="13">
                  <c:v>4.0027000000000008</c:v>
                </c:pt>
                <c:pt idx="14">
                  <c:v>4.5029000000000003</c:v>
                </c:pt>
                <c:pt idx="15">
                  <c:v>5.0027000000000008</c:v>
                </c:pt>
                <c:pt idx="16">
                  <c:v>5.5023</c:v>
                </c:pt>
                <c:pt idx="17">
                  <c:v>6.0028000000000006</c:v>
                </c:pt>
                <c:pt idx="18">
                  <c:v>6.5028000000000006</c:v>
                </c:pt>
                <c:pt idx="19">
                  <c:v>7.0028000000000006</c:v>
                </c:pt>
                <c:pt idx="20">
                  <c:v>7.5023999999999997</c:v>
                </c:pt>
                <c:pt idx="21">
                  <c:v>8.0028000000000006</c:v>
                </c:pt>
                <c:pt idx="22">
                  <c:v>8.5023999999999997</c:v>
                </c:pt>
                <c:pt idx="23">
                  <c:v>9.0029000000000003</c:v>
                </c:pt>
                <c:pt idx="24">
                  <c:v>9.5023</c:v>
                </c:pt>
                <c:pt idx="25">
                  <c:v>10.0029</c:v>
                </c:pt>
                <c:pt idx="26">
                  <c:v>10.5024</c:v>
                </c:pt>
                <c:pt idx="27">
                  <c:v>11.0032</c:v>
                </c:pt>
                <c:pt idx="28">
                  <c:v>11.502800000000001</c:v>
                </c:pt>
                <c:pt idx="29">
                  <c:v>12.003</c:v>
                </c:pt>
                <c:pt idx="30">
                  <c:v>12.502400000000002</c:v>
                </c:pt>
                <c:pt idx="31">
                  <c:v>13.003</c:v>
                </c:pt>
                <c:pt idx="32">
                  <c:v>13.502400000000002</c:v>
                </c:pt>
                <c:pt idx="33">
                  <c:v>14.002600000000001</c:v>
                </c:pt>
                <c:pt idx="34">
                  <c:v>14.502800000000001</c:v>
                </c:pt>
                <c:pt idx="35">
                  <c:v>15.002800000000001</c:v>
                </c:pt>
                <c:pt idx="36">
                  <c:v>15.5029</c:v>
                </c:pt>
                <c:pt idx="37">
                  <c:v>16.0029</c:v>
                </c:pt>
                <c:pt idx="38">
                  <c:v>16.502300000000002</c:v>
                </c:pt>
                <c:pt idx="39">
                  <c:v>17.002800000000001</c:v>
                </c:pt>
                <c:pt idx="40">
                  <c:v>17.502800000000001</c:v>
                </c:pt>
                <c:pt idx="41">
                  <c:v>18.002800000000001</c:v>
                </c:pt>
                <c:pt idx="42">
                  <c:v>18.502400000000002</c:v>
                </c:pt>
                <c:pt idx="43">
                  <c:v>19.002600000000001</c:v>
                </c:pt>
                <c:pt idx="44">
                  <c:v>19.502600000000001</c:v>
                </c:pt>
                <c:pt idx="45">
                  <c:v>20.002700000000001</c:v>
                </c:pt>
                <c:pt idx="46">
                  <c:v>20.502700000000001</c:v>
                </c:pt>
                <c:pt idx="47">
                  <c:v>21.0029</c:v>
                </c:pt>
                <c:pt idx="48">
                  <c:v>21.502700000000001</c:v>
                </c:pt>
                <c:pt idx="49">
                  <c:v>22.002600000000001</c:v>
                </c:pt>
                <c:pt idx="50">
                  <c:v>22.502400000000002</c:v>
                </c:pt>
                <c:pt idx="51">
                  <c:v>23.0029</c:v>
                </c:pt>
                <c:pt idx="52">
                  <c:v>23.502700000000001</c:v>
                </c:pt>
                <c:pt idx="53">
                  <c:v>24.0029</c:v>
                </c:pt>
                <c:pt idx="54">
                  <c:v>24.502300000000002</c:v>
                </c:pt>
                <c:pt idx="55">
                  <c:v>25.002800000000001</c:v>
                </c:pt>
                <c:pt idx="56">
                  <c:v>25.502800000000001</c:v>
                </c:pt>
                <c:pt idx="57">
                  <c:v>26.003</c:v>
                </c:pt>
                <c:pt idx="58">
                  <c:v>26.5029</c:v>
                </c:pt>
                <c:pt idx="59">
                  <c:v>27.0031</c:v>
                </c:pt>
                <c:pt idx="60">
                  <c:v>27.502599999999997</c:v>
                </c:pt>
                <c:pt idx="61">
                  <c:v>28.0031</c:v>
                </c:pt>
                <c:pt idx="62">
                  <c:v>28.502500000000001</c:v>
                </c:pt>
                <c:pt idx="63">
                  <c:v>29.003200000000003</c:v>
                </c:pt>
                <c:pt idx="64">
                  <c:v>29.502599999999997</c:v>
                </c:pt>
                <c:pt idx="65">
                  <c:v>30.002599999999997</c:v>
                </c:pt>
                <c:pt idx="66">
                  <c:v>30.502799999999997</c:v>
                </c:pt>
                <c:pt idx="67">
                  <c:v>31.003000000000004</c:v>
                </c:pt>
                <c:pt idx="68">
                  <c:v>31.502399999999998</c:v>
                </c:pt>
                <c:pt idx="69">
                  <c:v>32.003100000000003</c:v>
                </c:pt>
              </c:numCache>
            </c:numRef>
          </c:xVal>
          <c:yVal>
            <c:numRef>
              <c:f>YS_500kDa_1!$R$2:$R$152</c:f>
              <c:numCache>
                <c:formatCode>General</c:formatCode>
                <c:ptCount val="151"/>
                <c:pt idx="0">
                  <c:v>1.6163547428907841</c:v>
                </c:pt>
                <c:pt idx="1">
                  <c:v>1.4606306608408179</c:v>
                </c:pt>
                <c:pt idx="2">
                  <c:v>1.5139806500544379</c:v>
                </c:pt>
                <c:pt idx="3">
                  <c:v>1.4073649454197514</c:v>
                </c:pt>
                <c:pt idx="4">
                  <c:v>1.4548881106912446</c:v>
                </c:pt>
                <c:pt idx="5">
                  <c:v>0</c:v>
                </c:pt>
                <c:pt idx="6">
                  <c:v>0.12805924960858631</c:v>
                </c:pt>
                <c:pt idx="7">
                  <c:v>0.25885626522710781</c:v>
                </c:pt>
                <c:pt idx="8">
                  <c:v>0.3948578986055119</c:v>
                </c:pt>
                <c:pt idx="9">
                  <c:v>0.39033524176706919</c:v>
                </c:pt>
                <c:pt idx="10">
                  <c:v>0.49041275235667542</c:v>
                </c:pt>
                <c:pt idx="11">
                  <c:v>0.53022921542829771</c:v>
                </c:pt>
                <c:pt idx="12">
                  <c:v>0.55784366973759403</c:v>
                </c:pt>
                <c:pt idx="13">
                  <c:v>0.5895717631776608</c:v>
                </c:pt>
                <c:pt idx="14">
                  <c:v>0.72042956933266589</c:v>
                </c:pt>
                <c:pt idx="15">
                  <c:v>0.70296327105414402</c:v>
                </c:pt>
                <c:pt idx="16">
                  <c:v>0.68473087258963528</c:v>
                </c:pt>
                <c:pt idx="17">
                  <c:v>0.71217558725372931</c:v>
                </c:pt>
                <c:pt idx="18">
                  <c:v>0.73849096096778677</c:v>
                </c:pt>
                <c:pt idx="19">
                  <c:v>0.76984991259772406</c:v>
                </c:pt>
                <c:pt idx="20">
                  <c:v>0.83495286449398731</c:v>
                </c:pt>
                <c:pt idx="21">
                  <c:v>0.8425809079591392</c:v>
                </c:pt>
                <c:pt idx="22">
                  <c:v>0.89849167647372519</c:v>
                </c:pt>
                <c:pt idx="23">
                  <c:v>0.79229902419362896</c:v>
                </c:pt>
                <c:pt idx="24">
                  <c:v>0.81689260387374218</c:v>
                </c:pt>
                <c:pt idx="25">
                  <c:v>0.76485979647876534</c:v>
                </c:pt>
                <c:pt idx="26">
                  <c:v>0.87354725808387712</c:v>
                </c:pt>
                <c:pt idx="27">
                  <c:v>0.85559652101153338</c:v>
                </c:pt>
                <c:pt idx="28">
                  <c:v>0.9110655963572929</c:v>
                </c:pt>
                <c:pt idx="29">
                  <c:v>0.93561312641617289</c:v>
                </c:pt>
                <c:pt idx="30">
                  <c:v>0.9515831945088693</c:v>
                </c:pt>
                <c:pt idx="31">
                  <c:v>0.90360344200116915</c:v>
                </c:pt>
                <c:pt idx="32">
                  <c:v>0.93582801742045985</c:v>
                </c:pt>
                <c:pt idx="33">
                  <c:v>0.89358826816255399</c:v>
                </c:pt>
                <c:pt idx="34">
                  <c:v>0.91056408309560155</c:v>
                </c:pt>
                <c:pt idx="35">
                  <c:v>0.85443165556777811</c:v>
                </c:pt>
                <c:pt idx="36">
                  <c:v>0.86552087330160898</c:v>
                </c:pt>
                <c:pt idx="37">
                  <c:v>0.90866248474665934</c:v>
                </c:pt>
                <c:pt idx="38">
                  <c:v>0.95814439342879154</c:v>
                </c:pt>
                <c:pt idx="39">
                  <c:v>0.94936733672785412</c:v>
                </c:pt>
                <c:pt idx="40">
                  <c:v>0.92056913728301337</c:v>
                </c:pt>
                <c:pt idx="41">
                  <c:v>0.9219259419941539</c:v>
                </c:pt>
                <c:pt idx="42">
                  <c:v>0.88665604202669523</c:v>
                </c:pt>
                <c:pt idx="43">
                  <c:v>0.98133343934100647</c:v>
                </c:pt>
                <c:pt idx="44">
                  <c:v>0.94867128867932016</c:v>
                </c:pt>
                <c:pt idx="45">
                  <c:v>0.89330764231059934</c:v>
                </c:pt>
                <c:pt idx="46">
                  <c:v>0.96825633495359764</c:v>
                </c:pt>
                <c:pt idx="47">
                  <c:v>1.0237508629332672</c:v>
                </c:pt>
                <c:pt idx="48">
                  <c:v>0.99590902291543082</c:v>
                </c:pt>
                <c:pt idx="49">
                  <c:v>0.87370898301093436</c:v>
                </c:pt>
                <c:pt idx="50">
                  <c:v>0.95819956011794194</c:v>
                </c:pt>
                <c:pt idx="51">
                  <c:v>0.98639784603037994</c:v>
                </c:pt>
                <c:pt idx="52">
                  <c:v>1.0126529706477556</c:v>
                </c:pt>
                <c:pt idx="53">
                  <c:v>0.95744080901891404</c:v>
                </c:pt>
                <c:pt idx="54">
                  <c:v>0.97910967368847457</c:v>
                </c:pt>
                <c:pt idx="55">
                  <c:v>0.91710523384811538</c:v>
                </c:pt>
                <c:pt idx="56">
                  <c:v>1.0058516212932869</c:v>
                </c:pt>
                <c:pt idx="57">
                  <c:v>0.96826566413949955</c:v>
                </c:pt>
                <c:pt idx="58">
                  <c:v>1.004798805414554</c:v>
                </c:pt>
                <c:pt idx="59">
                  <c:v>0.8777395294170397</c:v>
                </c:pt>
                <c:pt idx="60">
                  <c:v>1.0401542479732349</c:v>
                </c:pt>
                <c:pt idx="61">
                  <c:v>1.0479939392772375</c:v>
                </c:pt>
                <c:pt idx="62">
                  <c:v>0.96386825205659188</c:v>
                </c:pt>
                <c:pt idx="63">
                  <c:v>0.9922468277241997</c:v>
                </c:pt>
                <c:pt idx="64">
                  <c:v>1.0569976887045132</c:v>
                </c:pt>
                <c:pt idx="65">
                  <c:v>0.9405155978413583</c:v>
                </c:pt>
                <c:pt idx="66">
                  <c:v>1.0426007092017902</c:v>
                </c:pt>
                <c:pt idx="67">
                  <c:v>1.020856450673594</c:v>
                </c:pt>
                <c:pt idx="68">
                  <c:v>1.0107805996838668</c:v>
                </c:pt>
                <c:pt idx="69">
                  <c:v>1.0062461574465758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54-45F5-85DF-A54552DF4CFA}"/>
            </c:ext>
          </c:extLst>
        </c:ser>
        <c:ser>
          <c:idx val="1"/>
          <c:order val="1"/>
          <c:tx>
            <c:strRef>
              <c:f>YS_500kDa_1!$S$1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YS_500kDa_1!$B$2:$B$152</c:f>
              <c:numCache>
                <c:formatCode>General</c:formatCode>
                <c:ptCount val="151"/>
                <c:pt idx="0">
                  <c:v>-5.0107999999999997</c:v>
                </c:pt>
                <c:pt idx="1">
                  <c:v>-4.508</c:v>
                </c:pt>
                <c:pt idx="2">
                  <c:v>-4.0077999999999996</c:v>
                </c:pt>
                <c:pt idx="3">
                  <c:v>-3.5078999999999998</c:v>
                </c:pt>
                <c:pt idx="4">
                  <c:v>-3.0080999999999998</c:v>
                </c:pt>
                <c:pt idx="5">
                  <c:v>0</c:v>
                </c:pt>
                <c:pt idx="6">
                  <c:v>0.50250000000000039</c:v>
                </c:pt>
                <c:pt idx="7">
                  <c:v>1.0030999999999999</c:v>
                </c:pt>
                <c:pt idx="8">
                  <c:v>1.5025000000000004</c:v>
                </c:pt>
                <c:pt idx="9">
                  <c:v>2.0026999999999999</c:v>
                </c:pt>
                <c:pt idx="10">
                  <c:v>2.5026000000000002</c:v>
                </c:pt>
                <c:pt idx="11">
                  <c:v>3.002600000000001</c:v>
                </c:pt>
                <c:pt idx="12">
                  <c:v>3.502600000000001</c:v>
                </c:pt>
                <c:pt idx="13">
                  <c:v>4.0027000000000008</c:v>
                </c:pt>
                <c:pt idx="14">
                  <c:v>4.5029000000000003</c:v>
                </c:pt>
                <c:pt idx="15">
                  <c:v>5.0027000000000008</c:v>
                </c:pt>
                <c:pt idx="16">
                  <c:v>5.5023</c:v>
                </c:pt>
                <c:pt idx="17">
                  <c:v>6.0028000000000006</c:v>
                </c:pt>
                <c:pt idx="18">
                  <c:v>6.5028000000000006</c:v>
                </c:pt>
                <c:pt idx="19">
                  <c:v>7.0028000000000006</c:v>
                </c:pt>
                <c:pt idx="20">
                  <c:v>7.5023999999999997</c:v>
                </c:pt>
                <c:pt idx="21">
                  <c:v>8.0028000000000006</c:v>
                </c:pt>
                <c:pt idx="22">
                  <c:v>8.5023999999999997</c:v>
                </c:pt>
                <c:pt idx="23">
                  <c:v>9.0029000000000003</c:v>
                </c:pt>
                <c:pt idx="24">
                  <c:v>9.5023</c:v>
                </c:pt>
                <c:pt idx="25">
                  <c:v>10.0029</c:v>
                </c:pt>
                <c:pt idx="26">
                  <c:v>10.5024</c:v>
                </c:pt>
                <c:pt idx="27">
                  <c:v>11.0032</c:v>
                </c:pt>
                <c:pt idx="28">
                  <c:v>11.502800000000001</c:v>
                </c:pt>
                <c:pt idx="29">
                  <c:v>12.003</c:v>
                </c:pt>
                <c:pt idx="30">
                  <c:v>12.502400000000002</c:v>
                </c:pt>
                <c:pt idx="31">
                  <c:v>13.003</c:v>
                </c:pt>
                <c:pt idx="32">
                  <c:v>13.502400000000002</c:v>
                </c:pt>
                <c:pt idx="33">
                  <c:v>14.002600000000001</c:v>
                </c:pt>
                <c:pt idx="34">
                  <c:v>14.502800000000001</c:v>
                </c:pt>
                <c:pt idx="35">
                  <c:v>15.002800000000001</c:v>
                </c:pt>
                <c:pt idx="36">
                  <c:v>15.5029</c:v>
                </c:pt>
                <c:pt idx="37">
                  <c:v>16.0029</c:v>
                </c:pt>
                <c:pt idx="38">
                  <c:v>16.502300000000002</c:v>
                </c:pt>
                <c:pt idx="39">
                  <c:v>17.002800000000001</c:v>
                </c:pt>
                <c:pt idx="40">
                  <c:v>17.502800000000001</c:v>
                </c:pt>
                <c:pt idx="41">
                  <c:v>18.002800000000001</c:v>
                </c:pt>
                <c:pt idx="42">
                  <c:v>18.502400000000002</c:v>
                </c:pt>
                <c:pt idx="43">
                  <c:v>19.002600000000001</c:v>
                </c:pt>
                <c:pt idx="44">
                  <c:v>19.502600000000001</c:v>
                </c:pt>
                <c:pt idx="45">
                  <c:v>20.002700000000001</c:v>
                </c:pt>
                <c:pt idx="46">
                  <c:v>20.502700000000001</c:v>
                </c:pt>
                <c:pt idx="47">
                  <c:v>21.0029</c:v>
                </c:pt>
                <c:pt idx="48">
                  <c:v>21.502700000000001</c:v>
                </c:pt>
                <c:pt idx="49">
                  <c:v>22.002600000000001</c:v>
                </c:pt>
                <c:pt idx="50">
                  <c:v>22.502400000000002</c:v>
                </c:pt>
                <c:pt idx="51">
                  <c:v>23.0029</c:v>
                </c:pt>
                <c:pt idx="52">
                  <c:v>23.502700000000001</c:v>
                </c:pt>
                <c:pt idx="53">
                  <c:v>24.0029</c:v>
                </c:pt>
                <c:pt idx="54">
                  <c:v>24.502300000000002</c:v>
                </c:pt>
                <c:pt idx="55">
                  <c:v>25.002800000000001</c:v>
                </c:pt>
                <c:pt idx="56">
                  <c:v>25.502800000000001</c:v>
                </c:pt>
                <c:pt idx="57">
                  <c:v>26.003</c:v>
                </c:pt>
                <c:pt idx="58">
                  <c:v>26.5029</c:v>
                </c:pt>
                <c:pt idx="59">
                  <c:v>27.0031</c:v>
                </c:pt>
                <c:pt idx="60">
                  <c:v>27.502599999999997</c:v>
                </c:pt>
                <c:pt idx="61">
                  <c:v>28.0031</c:v>
                </c:pt>
                <c:pt idx="62">
                  <c:v>28.502500000000001</c:v>
                </c:pt>
                <c:pt idx="63">
                  <c:v>29.003200000000003</c:v>
                </c:pt>
                <c:pt idx="64">
                  <c:v>29.502599999999997</c:v>
                </c:pt>
                <c:pt idx="65">
                  <c:v>30.002599999999997</c:v>
                </c:pt>
                <c:pt idx="66">
                  <c:v>30.502799999999997</c:v>
                </c:pt>
                <c:pt idx="67">
                  <c:v>31.003000000000004</c:v>
                </c:pt>
                <c:pt idx="68">
                  <c:v>31.502399999999998</c:v>
                </c:pt>
                <c:pt idx="69">
                  <c:v>32.003100000000003</c:v>
                </c:pt>
              </c:numCache>
            </c:numRef>
          </c:xVal>
          <c:yVal>
            <c:numRef>
              <c:f>YS_500kDa_1!$S$2:$S$152</c:f>
              <c:numCache>
                <c:formatCode>General</c:formatCode>
                <c:ptCount val="151"/>
                <c:pt idx="0">
                  <c:v>3.5756830702671074</c:v>
                </c:pt>
                <c:pt idx="1">
                  <c:v>2.8498997644194426</c:v>
                </c:pt>
                <c:pt idx="2">
                  <c:v>2.8039063319102246</c:v>
                </c:pt>
                <c:pt idx="3">
                  <c:v>2.7510651482470534</c:v>
                </c:pt>
                <c:pt idx="4">
                  <c:v>3.0907385018696458</c:v>
                </c:pt>
                <c:pt idx="5">
                  <c:v>0</c:v>
                </c:pt>
                <c:pt idx="6">
                  <c:v>0.27478273969008082</c:v>
                </c:pt>
                <c:pt idx="7">
                  <c:v>0.30433690471824004</c:v>
                </c:pt>
                <c:pt idx="8">
                  <c:v>0.43718519060468869</c:v>
                </c:pt>
                <c:pt idx="9">
                  <c:v>0.33032759143492646</c:v>
                </c:pt>
                <c:pt idx="10">
                  <c:v>0.47043048529669124</c:v>
                </c:pt>
                <c:pt idx="11">
                  <c:v>0.66970520601210126</c:v>
                </c:pt>
                <c:pt idx="12">
                  <c:v>0.56077362009710086</c:v>
                </c:pt>
                <c:pt idx="13">
                  <c:v>0.69686926720560438</c:v>
                </c:pt>
                <c:pt idx="14">
                  <c:v>0.68121519454253676</c:v>
                </c:pt>
                <c:pt idx="15">
                  <c:v>0.72781959199823132</c:v>
                </c:pt>
                <c:pt idx="16">
                  <c:v>0.6881101550402059</c:v>
                </c:pt>
                <c:pt idx="17">
                  <c:v>0.7698183348599853</c:v>
                </c:pt>
                <c:pt idx="18">
                  <c:v>0.62446323897036238</c:v>
                </c:pt>
                <c:pt idx="19">
                  <c:v>0.83319092449665155</c:v>
                </c:pt>
                <c:pt idx="20">
                  <c:v>0.77378684267421705</c:v>
                </c:pt>
                <c:pt idx="21">
                  <c:v>0.87139347551166491</c:v>
                </c:pt>
                <c:pt idx="22">
                  <c:v>0.91193332942688587</c:v>
                </c:pt>
                <c:pt idx="23">
                  <c:v>0.58186492666842649</c:v>
                </c:pt>
                <c:pt idx="24">
                  <c:v>0.74305356785231591</c:v>
                </c:pt>
                <c:pt idx="25">
                  <c:v>0.96359713253507251</c:v>
                </c:pt>
                <c:pt idx="26">
                  <c:v>0.7356078811084823</c:v>
                </c:pt>
                <c:pt idx="27">
                  <c:v>0.78759190195062412</c:v>
                </c:pt>
                <c:pt idx="28">
                  <c:v>0.83138145584153877</c:v>
                </c:pt>
                <c:pt idx="29">
                  <c:v>0.82006381547673979</c:v>
                </c:pt>
                <c:pt idx="30">
                  <c:v>0.91558649590339614</c:v>
                </c:pt>
                <c:pt idx="31">
                  <c:v>0.96809282934696994</c:v>
                </c:pt>
                <c:pt idx="32">
                  <c:v>0.98155662823198708</c:v>
                </c:pt>
                <c:pt idx="33">
                  <c:v>0.85310037273070893</c:v>
                </c:pt>
                <c:pt idx="34">
                  <c:v>0.80189786559611609</c:v>
                </c:pt>
                <c:pt idx="35">
                  <c:v>0.9775819697863064</c:v>
                </c:pt>
                <c:pt idx="36">
                  <c:v>0.98763386106229967</c:v>
                </c:pt>
                <c:pt idx="37">
                  <c:v>0.91503599216232212</c:v>
                </c:pt>
                <c:pt idx="38">
                  <c:v>0.96088093706285016</c:v>
                </c:pt>
                <c:pt idx="39">
                  <c:v>0.91057715401335926</c:v>
                </c:pt>
                <c:pt idx="40">
                  <c:v>1.0055052363000077</c:v>
                </c:pt>
                <c:pt idx="41">
                  <c:v>0.9546999766918105</c:v>
                </c:pt>
                <c:pt idx="42">
                  <c:v>0.93390728890798103</c:v>
                </c:pt>
                <c:pt idx="43">
                  <c:v>0.87117394863450592</c:v>
                </c:pt>
                <c:pt idx="44">
                  <c:v>0.81689102502789024</c:v>
                </c:pt>
                <c:pt idx="45">
                  <c:v>0.9866330883518859</c:v>
                </c:pt>
                <c:pt idx="46">
                  <c:v>0.73172423342172332</c:v>
                </c:pt>
                <c:pt idx="47">
                  <c:v>0.97592638707240531</c:v>
                </c:pt>
                <c:pt idx="48">
                  <c:v>1.0258619121822512</c:v>
                </c:pt>
                <c:pt idx="49">
                  <c:v>1.0196504032961211</c:v>
                </c:pt>
                <c:pt idx="50">
                  <c:v>1.0059490024785089</c:v>
                </c:pt>
                <c:pt idx="51">
                  <c:v>0.98121135654949765</c:v>
                </c:pt>
                <c:pt idx="52">
                  <c:v>0.98286609265379909</c:v>
                </c:pt>
                <c:pt idx="53">
                  <c:v>0.87944606665344516</c:v>
                </c:pt>
                <c:pt idx="54">
                  <c:v>0.92166469392526151</c:v>
                </c:pt>
                <c:pt idx="55">
                  <c:v>1.0114975771395478</c:v>
                </c:pt>
                <c:pt idx="56">
                  <c:v>0.97636114582356981</c:v>
                </c:pt>
                <c:pt idx="57">
                  <c:v>0.89353336399207561</c:v>
                </c:pt>
                <c:pt idx="58">
                  <c:v>1.0587184750418113</c:v>
                </c:pt>
                <c:pt idx="59">
                  <c:v>1.0613538314177415</c:v>
                </c:pt>
                <c:pt idx="60">
                  <c:v>1.0704622380605184</c:v>
                </c:pt>
                <c:pt idx="61">
                  <c:v>0.96972161768138809</c:v>
                </c:pt>
                <c:pt idx="62">
                  <c:v>1.0361291683962615</c:v>
                </c:pt>
                <c:pt idx="63">
                  <c:v>1.0491814898787923</c:v>
                </c:pt>
                <c:pt idx="64">
                  <c:v>1.0098677683285751</c:v>
                </c:pt>
                <c:pt idx="65">
                  <c:v>1.0194075280697719</c:v>
                </c:pt>
                <c:pt idx="66">
                  <c:v>0.8972005377196367</c:v>
                </c:pt>
                <c:pt idx="67">
                  <c:v>0.79688532175378834</c:v>
                </c:pt>
                <c:pt idx="68">
                  <c:v>1.0247163776247326</c:v>
                </c:pt>
                <c:pt idx="69">
                  <c:v>1.0650741210687915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54-45F5-85DF-A54552DF4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521584"/>
        <c:axId val="478518632"/>
      </c:scatterChart>
      <c:valAx>
        <c:axId val="4785215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18632"/>
        <c:crosses val="autoZero"/>
        <c:crossBetween val="midCat"/>
      </c:valAx>
      <c:valAx>
        <c:axId val="47851863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2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YS_500kDa_4!$R$1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YS_500kDa_4!$B$2:$B$101</c:f>
              <c:numCache>
                <c:formatCode>General</c:formatCode>
                <c:ptCount val="100"/>
                <c:pt idx="0">
                  <c:v>-7.5105000000000004</c:v>
                </c:pt>
                <c:pt idx="1">
                  <c:v>-7.0077000000000007</c:v>
                </c:pt>
                <c:pt idx="2">
                  <c:v>-6.5075000000000003</c:v>
                </c:pt>
                <c:pt idx="3">
                  <c:v>-6.0079000000000002</c:v>
                </c:pt>
                <c:pt idx="4">
                  <c:v>-5.5076999999999998</c:v>
                </c:pt>
                <c:pt idx="5">
                  <c:v>-5.0076999999999998</c:v>
                </c:pt>
                <c:pt idx="6">
                  <c:v>-4.5076000000000001</c:v>
                </c:pt>
                <c:pt idx="7">
                  <c:v>-4.0081000000000007</c:v>
                </c:pt>
                <c:pt idx="8">
                  <c:v>-3.5079000000000002</c:v>
                </c:pt>
                <c:pt idx="9">
                  <c:v>-3.008</c:v>
                </c:pt>
                <c:pt idx="10">
                  <c:v>0</c:v>
                </c:pt>
                <c:pt idx="11">
                  <c:v>0.50319999999999965</c:v>
                </c:pt>
                <c:pt idx="12">
                  <c:v>1.0025999999999993</c:v>
                </c:pt>
                <c:pt idx="13">
                  <c:v>1.5027999999999988</c:v>
                </c:pt>
                <c:pt idx="14">
                  <c:v>2.0023999999999997</c:v>
                </c:pt>
                <c:pt idx="15">
                  <c:v>2.5027999999999988</c:v>
                </c:pt>
                <c:pt idx="16">
                  <c:v>3.0023999999999997</c:v>
                </c:pt>
                <c:pt idx="17">
                  <c:v>3.5031999999999996</c:v>
                </c:pt>
                <c:pt idx="18">
                  <c:v>4.0025999999999993</c:v>
                </c:pt>
                <c:pt idx="19">
                  <c:v>4.502699999999999</c:v>
                </c:pt>
                <c:pt idx="20">
                  <c:v>5.002699999999999</c:v>
                </c:pt>
                <c:pt idx="21">
                  <c:v>5.502699999999999</c:v>
                </c:pt>
                <c:pt idx="22">
                  <c:v>6.0029000000000003</c:v>
                </c:pt>
                <c:pt idx="23">
                  <c:v>6.5027999999999988</c:v>
                </c:pt>
                <c:pt idx="24">
                  <c:v>7.0023</c:v>
                </c:pt>
                <c:pt idx="25">
                  <c:v>7.5027999999999988</c:v>
                </c:pt>
                <c:pt idx="26">
                  <c:v>8.0023999999999997</c:v>
                </c:pt>
                <c:pt idx="27">
                  <c:v>8.5031999999999996</c:v>
                </c:pt>
                <c:pt idx="28">
                  <c:v>9.002600000000001</c:v>
                </c:pt>
                <c:pt idx="29">
                  <c:v>9.5032999999999994</c:v>
                </c:pt>
                <c:pt idx="30">
                  <c:v>10.002500000000001</c:v>
                </c:pt>
                <c:pt idx="31">
                  <c:v>10.502700000000001</c:v>
                </c:pt>
                <c:pt idx="32">
                  <c:v>11.0029</c:v>
                </c:pt>
                <c:pt idx="33">
                  <c:v>11.5029</c:v>
                </c:pt>
                <c:pt idx="34">
                  <c:v>12.002500000000001</c:v>
                </c:pt>
                <c:pt idx="35">
                  <c:v>12.502700000000001</c:v>
                </c:pt>
                <c:pt idx="36">
                  <c:v>13.002700000000001</c:v>
                </c:pt>
                <c:pt idx="37">
                  <c:v>13.502700000000001</c:v>
                </c:pt>
                <c:pt idx="38">
                  <c:v>14.0029</c:v>
                </c:pt>
                <c:pt idx="39">
                  <c:v>14.5031</c:v>
                </c:pt>
                <c:pt idx="40">
                  <c:v>15.002600000000001</c:v>
                </c:pt>
                <c:pt idx="41">
                  <c:v>15.5032</c:v>
                </c:pt>
                <c:pt idx="42">
                  <c:v>16.002800000000001</c:v>
                </c:pt>
                <c:pt idx="43">
                  <c:v>16.503</c:v>
                </c:pt>
                <c:pt idx="44">
                  <c:v>17.002600000000001</c:v>
                </c:pt>
                <c:pt idx="45">
                  <c:v>17.503</c:v>
                </c:pt>
                <c:pt idx="46">
                  <c:v>18.002600000000001</c:v>
                </c:pt>
                <c:pt idx="47">
                  <c:v>18.502800000000001</c:v>
                </c:pt>
                <c:pt idx="48">
                  <c:v>19.002800000000001</c:v>
                </c:pt>
                <c:pt idx="49">
                  <c:v>19.5029</c:v>
                </c:pt>
                <c:pt idx="50">
                  <c:v>20.002399999999998</c:v>
                </c:pt>
                <c:pt idx="51">
                  <c:v>20.502600000000001</c:v>
                </c:pt>
                <c:pt idx="52">
                  <c:v>21.002700000000001</c:v>
                </c:pt>
                <c:pt idx="53">
                  <c:v>21.502700000000001</c:v>
                </c:pt>
                <c:pt idx="54">
                  <c:v>22.0029</c:v>
                </c:pt>
                <c:pt idx="55">
                  <c:v>22.5031</c:v>
                </c:pt>
                <c:pt idx="56">
                  <c:v>23.002500000000001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24.502800000000001</c:v>
                </c:pt>
                <c:pt idx="60">
                  <c:v>25.002600000000001</c:v>
                </c:pt>
                <c:pt idx="61">
                  <c:v>25.503099999999996</c:v>
                </c:pt>
                <c:pt idx="62">
                  <c:v>26.002600000000001</c:v>
                </c:pt>
                <c:pt idx="63">
                  <c:v>26.503099999999996</c:v>
                </c:pt>
                <c:pt idx="64">
                  <c:v>27.002499999999998</c:v>
                </c:pt>
                <c:pt idx="65">
                  <c:v>27.5032</c:v>
                </c:pt>
                <c:pt idx="66">
                  <c:v>28.002600000000001</c:v>
                </c:pt>
                <c:pt idx="67">
                  <c:v>28.502800000000001</c:v>
                </c:pt>
                <c:pt idx="68">
                  <c:v>29.002600000000001</c:v>
                </c:pt>
                <c:pt idx="69">
                  <c:v>29.503099999999996</c:v>
                </c:pt>
                <c:pt idx="70">
                  <c:v>30.002499999999998</c:v>
                </c:pt>
                <c:pt idx="71">
                  <c:v>30.503099999999996</c:v>
                </c:pt>
                <c:pt idx="72">
                  <c:v>31.002499999999998</c:v>
                </c:pt>
                <c:pt idx="73">
                  <c:v>31.502699999999997</c:v>
                </c:pt>
                <c:pt idx="74">
                  <c:v>32.002600000000001</c:v>
                </c:pt>
              </c:numCache>
            </c:numRef>
          </c:xVal>
          <c:yVal>
            <c:numRef>
              <c:f>YS_500kDa_4!$R$2:$R$101</c:f>
              <c:numCache>
                <c:formatCode>General</c:formatCode>
                <c:ptCount val="100"/>
                <c:pt idx="0">
                  <c:v>1.7019003985039591</c:v>
                </c:pt>
                <c:pt idx="1">
                  <c:v>1.8066111523085049</c:v>
                </c:pt>
                <c:pt idx="2">
                  <c:v>1.6882525461186273</c:v>
                </c:pt>
                <c:pt idx="3">
                  <c:v>1.6889857446507917</c:v>
                </c:pt>
                <c:pt idx="4">
                  <c:v>1.7111510977572804</c:v>
                </c:pt>
                <c:pt idx="5">
                  <c:v>1.6143279489362474</c:v>
                </c:pt>
                <c:pt idx="6">
                  <c:v>1.519032240382296</c:v>
                </c:pt>
                <c:pt idx="7">
                  <c:v>1.6419472114265163</c:v>
                </c:pt>
                <c:pt idx="8">
                  <c:v>1.569573278618875</c:v>
                </c:pt>
                <c:pt idx="9">
                  <c:v>1.6011222749205427</c:v>
                </c:pt>
                <c:pt idx="10">
                  <c:v>0</c:v>
                </c:pt>
                <c:pt idx="11">
                  <c:v>0.21883846841202198</c:v>
                </c:pt>
                <c:pt idx="12">
                  <c:v>0.34666752335709416</c:v>
                </c:pt>
                <c:pt idx="13">
                  <c:v>0.31242942871065316</c:v>
                </c:pt>
                <c:pt idx="14">
                  <c:v>0.49633553105057476</c:v>
                </c:pt>
                <c:pt idx="15">
                  <c:v>0.57387533785305334</c:v>
                </c:pt>
                <c:pt idx="16">
                  <c:v>0.51670968794430794</c:v>
                </c:pt>
                <c:pt idx="17">
                  <c:v>0.58140790474818138</c:v>
                </c:pt>
                <c:pt idx="18">
                  <c:v>0.62267742666147485</c:v>
                </c:pt>
                <c:pt idx="19">
                  <c:v>0.71093233813880863</c:v>
                </c:pt>
                <c:pt idx="20">
                  <c:v>0.71574694733463973</c:v>
                </c:pt>
                <c:pt idx="21">
                  <c:v>0.72315676676832885</c:v>
                </c:pt>
                <c:pt idx="22">
                  <c:v>0.73001955368078364</c:v>
                </c:pt>
                <c:pt idx="23">
                  <c:v>0.75590234625683039</c:v>
                </c:pt>
                <c:pt idx="24">
                  <c:v>0.8548268912970054</c:v>
                </c:pt>
                <c:pt idx="25">
                  <c:v>0.82417135675489317</c:v>
                </c:pt>
                <c:pt idx="26">
                  <c:v>0.79252223931020738</c:v>
                </c:pt>
                <c:pt idx="27">
                  <c:v>0.76893732281651284</c:v>
                </c:pt>
                <c:pt idx="28">
                  <c:v>0.80119544364599404</c:v>
                </c:pt>
                <c:pt idx="29">
                  <c:v>0.89140858626899711</c:v>
                </c:pt>
                <c:pt idx="30">
                  <c:v>0.90188628761292611</c:v>
                </c:pt>
                <c:pt idx="31">
                  <c:v>0.92651752864078718</c:v>
                </c:pt>
                <c:pt idx="32">
                  <c:v>0.91903594067247218</c:v>
                </c:pt>
                <c:pt idx="33">
                  <c:v>0.96764493052182876</c:v>
                </c:pt>
                <c:pt idx="34">
                  <c:v>0.86273922372171519</c:v>
                </c:pt>
                <c:pt idx="35">
                  <c:v>0.93367251494390757</c:v>
                </c:pt>
                <c:pt idx="36">
                  <c:v>0.88261300510893248</c:v>
                </c:pt>
                <c:pt idx="37">
                  <c:v>0.96256853392290176</c:v>
                </c:pt>
                <c:pt idx="38">
                  <c:v>0.95699885154445807</c:v>
                </c:pt>
                <c:pt idx="39">
                  <c:v>1.0033872066916882</c:v>
                </c:pt>
                <c:pt idx="40">
                  <c:v>1.031953558033631</c:v>
                </c:pt>
                <c:pt idx="41">
                  <c:v>0.89533167010583226</c:v>
                </c:pt>
                <c:pt idx="42">
                  <c:v>0.93541687432054876</c:v>
                </c:pt>
                <c:pt idx="43">
                  <c:v>0.99248525329991499</c:v>
                </c:pt>
                <c:pt idx="44">
                  <c:v>0.97133870218986729</c:v>
                </c:pt>
                <c:pt idx="45">
                  <c:v>1.044867277377757</c:v>
                </c:pt>
                <c:pt idx="46">
                  <c:v>0.85091835129721038</c:v>
                </c:pt>
                <c:pt idx="47">
                  <c:v>1.0167596568510726</c:v>
                </c:pt>
                <c:pt idx="48">
                  <c:v>0.95001111819202455</c:v>
                </c:pt>
                <c:pt idx="49">
                  <c:v>0.97251846498931493</c:v>
                </c:pt>
                <c:pt idx="50">
                  <c:v>0.98285445884364397</c:v>
                </c:pt>
                <c:pt idx="51">
                  <c:v>1.0390195425474762</c:v>
                </c:pt>
                <c:pt idx="52">
                  <c:v>1.0063006187794739</c:v>
                </c:pt>
                <c:pt idx="53">
                  <c:v>0.91266674543924486</c:v>
                </c:pt>
                <c:pt idx="54">
                  <c:v>1.0365615514726096</c:v>
                </c:pt>
                <c:pt idx="55">
                  <c:v>0.98702951553495577</c:v>
                </c:pt>
                <c:pt idx="56">
                  <c:v>1.040380296983155</c:v>
                </c:pt>
                <c:pt idx="57">
                  <c:v>1.0064422539130282</c:v>
                </c:pt>
                <c:pt idx="58">
                  <c:v>0.89772553065685456</c:v>
                </c:pt>
                <c:pt idx="59">
                  <c:v>0.96907730245849411</c:v>
                </c:pt>
                <c:pt idx="60">
                  <c:v>0.96305275799712109</c:v>
                </c:pt>
                <c:pt idx="61">
                  <c:v>0.98983029041735482</c:v>
                </c:pt>
                <c:pt idx="62">
                  <c:v>0.99166625658111895</c:v>
                </c:pt>
                <c:pt idx="63">
                  <c:v>1.0236130916951098</c:v>
                </c:pt>
                <c:pt idx="64">
                  <c:v>0.94902239188133386</c:v>
                </c:pt>
                <c:pt idx="65">
                  <c:v>1.0501216847363777</c:v>
                </c:pt>
                <c:pt idx="66">
                  <c:v>0.96584694458333786</c:v>
                </c:pt>
                <c:pt idx="67">
                  <c:v>1.0521436981144809</c:v>
                </c:pt>
                <c:pt idx="68">
                  <c:v>1.0329957442111082</c:v>
                </c:pt>
                <c:pt idx="69">
                  <c:v>1.0082709048666345</c:v>
                </c:pt>
                <c:pt idx="70">
                  <c:v>0.96263865356516709</c:v>
                </c:pt>
                <c:pt idx="71">
                  <c:v>0.94374585467813366</c:v>
                </c:pt>
                <c:pt idx="72">
                  <c:v>0.96194041516411666</c:v>
                </c:pt>
                <c:pt idx="73">
                  <c:v>1.0277402839373104</c:v>
                </c:pt>
                <c:pt idx="74">
                  <c:v>1.0455334242619989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84-4A06-A8D1-2990E3249F03}"/>
            </c:ext>
          </c:extLst>
        </c:ser>
        <c:ser>
          <c:idx val="1"/>
          <c:order val="1"/>
          <c:tx>
            <c:strRef>
              <c:f>YS_500kDa_4!$S$1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YS_500kDa_4!$B$2:$B$101</c:f>
              <c:numCache>
                <c:formatCode>General</c:formatCode>
                <c:ptCount val="100"/>
                <c:pt idx="0">
                  <c:v>-7.5105000000000004</c:v>
                </c:pt>
                <c:pt idx="1">
                  <c:v>-7.0077000000000007</c:v>
                </c:pt>
                <c:pt idx="2">
                  <c:v>-6.5075000000000003</c:v>
                </c:pt>
                <c:pt idx="3">
                  <c:v>-6.0079000000000002</c:v>
                </c:pt>
                <c:pt idx="4">
                  <c:v>-5.5076999999999998</c:v>
                </c:pt>
                <c:pt idx="5">
                  <c:v>-5.0076999999999998</c:v>
                </c:pt>
                <c:pt idx="6">
                  <c:v>-4.5076000000000001</c:v>
                </c:pt>
                <c:pt idx="7">
                  <c:v>-4.0081000000000007</c:v>
                </c:pt>
                <c:pt idx="8">
                  <c:v>-3.5079000000000002</c:v>
                </c:pt>
                <c:pt idx="9">
                  <c:v>-3.008</c:v>
                </c:pt>
                <c:pt idx="10">
                  <c:v>0</c:v>
                </c:pt>
                <c:pt idx="11">
                  <c:v>0.50319999999999965</c:v>
                </c:pt>
                <c:pt idx="12">
                  <c:v>1.0025999999999993</c:v>
                </c:pt>
                <c:pt idx="13">
                  <c:v>1.5027999999999988</c:v>
                </c:pt>
                <c:pt idx="14">
                  <c:v>2.0023999999999997</c:v>
                </c:pt>
                <c:pt idx="15">
                  <c:v>2.5027999999999988</c:v>
                </c:pt>
                <c:pt idx="16">
                  <c:v>3.0023999999999997</c:v>
                </c:pt>
                <c:pt idx="17">
                  <c:v>3.5031999999999996</c:v>
                </c:pt>
                <c:pt idx="18">
                  <c:v>4.0025999999999993</c:v>
                </c:pt>
                <c:pt idx="19">
                  <c:v>4.502699999999999</c:v>
                </c:pt>
                <c:pt idx="20">
                  <c:v>5.002699999999999</c:v>
                </c:pt>
                <c:pt idx="21">
                  <c:v>5.502699999999999</c:v>
                </c:pt>
                <c:pt idx="22">
                  <c:v>6.0029000000000003</c:v>
                </c:pt>
                <c:pt idx="23">
                  <c:v>6.5027999999999988</c:v>
                </c:pt>
                <c:pt idx="24">
                  <c:v>7.0023</c:v>
                </c:pt>
                <c:pt idx="25">
                  <c:v>7.5027999999999988</c:v>
                </c:pt>
                <c:pt idx="26">
                  <c:v>8.0023999999999997</c:v>
                </c:pt>
                <c:pt idx="27">
                  <c:v>8.5031999999999996</c:v>
                </c:pt>
                <c:pt idx="28">
                  <c:v>9.002600000000001</c:v>
                </c:pt>
                <c:pt idx="29">
                  <c:v>9.5032999999999994</c:v>
                </c:pt>
                <c:pt idx="30">
                  <c:v>10.002500000000001</c:v>
                </c:pt>
                <c:pt idx="31">
                  <c:v>10.502700000000001</c:v>
                </c:pt>
                <c:pt idx="32">
                  <c:v>11.0029</c:v>
                </c:pt>
                <c:pt idx="33">
                  <c:v>11.5029</c:v>
                </c:pt>
                <c:pt idx="34">
                  <c:v>12.002500000000001</c:v>
                </c:pt>
                <c:pt idx="35">
                  <c:v>12.502700000000001</c:v>
                </c:pt>
                <c:pt idx="36">
                  <c:v>13.002700000000001</c:v>
                </c:pt>
                <c:pt idx="37">
                  <c:v>13.502700000000001</c:v>
                </c:pt>
                <c:pt idx="38">
                  <c:v>14.0029</c:v>
                </c:pt>
                <c:pt idx="39">
                  <c:v>14.5031</c:v>
                </c:pt>
                <c:pt idx="40">
                  <c:v>15.002600000000001</c:v>
                </c:pt>
                <c:pt idx="41">
                  <c:v>15.5032</c:v>
                </c:pt>
                <c:pt idx="42">
                  <c:v>16.002800000000001</c:v>
                </c:pt>
                <c:pt idx="43">
                  <c:v>16.503</c:v>
                </c:pt>
                <c:pt idx="44">
                  <c:v>17.002600000000001</c:v>
                </c:pt>
                <c:pt idx="45">
                  <c:v>17.503</c:v>
                </c:pt>
                <c:pt idx="46">
                  <c:v>18.002600000000001</c:v>
                </c:pt>
                <c:pt idx="47">
                  <c:v>18.502800000000001</c:v>
                </c:pt>
                <c:pt idx="48">
                  <c:v>19.002800000000001</c:v>
                </c:pt>
                <c:pt idx="49">
                  <c:v>19.5029</c:v>
                </c:pt>
                <c:pt idx="50">
                  <c:v>20.002399999999998</c:v>
                </c:pt>
                <c:pt idx="51">
                  <c:v>20.502600000000001</c:v>
                </c:pt>
                <c:pt idx="52">
                  <c:v>21.002700000000001</c:v>
                </c:pt>
                <c:pt idx="53">
                  <c:v>21.502700000000001</c:v>
                </c:pt>
                <c:pt idx="54">
                  <c:v>22.0029</c:v>
                </c:pt>
                <c:pt idx="55">
                  <c:v>22.5031</c:v>
                </c:pt>
                <c:pt idx="56">
                  <c:v>23.002500000000001</c:v>
                </c:pt>
                <c:pt idx="57">
                  <c:v>23.5032</c:v>
                </c:pt>
                <c:pt idx="58">
                  <c:v>24.002600000000001</c:v>
                </c:pt>
                <c:pt idx="59">
                  <c:v>24.502800000000001</c:v>
                </c:pt>
                <c:pt idx="60">
                  <c:v>25.002600000000001</c:v>
                </c:pt>
                <c:pt idx="61">
                  <c:v>25.503099999999996</c:v>
                </c:pt>
                <c:pt idx="62">
                  <c:v>26.002600000000001</c:v>
                </c:pt>
                <c:pt idx="63">
                  <c:v>26.503099999999996</c:v>
                </c:pt>
                <c:pt idx="64">
                  <c:v>27.002499999999998</c:v>
                </c:pt>
                <c:pt idx="65">
                  <c:v>27.5032</c:v>
                </c:pt>
                <c:pt idx="66">
                  <c:v>28.002600000000001</c:v>
                </c:pt>
                <c:pt idx="67">
                  <c:v>28.502800000000001</c:v>
                </c:pt>
                <c:pt idx="68">
                  <c:v>29.002600000000001</c:v>
                </c:pt>
                <c:pt idx="69">
                  <c:v>29.503099999999996</c:v>
                </c:pt>
                <c:pt idx="70">
                  <c:v>30.002499999999998</c:v>
                </c:pt>
                <c:pt idx="71">
                  <c:v>30.503099999999996</c:v>
                </c:pt>
                <c:pt idx="72">
                  <c:v>31.002499999999998</c:v>
                </c:pt>
                <c:pt idx="73">
                  <c:v>31.502699999999997</c:v>
                </c:pt>
                <c:pt idx="74">
                  <c:v>32.002600000000001</c:v>
                </c:pt>
              </c:numCache>
            </c:numRef>
          </c:xVal>
          <c:yVal>
            <c:numRef>
              <c:f>YS_500kDa_4!$S$2:$S$101</c:f>
              <c:numCache>
                <c:formatCode>General</c:formatCode>
                <c:ptCount val="100"/>
                <c:pt idx="0">
                  <c:v>1.9928554515463499</c:v>
                </c:pt>
                <c:pt idx="1">
                  <c:v>2.4083223825129094</c:v>
                </c:pt>
                <c:pt idx="2">
                  <c:v>1.902517761072277</c:v>
                </c:pt>
                <c:pt idx="3">
                  <c:v>2.137286160969452</c:v>
                </c:pt>
                <c:pt idx="4">
                  <c:v>2.3764167108047518</c:v>
                </c:pt>
                <c:pt idx="5">
                  <c:v>2.0014304683532544</c:v>
                </c:pt>
                <c:pt idx="6">
                  <c:v>2.094820550801578</c:v>
                </c:pt>
                <c:pt idx="7">
                  <c:v>1.9214089429382195</c:v>
                </c:pt>
                <c:pt idx="8">
                  <c:v>2.2298284645917432</c:v>
                </c:pt>
                <c:pt idx="9">
                  <c:v>1.9329895825803507</c:v>
                </c:pt>
                <c:pt idx="10">
                  <c:v>0</c:v>
                </c:pt>
                <c:pt idx="11">
                  <c:v>0.10969953975236596</c:v>
                </c:pt>
                <c:pt idx="12">
                  <c:v>0.12644667626877454</c:v>
                </c:pt>
                <c:pt idx="13">
                  <c:v>0.15323035445393171</c:v>
                </c:pt>
                <c:pt idx="14">
                  <c:v>0.20210187647667649</c:v>
                </c:pt>
                <c:pt idx="15">
                  <c:v>0.41370462885550419</c:v>
                </c:pt>
                <c:pt idx="16">
                  <c:v>0.60069182411493038</c:v>
                </c:pt>
                <c:pt idx="17">
                  <c:v>0.44099927383619231</c:v>
                </c:pt>
                <c:pt idx="18">
                  <c:v>0.56058558956953897</c:v>
                </c:pt>
                <c:pt idx="19">
                  <c:v>0.67572717434383178</c:v>
                </c:pt>
                <c:pt idx="20">
                  <c:v>0.6774641775573278</c:v>
                </c:pt>
                <c:pt idx="21">
                  <c:v>0.6606046017854087</c:v>
                </c:pt>
                <c:pt idx="22">
                  <c:v>0.58930471728001843</c:v>
                </c:pt>
                <c:pt idx="23">
                  <c:v>0.75673786610890781</c:v>
                </c:pt>
                <c:pt idx="24">
                  <c:v>0.80613872382400487</c:v>
                </c:pt>
                <c:pt idx="25">
                  <c:v>0.77504124222507631</c:v>
                </c:pt>
                <c:pt idx="26">
                  <c:v>0.7166130652486753</c:v>
                </c:pt>
                <c:pt idx="27">
                  <c:v>0.8278599574589196</c:v>
                </c:pt>
                <c:pt idx="28">
                  <c:v>0.68810990080601075</c:v>
                </c:pt>
                <c:pt idx="29">
                  <c:v>0.84939972170295241</c:v>
                </c:pt>
                <c:pt idx="30">
                  <c:v>0.89794039201743747</c:v>
                </c:pt>
                <c:pt idx="31">
                  <c:v>0.88753017422920777</c:v>
                </c:pt>
                <c:pt idx="32">
                  <c:v>0.92131018630286576</c:v>
                </c:pt>
                <c:pt idx="33">
                  <c:v>0.83152749584879526</c:v>
                </c:pt>
                <c:pt idx="34">
                  <c:v>0.93884739541837836</c:v>
                </c:pt>
                <c:pt idx="35">
                  <c:v>0.63121048850952755</c:v>
                </c:pt>
                <c:pt idx="36">
                  <c:v>0.7328140902725544</c:v>
                </c:pt>
                <c:pt idx="37">
                  <c:v>0.8934190606205521</c:v>
                </c:pt>
                <c:pt idx="38">
                  <c:v>0.80101694966789261</c:v>
                </c:pt>
                <c:pt idx="39">
                  <c:v>0.91627543014889534</c:v>
                </c:pt>
                <c:pt idx="40">
                  <c:v>0.66018833732411131</c:v>
                </c:pt>
                <c:pt idx="41">
                  <c:v>0.99373448393684172</c:v>
                </c:pt>
                <c:pt idx="42">
                  <c:v>0.96850577615075195</c:v>
                </c:pt>
                <c:pt idx="43">
                  <c:v>0.80477275806755677</c:v>
                </c:pt>
                <c:pt idx="44">
                  <c:v>0.85007741920363</c:v>
                </c:pt>
                <c:pt idx="45">
                  <c:v>0.85678996468266211</c:v>
                </c:pt>
                <c:pt idx="46">
                  <c:v>0.94576943619245613</c:v>
                </c:pt>
                <c:pt idx="47">
                  <c:v>0.80031842370506112</c:v>
                </c:pt>
                <c:pt idx="48">
                  <c:v>0.81179868779650288</c:v>
                </c:pt>
                <c:pt idx="49">
                  <c:v>1.0756324059810622</c:v>
                </c:pt>
                <c:pt idx="50">
                  <c:v>1.0459151126873438</c:v>
                </c:pt>
                <c:pt idx="51">
                  <c:v>0.84926558530527818</c:v>
                </c:pt>
                <c:pt idx="52">
                  <c:v>0.82565577680268076</c:v>
                </c:pt>
                <c:pt idx="53">
                  <c:v>0.99690503827894139</c:v>
                </c:pt>
                <c:pt idx="54">
                  <c:v>1.0319999528149761</c:v>
                </c:pt>
                <c:pt idx="55">
                  <c:v>1.0214471809016832</c:v>
                </c:pt>
                <c:pt idx="56">
                  <c:v>0.99365795723990291</c:v>
                </c:pt>
                <c:pt idx="57">
                  <c:v>0.98708881126830383</c:v>
                </c:pt>
                <c:pt idx="58">
                  <c:v>0.95696265709670225</c:v>
                </c:pt>
                <c:pt idx="59">
                  <c:v>0.98193736528792241</c:v>
                </c:pt>
                <c:pt idx="60">
                  <c:v>0.78422869955044405</c:v>
                </c:pt>
                <c:pt idx="61">
                  <c:v>0.80274916566758692</c:v>
                </c:pt>
                <c:pt idx="62">
                  <c:v>0.94806526776739708</c:v>
                </c:pt>
                <c:pt idx="63">
                  <c:v>0.8553502297634944</c:v>
                </c:pt>
                <c:pt idx="64">
                  <c:v>0.89215748273525153</c:v>
                </c:pt>
                <c:pt idx="65">
                  <c:v>1.0215940335888458</c:v>
                </c:pt>
                <c:pt idx="66">
                  <c:v>0.96882605179445902</c:v>
                </c:pt>
                <c:pt idx="67">
                  <c:v>1.0509867929449499</c:v>
                </c:pt>
                <c:pt idx="68">
                  <c:v>0.98421554911509423</c:v>
                </c:pt>
                <c:pt idx="69">
                  <c:v>0.99666495020531853</c:v>
                </c:pt>
                <c:pt idx="70">
                  <c:v>0.92975707474304925</c:v>
                </c:pt>
                <c:pt idx="71">
                  <c:v>1.0503952540173394</c:v>
                </c:pt>
                <c:pt idx="72">
                  <c:v>1.0435711892545141</c:v>
                </c:pt>
                <c:pt idx="73">
                  <c:v>1.0301563059352519</c:v>
                </c:pt>
                <c:pt idx="74">
                  <c:v>1.0316753156659324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84-4A06-A8D1-2990E324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17520"/>
        <c:axId val="603419488"/>
      </c:scatterChart>
      <c:valAx>
        <c:axId val="6034175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19488"/>
        <c:crosses val="autoZero"/>
        <c:crossBetween val="midCat"/>
      </c:valAx>
      <c:valAx>
        <c:axId val="6034194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1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41964954714551"/>
          <c:y val="0.92125469850566388"/>
          <c:w val="0.47499375599752869"/>
          <c:h val="7.874530149433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YS_500kDa_3!$R$1</c:f>
              <c:strCache>
                <c:ptCount val="1"/>
                <c:pt idx="0">
                  <c:v>R(t) 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YS_500kDa_3!$B$2:$B$101</c:f>
              <c:numCache>
                <c:formatCode>General</c:formatCode>
                <c:ptCount val="100"/>
                <c:pt idx="0">
                  <c:v>-7.5110000000000001</c:v>
                </c:pt>
                <c:pt idx="1">
                  <c:v>-7.0079000000000002</c:v>
                </c:pt>
                <c:pt idx="2">
                  <c:v>-6.5083000000000002</c:v>
                </c:pt>
                <c:pt idx="3">
                  <c:v>-6.0077999999999996</c:v>
                </c:pt>
                <c:pt idx="4">
                  <c:v>-5.5084</c:v>
                </c:pt>
                <c:pt idx="5">
                  <c:v>-5.0084</c:v>
                </c:pt>
                <c:pt idx="6">
                  <c:v>-4.5084</c:v>
                </c:pt>
                <c:pt idx="7">
                  <c:v>-4.0082000000000004</c:v>
                </c:pt>
                <c:pt idx="8">
                  <c:v>-3.5080999999999998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1.003099999999999</c:v>
                </c:pt>
                <c:pt idx="13">
                  <c:v>1.5025000000000004</c:v>
                </c:pt>
                <c:pt idx="14">
                  <c:v>2.0026999999999999</c:v>
                </c:pt>
                <c:pt idx="15">
                  <c:v>2.5026000000000002</c:v>
                </c:pt>
                <c:pt idx="16">
                  <c:v>3.0027999999999997</c:v>
                </c:pt>
                <c:pt idx="17">
                  <c:v>3.5027999999999997</c:v>
                </c:pt>
                <c:pt idx="18">
                  <c:v>4.0027999999999997</c:v>
                </c:pt>
                <c:pt idx="19">
                  <c:v>4.5028999999999995</c:v>
                </c:pt>
                <c:pt idx="20">
                  <c:v>5.0028999999999995</c:v>
                </c:pt>
                <c:pt idx="21">
                  <c:v>5.5022999999999991</c:v>
                </c:pt>
                <c:pt idx="22">
                  <c:v>6.003099999999999</c:v>
                </c:pt>
                <c:pt idx="23">
                  <c:v>6.5022999999999991</c:v>
                </c:pt>
                <c:pt idx="24">
                  <c:v>7.003099999999999</c:v>
                </c:pt>
                <c:pt idx="25">
                  <c:v>7.5026000000000002</c:v>
                </c:pt>
                <c:pt idx="26">
                  <c:v>8.002600000000001</c:v>
                </c:pt>
                <c:pt idx="27">
                  <c:v>8.502600000000001</c:v>
                </c:pt>
                <c:pt idx="28">
                  <c:v>9.0028000000000006</c:v>
                </c:pt>
                <c:pt idx="29">
                  <c:v>9.5024000000000015</c:v>
                </c:pt>
                <c:pt idx="30">
                  <c:v>10.002600000000001</c:v>
                </c:pt>
                <c:pt idx="31">
                  <c:v>10.502600000000001</c:v>
                </c:pt>
                <c:pt idx="32">
                  <c:v>11.002600000000001</c:v>
                </c:pt>
                <c:pt idx="33">
                  <c:v>11.502700000000001</c:v>
                </c:pt>
                <c:pt idx="34">
                  <c:v>12.0029</c:v>
                </c:pt>
                <c:pt idx="35">
                  <c:v>12.502300000000002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14.0032</c:v>
                </c:pt>
                <c:pt idx="39">
                  <c:v>14.502700000000001</c:v>
                </c:pt>
                <c:pt idx="40">
                  <c:v>15.0029</c:v>
                </c:pt>
                <c:pt idx="41">
                  <c:v>15.502300000000002</c:v>
                </c:pt>
                <c:pt idx="42">
                  <c:v>16.002800000000001</c:v>
                </c:pt>
                <c:pt idx="43">
                  <c:v>16.502800000000001</c:v>
                </c:pt>
                <c:pt idx="44">
                  <c:v>17.0029</c:v>
                </c:pt>
                <c:pt idx="45">
                  <c:v>17.502400000000002</c:v>
                </c:pt>
                <c:pt idx="46">
                  <c:v>18.002600000000001</c:v>
                </c:pt>
                <c:pt idx="47">
                  <c:v>18.502500000000001</c:v>
                </c:pt>
                <c:pt idx="48">
                  <c:v>19.002700000000001</c:v>
                </c:pt>
                <c:pt idx="49">
                  <c:v>19.502700000000001</c:v>
                </c:pt>
                <c:pt idx="50">
                  <c:v>20.002700000000001</c:v>
                </c:pt>
                <c:pt idx="51">
                  <c:v>20.502800000000001</c:v>
                </c:pt>
                <c:pt idx="52">
                  <c:v>21.002800000000001</c:v>
                </c:pt>
                <c:pt idx="53">
                  <c:v>21.502800000000001</c:v>
                </c:pt>
                <c:pt idx="54">
                  <c:v>22.003</c:v>
                </c:pt>
                <c:pt idx="55">
                  <c:v>22.502600000000001</c:v>
                </c:pt>
                <c:pt idx="56">
                  <c:v>23.002800000000001</c:v>
                </c:pt>
                <c:pt idx="57">
                  <c:v>23.502800000000001</c:v>
                </c:pt>
                <c:pt idx="58">
                  <c:v>24.0029</c:v>
                </c:pt>
                <c:pt idx="59">
                  <c:v>24.502300000000002</c:v>
                </c:pt>
                <c:pt idx="60">
                  <c:v>25.0031</c:v>
                </c:pt>
                <c:pt idx="61">
                  <c:v>25.502700000000001</c:v>
                </c:pt>
                <c:pt idx="62">
                  <c:v>26.0031</c:v>
                </c:pt>
                <c:pt idx="63">
                  <c:v>26.502500000000001</c:v>
                </c:pt>
                <c:pt idx="64">
                  <c:v>27.002599999999997</c:v>
                </c:pt>
                <c:pt idx="65">
                  <c:v>27.502800000000004</c:v>
                </c:pt>
                <c:pt idx="66">
                  <c:v>28.002599999999997</c:v>
                </c:pt>
                <c:pt idx="67">
                  <c:v>28.502800000000004</c:v>
                </c:pt>
                <c:pt idx="68">
                  <c:v>29.002800000000004</c:v>
                </c:pt>
                <c:pt idx="69">
                  <c:v>29.5029</c:v>
                </c:pt>
                <c:pt idx="70">
                  <c:v>30.0029</c:v>
                </c:pt>
                <c:pt idx="71">
                  <c:v>30.502500000000001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32.002699999999997</c:v>
                </c:pt>
              </c:numCache>
            </c:numRef>
          </c:xVal>
          <c:yVal>
            <c:numRef>
              <c:f>YS_500kDa_3!$R$2:$R$101</c:f>
              <c:numCache>
                <c:formatCode>General</c:formatCode>
                <c:ptCount val="100"/>
                <c:pt idx="0">
                  <c:v>1.8497658565652473</c:v>
                </c:pt>
                <c:pt idx="1">
                  <c:v>1.8026171434471885</c:v>
                </c:pt>
                <c:pt idx="2">
                  <c:v>1.9997180273033535</c:v>
                </c:pt>
                <c:pt idx="3">
                  <c:v>1.9340834762171408</c:v>
                </c:pt>
                <c:pt idx="4">
                  <c:v>1.8604959152031078</c:v>
                </c:pt>
                <c:pt idx="5">
                  <c:v>1.818453420520989</c:v>
                </c:pt>
                <c:pt idx="6">
                  <c:v>1.7854208279155783</c:v>
                </c:pt>
                <c:pt idx="7">
                  <c:v>1.8601892156307236</c:v>
                </c:pt>
                <c:pt idx="8">
                  <c:v>1.7419467502423929</c:v>
                </c:pt>
                <c:pt idx="9">
                  <c:v>1.86192113097925</c:v>
                </c:pt>
                <c:pt idx="10">
                  <c:v>0</c:v>
                </c:pt>
                <c:pt idx="11">
                  <c:v>0.19684397510058682</c:v>
                </c:pt>
                <c:pt idx="12">
                  <c:v>0.29383744413773877</c:v>
                </c:pt>
                <c:pt idx="13">
                  <c:v>0.34549688404888701</c:v>
                </c:pt>
                <c:pt idx="14">
                  <c:v>0.47280066677907095</c:v>
                </c:pt>
                <c:pt idx="15">
                  <c:v>0.52339884298005623</c:v>
                </c:pt>
                <c:pt idx="16">
                  <c:v>0.56906957683911086</c:v>
                </c:pt>
                <c:pt idx="17">
                  <c:v>0.65750148943043707</c:v>
                </c:pt>
                <c:pt idx="18">
                  <c:v>0.69167509553408502</c:v>
                </c:pt>
                <c:pt idx="19">
                  <c:v>0.68849605854846307</c:v>
                </c:pt>
                <c:pt idx="20">
                  <c:v>0.78711592520330165</c:v>
                </c:pt>
                <c:pt idx="21">
                  <c:v>0.71335432107097063</c:v>
                </c:pt>
                <c:pt idx="22">
                  <c:v>0.76082955660782237</c:v>
                </c:pt>
                <c:pt idx="23">
                  <c:v>0.77052013147387677</c:v>
                </c:pt>
                <c:pt idx="24">
                  <c:v>0.72551904542173695</c:v>
                </c:pt>
                <c:pt idx="25">
                  <c:v>0.8062171976694037</c:v>
                </c:pt>
                <c:pt idx="26">
                  <c:v>0.87838730130886689</c:v>
                </c:pt>
                <c:pt idx="27">
                  <c:v>0.86448478880611801</c:v>
                </c:pt>
                <c:pt idx="28">
                  <c:v>0.89477605558877027</c:v>
                </c:pt>
                <c:pt idx="29">
                  <c:v>0.90734404916977485</c:v>
                </c:pt>
                <c:pt idx="30">
                  <c:v>0.89602273467736004</c:v>
                </c:pt>
                <c:pt idx="31">
                  <c:v>1.0230614387852863</c:v>
                </c:pt>
                <c:pt idx="32">
                  <c:v>0.91321959803584218</c:v>
                </c:pt>
                <c:pt idx="33">
                  <c:v>0.82823144680697747</c:v>
                </c:pt>
                <c:pt idx="34">
                  <c:v>0.82898547659974664</c:v>
                </c:pt>
                <c:pt idx="35">
                  <c:v>0.8442843179666385</c:v>
                </c:pt>
                <c:pt idx="36">
                  <c:v>0.95258397021788765</c:v>
                </c:pt>
                <c:pt idx="37">
                  <c:v>0.89157593514533551</c:v>
                </c:pt>
                <c:pt idx="38">
                  <c:v>0.9177160899144996</c:v>
                </c:pt>
                <c:pt idx="39">
                  <c:v>0.89531429845387267</c:v>
                </c:pt>
                <c:pt idx="40">
                  <c:v>0.91872853627140783</c:v>
                </c:pt>
                <c:pt idx="41">
                  <c:v>0.94625037161719283</c:v>
                </c:pt>
                <c:pt idx="42">
                  <c:v>0.9130697597116606</c:v>
                </c:pt>
                <c:pt idx="43">
                  <c:v>0.91437543954373279</c:v>
                </c:pt>
                <c:pt idx="44">
                  <c:v>0.90979466615242832</c:v>
                </c:pt>
                <c:pt idx="45">
                  <c:v>0.92288230935978943</c:v>
                </c:pt>
                <c:pt idx="46">
                  <c:v>0.99142713825706918</c:v>
                </c:pt>
                <c:pt idx="47">
                  <c:v>0.91271703671691629</c:v>
                </c:pt>
                <c:pt idx="48">
                  <c:v>0.90253857354641254</c:v>
                </c:pt>
                <c:pt idx="49">
                  <c:v>0.89381959940009659</c:v>
                </c:pt>
                <c:pt idx="50">
                  <c:v>0.99006172583221963</c:v>
                </c:pt>
                <c:pt idx="51">
                  <c:v>0.93844934472822716</c:v>
                </c:pt>
                <c:pt idx="52">
                  <c:v>0.98805935043690374</c:v>
                </c:pt>
                <c:pt idx="53">
                  <c:v>1.0053474032241145</c:v>
                </c:pt>
                <c:pt idx="54">
                  <c:v>0.97078210651763497</c:v>
                </c:pt>
                <c:pt idx="55">
                  <c:v>1.047470078113802</c:v>
                </c:pt>
                <c:pt idx="56">
                  <c:v>0.92378881437286509</c:v>
                </c:pt>
                <c:pt idx="57">
                  <c:v>1.0394714457349579</c:v>
                </c:pt>
                <c:pt idx="58">
                  <c:v>0.91941384198681875</c:v>
                </c:pt>
                <c:pt idx="59">
                  <c:v>0.93910910595531349</c:v>
                </c:pt>
                <c:pt idx="60">
                  <c:v>1.1104480812472539</c:v>
                </c:pt>
                <c:pt idx="61">
                  <c:v>0.9666040120273609</c:v>
                </c:pt>
                <c:pt idx="62">
                  <c:v>1.0109277272221611</c:v>
                </c:pt>
                <c:pt idx="63">
                  <c:v>0.869787421420817</c:v>
                </c:pt>
                <c:pt idx="64">
                  <c:v>0.99686302766914903</c:v>
                </c:pt>
                <c:pt idx="65">
                  <c:v>0.97054569964789905</c:v>
                </c:pt>
                <c:pt idx="66">
                  <c:v>0.96262687972189342</c:v>
                </c:pt>
                <c:pt idx="67">
                  <c:v>1.0028984303863395</c:v>
                </c:pt>
                <c:pt idx="68">
                  <c:v>0.96527636597168376</c:v>
                </c:pt>
                <c:pt idx="69">
                  <c:v>0.9959787700784124</c:v>
                </c:pt>
                <c:pt idx="70">
                  <c:v>1.0200504570735234</c:v>
                </c:pt>
                <c:pt idx="71">
                  <c:v>1.0537373314039442</c:v>
                </c:pt>
                <c:pt idx="72">
                  <c:v>0.99152293618626008</c:v>
                </c:pt>
                <c:pt idx="73">
                  <c:v>1.0649725500093568</c:v>
                </c:pt>
                <c:pt idx="74">
                  <c:v>0.97552755185153994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B6-4FC9-92A2-349D055835D0}"/>
            </c:ext>
          </c:extLst>
        </c:ser>
        <c:ser>
          <c:idx val="1"/>
          <c:order val="1"/>
          <c:tx>
            <c:strRef>
              <c:f>YS_500kDa_3!$S$1</c:f>
              <c:strCache>
                <c:ptCount val="1"/>
                <c:pt idx="0">
                  <c:v>R(t) 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YS_500kDa_3!$B$2:$B$101</c:f>
              <c:numCache>
                <c:formatCode>General</c:formatCode>
                <c:ptCount val="100"/>
                <c:pt idx="0">
                  <c:v>-7.5110000000000001</c:v>
                </c:pt>
                <c:pt idx="1">
                  <c:v>-7.0079000000000002</c:v>
                </c:pt>
                <c:pt idx="2">
                  <c:v>-6.5083000000000002</c:v>
                </c:pt>
                <c:pt idx="3">
                  <c:v>-6.0077999999999996</c:v>
                </c:pt>
                <c:pt idx="4">
                  <c:v>-5.5084</c:v>
                </c:pt>
                <c:pt idx="5">
                  <c:v>-5.0084</c:v>
                </c:pt>
                <c:pt idx="6">
                  <c:v>-4.5084</c:v>
                </c:pt>
                <c:pt idx="7">
                  <c:v>-4.0082000000000004</c:v>
                </c:pt>
                <c:pt idx="8">
                  <c:v>-3.5080999999999998</c:v>
                </c:pt>
                <c:pt idx="9">
                  <c:v>-3.0080999999999998</c:v>
                </c:pt>
                <c:pt idx="10">
                  <c:v>0</c:v>
                </c:pt>
                <c:pt idx="11">
                  <c:v>0.50250000000000039</c:v>
                </c:pt>
                <c:pt idx="12">
                  <c:v>1.003099999999999</c:v>
                </c:pt>
                <c:pt idx="13">
                  <c:v>1.5025000000000004</c:v>
                </c:pt>
                <c:pt idx="14">
                  <c:v>2.0026999999999999</c:v>
                </c:pt>
                <c:pt idx="15">
                  <c:v>2.5026000000000002</c:v>
                </c:pt>
                <c:pt idx="16">
                  <c:v>3.0027999999999997</c:v>
                </c:pt>
                <c:pt idx="17">
                  <c:v>3.5027999999999997</c:v>
                </c:pt>
                <c:pt idx="18">
                  <c:v>4.0027999999999997</c:v>
                </c:pt>
                <c:pt idx="19">
                  <c:v>4.5028999999999995</c:v>
                </c:pt>
                <c:pt idx="20">
                  <c:v>5.0028999999999995</c:v>
                </c:pt>
                <c:pt idx="21">
                  <c:v>5.5022999999999991</c:v>
                </c:pt>
                <c:pt idx="22">
                  <c:v>6.003099999999999</c:v>
                </c:pt>
                <c:pt idx="23">
                  <c:v>6.5022999999999991</c:v>
                </c:pt>
                <c:pt idx="24">
                  <c:v>7.003099999999999</c:v>
                </c:pt>
                <c:pt idx="25">
                  <c:v>7.5026000000000002</c:v>
                </c:pt>
                <c:pt idx="26">
                  <c:v>8.002600000000001</c:v>
                </c:pt>
                <c:pt idx="27">
                  <c:v>8.502600000000001</c:v>
                </c:pt>
                <c:pt idx="28">
                  <c:v>9.0028000000000006</c:v>
                </c:pt>
                <c:pt idx="29">
                  <c:v>9.5024000000000015</c:v>
                </c:pt>
                <c:pt idx="30">
                  <c:v>10.002600000000001</c:v>
                </c:pt>
                <c:pt idx="31">
                  <c:v>10.502600000000001</c:v>
                </c:pt>
                <c:pt idx="32">
                  <c:v>11.002600000000001</c:v>
                </c:pt>
                <c:pt idx="33">
                  <c:v>11.502700000000001</c:v>
                </c:pt>
                <c:pt idx="34">
                  <c:v>12.0029</c:v>
                </c:pt>
                <c:pt idx="35">
                  <c:v>12.502300000000002</c:v>
                </c:pt>
                <c:pt idx="36">
                  <c:v>13.0029</c:v>
                </c:pt>
                <c:pt idx="37">
                  <c:v>13.502300000000002</c:v>
                </c:pt>
                <c:pt idx="38">
                  <c:v>14.0032</c:v>
                </c:pt>
                <c:pt idx="39">
                  <c:v>14.502700000000001</c:v>
                </c:pt>
                <c:pt idx="40">
                  <c:v>15.0029</c:v>
                </c:pt>
                <c:pt idx="41">
                  <c:v>15.502300000000002</c:v>
                </c:pt>
                <c:pt idx="42">
                  <c:v>16.002800000000001</c:v>
                </c:pt>
                <c:pt idx="43">
                  <c:v>16.502800000000001</c:v>
                </c:pt>
                <c:pt idx="44">
                  <c:v>17.0029</c:v>
                </c:pt>
                <c:pt idx="45">
                  <c:v>17.502400000000002</c:v>
                </c:pt>
                <c:pt idx="46">
                  <c:v>18.002600000000001</c:v>
                </c:pt>
                <c:pt idx="47">
                  <c:v>18.502500000000001</c:v>
                </c:pt>
                <c:pt idx="48">
                  <c:v>19.002700000000001</c:v>
                </c:pt>
                <c:pt idx="49">
                  <c:v>19.502700000000001</c:v>
                </c:pt>
                <c:pt idx="50">
                  <c:v>20.002700000000001</c:v>
                </c:pt>
                <c:pt idx="51">
                  <c:v>20.502800000000001</c:v>
                </c:pt>
                <c:pt idx="52">
                  <c:v>21.002800000000001</c:v>
                </c:pt>
                <c:pt idx="53">
                  <c:v>21.502800000000001</c:v>
                </c:pt>
                <c:pt idx="54">
                  <c:v>22.003</c:v>
                </c:pt>
                <c:pt idx="55">
                  <c:v>22.502600000000001</c:v>
                </c:pt>
                <c:pt idx="56">
                  <c:v>23.002800000000001</c:v>
                </c:pt>
                <c:pt idx="57">
                  <c:v>23.502800000000001</c:v>
                </c:pt>
                <c:pt idx="58">
                  <c:v>24.0029</c:v>
                </c:pt>
                <c:pt idx="59">
                  <c:v>24.502300000000002</c:v>
                </c:pt>
                <c:pt idx="60">
                  <c:v>25.0031</c:v>
                </c:pt>
                <c:pt idx="61">
                  <c:v>25.502700000000001</c:v>
                </c:pt>
                <c:pt idx="62">
                  <c:v>26.0031</c:v>
                </c:pt>
                <c:pt idx="63">
                  <c:v>26.502500000000001</c:v>
                </c:pt>
                <c:pt idx="64">
                  <c:v>27.002599999999997</c:v>
                </c:pt>
                <c:pt idx="65">
                  <c:v>27.502800000000004</c:v>
                </c:pt>
                <c:pt idx="66">
                  <c:v>28.002599999999997</c:v>
                </c:pt>
                <c:pt idx="67">
                  <c:v>28.502800000000004</c:v>
                </c:pt>
                <c:pt idx="68">
                  <c:v>29.002800000000004</c:v>
                </c:pt>
                <c:pt idx="69">
                  <c:v>29.5029</c:v>
                </c:pt>
                <c:pt idx="70">
                  <c:v>30.0029</c:v>
                </c:pt>
                <c:pt idx="71">
                  <c:v>30.502500000000001</c:v>
                </c:pt>
                <c:pt idx="72">
                  <c:v>31.002700000000001</c:v>
                </c:pt>
                <c:pt idx="73">
                  <c:v>31.502700000000001</c:v>
                </c:pt>
                <c:pt idx="74">
                  <c:v>32.002699999999997</c:v>
                </c:pt>
              </c:numCache>
            </c:numRef>
          </c:xVal>
          <c:yVal>
            <c:numRef>
              <c:f>YS_500kDa_3!$S$2:$S$101</c:f>
              <c:numCache>
                <c:formatCode>General</c:formatCode>
                <c:ptCount val="100"/>
                <c:pt idx="0">
                  <c:v>2.4571955538656702</c:v>
                </c:pt>
                <c:pt idx="1">
                  <c:v>2.2557181800421668</c:v>
                </c:pt>
                <c:pt idx="2">
                  <c:v>2.9711051273176965</c:v>
                </c:pt>
                <c:pt idx="3">
                  <c:v>2.8271997956762243</c:v>
                </c:pt>
                <c:pt idx="4">
                  <c:v>2.8185243555780239</c:v>
                </c:pt>
                <c:pt idx="5">
                  <c:v>2.2975565561421734</c:v>
                </c:pt>
                <c:pt idx="6">
                  <c:v>2.9079012354746103</c:v>
                </c:pt>
                <c:pt idx="7">
                  <c:v>3.1500022509405889</c:v>
                </c:pt>
                <c:pt idx="8">
                  <c:v>2.7051216869199575</c:v>
                </c:pt>
                <c:pt idx="9">
                  <c:v>2.9814777526512755</c:v>
                </c:pt>
                <c:pt idx="10">
                  <c:v>0</c:v>
                </c:pt>
                <c:pt idx="11">
                  <c:v>0.45014861415264479</c:v>
                </c:pt>
                <c:pt idx="12">
                  <c:v>0.45915143595305791</c:v>
                </c:pt>
                <c:pt idx="13">
                  <c:v>0.56039758262643036</c:v>
                </c:pt>
                <c:pt idx="14">
                  <c:v>0.75786812601854781</c:v>
                </c:pt>
                <c:pt idx="15">
                  <c:v>0.62889776461790214</c:v>
                </c:pt>
                <c:pt idx="16">
                  <c:v>0.91214237248718422</c:v>
                </c:pt>
                <c:pt idx="17">
                  <c:v>0.89812545588370318</c:v>
                </c:pt>
                <c:pt idx="18">
                  <c:v>0.73424641374666244</c:v>
                </c:pt>
                <c:pt idx="19">
                  <c:v>0.97737920481657514</c:v>
                </c:pt>
                <c:pt idx="20">
                  <c:v>0.77287682865675034</c:v>
                </c:pt>
                <c:pt idx="21">
                  <c:v>0.77378781526206031</c:v>
                </c:pt>
                <c:pt idx="22">
                  <c:v>1.0329871894067655</c:v>
                </c:pt>
                <c:pt idx="23">
                  <c:v>0.92370601152821186</c:v>
                </c:pt>
                <c:pt idx="24">
                  <c:v>1.0113344581436567</c:v>
                </c:pt>
                <c:pt idx="25">
                  <c:v>0.81592462619442541</c:v>
                </c:pt>
                <c:pt idx="26">
                  <c:v>0.95632958724954287</c:v>
                </c:pt>
                <c:pt idx="27">
                  <c:v>1.0051262378207291</c:v>
                </c:pt>
                <c:pt idx="28">
                  <c:v>1.0138527552126151</c:v>
                </c:pt>
                <c:pt idx="29">
                  <c:v>1.105696722090374</c:v>
                </c:pt>
                <c:pt idx="30">
                  <c:v>1.0837018925534332</c:v>
                </c:pt>
                <c:pt idx="31">
                  <c:v>1.0289880358982184</c:v>
                </c:pt>
                <c:pt idx="32">
                  <c:v>1.0553837211559018</c:v>
                </c:pt>
                <c:pt idx="33">
                  <c:v>1.042213779786056</c:v>
                </c:pt>
                <c:pt idx="34">
                  <c:v>1.0380297429784695</c:v>
                </c:pt>
                <c:pt idx="35">
                  <c:v>1.0798882264971732</c:v>
                </c:pt>
                <c:pt idx="36">
                  <c:v>0.92464658132549671</c:v>
                </c:pt>
                <c:pt idx="37">
                  <c:v>1.0125476362752701</c:v>
                </c:pt>
                <c:pt idx="38">
                  <c:v>1.0485252649052068</c:v>
                </c:pt>
                <c:pt idx="39">
                  <c:v>1.0458105881778459</c:v>
                </c:pt>
                <c:pt idx="40">
                  <c:v>0.99371864424335432</c:v>
                </c:pt>
                <c:pt idx="41">
                  <c:v>0.9746875501011395</c:v>
                </c:pt>
                <c:pt idx="42">
                  <c:v>0.97300699544809044</c:v>
                </c:pt>
                <c:pt idx="43">
                  <c:v>1.0780906483877963</c:v>
                </c:pt>
                <c:pt idx="44">
                  <c:v>1.0271093541354541</c:v>
                </c:pt>
                <c:pt idx="45">
                  <c:v>1.0759302474454557</c:v>
                </c:pt>
                <c:pt idx="46">
                  <c:v>1.0447129550868355</c:v>
                </c:pt>
                <c:pt idx="47">
                  <c:v>1.0428169342174862</c:v>
                </c:pt>
                <c:pt idx="48">
                  <c:v>1.0589149513625244</c:v>
                </c:pt>
                <c:pt idx="49">
                  <c:v>1.0628322096747298</c:v>
                </c:pt>
                <c:pt idx="50">
                  <c:v>1.0738597845235687</c:v>
                </c:pt>
                <c:pt idx="51">
                  <c:v>1.081597424634239</c:v>
                </c:pt>
                <c:pt idx="52">
                  <c:v>0.99740243826738317</c:v>
                </c:pt>
                <c:pt idx="53">
                  <c:v>1.0790213936351352</c:v>
                </c:pt>
                <c:pt idx="54">
                  <c:v>1.0813263060214107</c:v>
                </c:pt>
                <c:pt idx="55">
                  <c:v>1.0612045704078954</c:v>
                </c:pt>
                <c:pt idx="56">
                  <c:v>1.0358461570118989</c:v>
                </c:pt>
                <c:pt idx="57">
                  <c:v>1.0279003582623332</c:v>
                </c:pt>
                <c:pt idx="58">
                  <c:v>1.0008231882100067</c:v>
                </c:pt>
                <c:pt idx="59">
                  <c:v>1.0404892476040146</c:v>
                </c:pt>
                <c:pt idx="60">
                  <c:v>0.96209836555114381</c:v>
                </c:pt>
                <c:pt idx="61">
                  <c:v>1.0111386269041194</c:v>
                </c:pt>
                <c:pt idx="62">
                  <c:v>0.82002251988942243</c:v>
                </c:pt>
                <c:pt idx="63">
                  <c:v>1.0271995228666428</c:v>
                </c:pt>
                <c:pt idx="64">
                  <c:v>1.0801780272104273</c:v>
                </c:pt>
                <c:pt idx="65">
                  <c:v>1.0829336407113193</c:v>
                </c:pt>
                <c:pt idx="66">
                  <c:v>0.98185082968390347</c:v>
                </c:pt>
                <c:pt idx="67">
                  <c:v>1.0308755392955493</c:v>
                </c:pt>
                <c:pt idx="68">
                  <c:v>1.053023967670744</c:v>
                </c:pt>
                <c:pt idx="69">
                  <c:v>1.0543379680653686</c:v>
                </c:pt>
                <c:pt idx="70">
                  <c:v>0.71371215749687378</c:v>
                </c:pt>
                <c:pt idx="71">
                  <c:v>0.82327871262798968</c:v>
                </c:pt>
                <c:pt idx="72">
                  <c:v>1.0734132482529561</c:v>
                </c:pt>
                <c:pt idx="73">
                  <c:v>1.0508689631872439</c:v>
                </c:pt>
                <c:pt idx="74">
                  <c:v>1.0555269457976189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B6-4FC9-92A2-349D0558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02128"/>
        <c:axId val="464690976"/>
      </c:scatterChart>
      <c:valAx>
        <c:axId val="4647021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90976"/>
        <c:crosses val="autoZero"/>
        <c:crossBetween val="midCat"/>
      </c:valAx>
      <c:valAx>
        <c:axId val="46469097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0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</xdr:colOff>
      <xdr:row>8</xdr:row>
      <xdr:rowOff>5715</xdr:rowOff>
    </xdr:from>
    <xdr:to>
      <xdr:col>12</xdr:col>
      <xdr:colOff>621665</xdr:colOff>
      <xdr:row>22</xdr:row>
      <xdr:rowOff>170815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B91A7-0540-4439-A65F-DC30E8956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6</xdr:row>
      <xdr:rowOff>102870</xdr:rowOff>
    </xdr:from>
    <xdr:to>
      <xdr:col>13</xdr:col>
      <xdr:colOff>7620</xdr:colOff>
      <xdr:row>21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046B09-F896-485F-A78B-B3F1D5832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51</xdr:row>
      <xdr:rowOff>179070</xdr:rowOff>
    </xdr:from>
    <xdr:to>
      <xdr:col>15</xdr:col>
      <xdr:colOff>198120</xdr:colOff>
      <xdr:row>66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0BDAC2-19FF-4071-A63B-EBCDA9C15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746760</xdr:colOff>
      <xdr:row>4</xdr:row>
      <xdr:rowOff>140970</xdr:rowOff>
    </xdr:from>
    <xdr:to>
      <xdr:col>12</xdr:col>
      <xdr:colOff>563880</xdr:colOff>
      <xdr:row>19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3E7995-0574-4B73-B95C-AB0874084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6</xdr:row>
      <xdr:rowOff>26670</xdr:rowOff>
    </xdr:from>
    <xdr:to>
      <xdr:col>10</xdr:col>
      <xdr:colOff>655320</xdr:colOff>
      <xdr:row>21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75F9B3-0E48-4211-BE38-076A675D0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24</xdr:row>
      <xdr:rowOff>87630</xdr:rowOff>
    </xdr:from>
    <xdr:to>
      <xdr:col>12</xdr:col>
      <xdr:colOff>381000</xdr:colOff>
      <xdr:row>39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6923D4-2F88-4C29-B50A-9B1B10736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15</xdr:row>
      <xdr:rowOff>102870</xdr:rowOff>
    </xdr:from>
    <xdr:to>
      <xdr:col>12</xdr:col>
      <xdr:colOff>579120</xdr:colOff>
      <xdr:row>30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252401-7E69-40F1-8D64-1534589FD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13</xdr:row>
      <xdr:rowOff>26670</xdr:rowOff>
    </xdr:from>
    <xdr:to>
      <xdr:col>12</xdr:col>
      <xdr:colOff>266700</xdr:colOff>
      <xdr:row>28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D490B2-B17A-4177-9A9D-521C158AF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248285</xdr:colOff>
      <xdr:row>16</xdr:row>
      <xdr:rowOff>99695</xdr:rowOff>
    </xdr:from>
    <xdr:to>
      <xdr:col>15</xdr:col>
      <xdr:colOff>57785</xdr:colOff>
      <xdr:row>31</xdr:row>
      <xdr:rowOff>78105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6A54C5-B3E6-405A-9760-4A38EBD9E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731520</xdr:colOff>
      <xdr:row>62</xdr:row>
      <xdr:rowOff>140970</xdr:rowOff>
    </xdr:from>
    <xdr:to>
      <xdr:col>11</xdr:col>
      <xdr:colOff>548640</xdr:colOff>
      <xdr:row>77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FD1F34-ECB1-4DEA-A562-24D7AC80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7F9C-ECA5-4F85-8CCB-0A02A09168FC}">
  <dimension ref="A1:S37"/>
  <sheetViews>
    <sheetView topLeftCell="C1" workbookViewId="0">
      <selection activeCell="E15" sqref="E15"/>
    </sheetView>
  </sheetViews>
  <sheetFormatPr baseColWidth="10" defaultRowHeight="14.4" x14ac:dyDescent="0.3"/>
  <cols>
    <col min="6" max="6" width="12" bestFit="1" customWidth="1"/>
  </cols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A2-$A$5</f>
        <v>-6.1920000000000002</v>
      </c>
      <c r="C2">
        <v>1058.69</v>
      </c>
      <c r="D2">
        <v>183.15299999999999</v>
      </c>
      <c r="E2">
        <v>196.07300000000001</v>
      </c>
      <c r="F2">
        <f>AVERAGE(C2:C4)</f>
        <v>1042.6723333333332</v>
      </c>
      <c r="G2">
        <f>AVERAGE(D2:D4)</f>
        <v>181.51999999999998</v>
      </c>
      <c r="H2">
        <f>AVERAGE(E2:E4)</f>
        <v>199.29100000000003</v>
      </c>
      <c r="I2">
        <f>C2/$F$2</f>
        <v>1.0153621287863848</v>
      </c>
      <c r="J2">
        <f>D2/$G$2</f>
        <v>1.0089962538563244</v>
      </c>
      <c r="K2" s="4">
        <f t="shared" ref="K2:K37" si="0">E2/$H$2</f>
        <v>0.9838527580272064</v>
      </c>
      <c r="L2" s="3">
        <f>I2/K2</f>
        <v>1.0320265105749769</v>
      </c>
      <c r="M2" s="3">
        <f>J2/K2</f>
        <v>1.0255561572846887</v>
      </c>
      <c r="R2">
        <f>(L2-$L$5)/($N$5-$L$5)</f>
        <v>1.4332719829296101</v>
      </c>
      <c r="S2">
        <f>(M2-$M$5)/($O$5-$M$5)</f>
        <v>1.7902601396948865</v>
      </c>
    </row>
    <row r="3" spans="1:19" x14ac:dyDescent="0.3">
      <c r="A3">
        <v>1.0028999999999999</v>
      </c>
      <c r="B3">
        <f t="shared" ref="B3:B37" si="1">A3-$A$5</f>
        <v>-5.1890999999999998</v>
      </c>
      <c r="C3">
        <v>1030.7239999999999</v>
      </c>
      <c r="D3">
        <v>179.62700000000001</v>
      </c>
      <c r="E3">
        <v>202.92699999999999</v>
      </c>
      <c r="I3">
        <f t="shared" ref="I3:I37" si="2">C3/$F$2</f>
        <v>0.98854066330202173</v>
      </c>
      <c r="J3">
        <f t="shared" ref="J3:J37" si="3">D3/$G$2</f>
        <v>0.98957139709122977</v>
      </c>
      <c r="K3" s="4">
        <f t="shared" si="0"/>
        <v>1.0182446773813165</v>
      </c>
      <c r="L3" s="3">
        <f t="shared" ref="L3:L37" si="4">I3/K3</f>
        <v>0.97082821571364708</v>
      </c>
      <c r="M3" s="3">
        <f t="shared" ref="M3:M37" si="5">J3/K3</f>
        <v>0.97184048104839826</v>
      </c>
      <c r="R3">
        <f t="shared" ref="R3:R37" si="6">(L3-$L$5)/($N$5-$L$5)</f>
        <v>1.11728131025482</v>
      </c>
      <c r="S3">
        <f t="shared" ref="S3:S37" si="7">(M3-$M$5)/($O$5-$M$5)</f>
        <v>1.5677356441037416</v>
      </c>
    </row>
    <row r="4" spans="1:19" x14ac:dyDescent="0.3">
      <c r="A4">
        <v>2.0030999999999999</v>
      </c>
      <c r="B4">
        <f t="shared" si="1"/>
        <v>-4.1889000000000003</v>
      </c>
      <c r="C4">
        <v>1038.6030000000001</v>
      </c>
      <c r="D4">
        <v>181.78</v>
      </c>
      <c r="E4">
        <v>198.87299999999999</v>
      </c>
      <c r="I4">
        <f t="shared" si="2"/>
        <v>0.99609720791159406</v>
      </c>
      <c r="J4">
        <f t="shared" si="3"/>
        <v>1.0014323490524462</v>
      </c>
      <c r="K4" s="4">
        <f t="shared" si="0"/>
        <v>0.99790256459147664</v>
      </c>
      <c r="L4" s="3">
        <f t="shared" si="4"/>
        <v>0.99819084874220998</v>
      </c>
      <c r="M4" s="3">
        <f t="shared" si="5"/>
        <v>1.003537203516873</v>
      </c>
      <c r="R4">
        <f t="shared" si="6"/>
        <v>1.2585652600191215</v>
      </c>
      <c r="S4">
        <f t="shared" si="7"/>
        <v>1.6990436285394774</v>
      </c>
    </row>
    <row r="5" spans="1:19" x14ac:dyDescent="0.3">
      <c r="A5" s="1">
        <v>6.1920000000000002</v>
      </c>
      <c r="B5" s="1">
        <f t="shared" si="1"/>
        <v>0</v>
      </c>
      <c r="C5" s="1">
        <v>794.17200000000003</v>
      </c>
      <c r="D5" s="1">
        <v>108.746</v>
      </c>
      <c r="E5" s="1">
        <v>201.2</v>
      </c>
      <c r="F5" s="1"/>
      <c r="G5" s="1"/>
      <c r="H5" s="1"/>
      <c r="I5" s="1">
        <f t="shared" si="2"/>
        <v>0.76166977353383958</v>
      </c>
      <c r="J5" s="1">
        <f t="shared" si="3"/>
        <v>0.59908550022036144</v>
      </c>
      <c r="K5" s="1">
        <f t="shared" si="0"/>
        <v>1.0095789574039971</v>
      </c>
      <c r="L5" s="1">
        <f t="shared" si="4"/>
        <v>0.7544429962094058</v>
      </c>
      <c r="M5" s="1">
        <f t="shared" si="5"/>
        <v>0.59340133411737606</v>
      </c>
      <c r="N5" s="1">
        <f>AVERAGE(L27:L37)</f>
        <v>0.94811420284123427</v>
      </c>
      <c r="O5" s="1">
        <f>AVERAGE(M27:M37)</f>
        <v>0.83479352823781527</v>
      </c>
      <c r="P5" s="5">
        <f>(N5-L5)/(1-L5)</f>
        <v>0.78870161975500874</v>
      </c>
      <c r="Q5" s="5">
        <f>(O5-M5)/(1-M5)</f>
        <v>0.59368663592743764</v>
      </c>
      <c r="R5">
        <f t="shared" si="6"/>
        <v>0</v>
      </c>
      <c r="S5">
        <f t="shared" si="7"/>
        <v>0</v>
      </c>
    </row>
    <row r="6" spans="1:19" x14ac:dyDescent="0.3">
      <c r="A6">
        <v>7.1946000000000003</v>
      </c>
      <c r="B6">
        <f t="shared" si="1"/>
        <v>1.0026000000000002</v>
      </c>
      <c r="C6">
        <v>843.12099999999998</v>
      </c>
      <c r="D6">
        <v>115.339</v>
      </c>
      <c r="E6">
        <v>200.56399999999999</v>
      </c>
      <c r="I6">
        <f t="shared" si="2"/>
        <v>0.80861549026108248</v>
      </c>
      <c r="J6">
        <f t="shared" si="3"/>
        <v>0.63540656676950202</v>
      </c>
      <c r="K6" s="4">
        <f t="shared" si="0"/>
        <v>1.0063876441986841</v>
      </c>
      <c r="L6" s="3">
        <f t="shared" si="4"/>
        <v>0.80348312593297611</v>
      </c>
      <c r="M6" s="3">
        <f t="shared" si="5"/>
        <v>0.63137357700315544</v>
      </c>
      <c r="R6">
        <f t="shared" si="6"/>
        <v>0.25321332260193041</v>
      </c>
      <c r="S6">
        <f t="shared" si="7"/>
        <v>0.15730518140463842</v>
      </c>
    </row>
    <row r="7" spans="1:19" x14ac:dyDescent="0.3">
      <c r="A7">
        <v>8.1948000000000008</v>
      </c>
      <c r="B7">
        <f t="shared" si="1"/>
        <v>2.0028000000000006</v>
      </c>
      <c r="C7">
        <v>864.74099999999999</v>
      </c>
      <c r="D7">
        <v>119.136</v>
      </c>
      <c r="E7">
        <v>200</v>
      </c>
      <c r="I7">
        <f t="shared" si="2"/>
        <v>0.82935067168752608</v>
      </c>
      <c r="J7">
        <f t="shared" si="3"/>
        <v>0.65632437197003091</v>
      </c>
      <c r="K7" s="4">
        <f t="shared" si="0"/>
        <v>1.0035576117335954</v>
      </c>
      <c r="L7" s="3">
        <f t="shared" si="4"/>
        <v>0.82641062355639394</v>
      </c>
      <c r="M7" s="3">
        <f t="shared" si="5"/>
        <v>0.65399770207139729</v>
      </c>
      <c r="R7">
        <f t="shared" si="6"/>
        <v>0.37159693791653581</v>
      </c>
      <c r="S7">
        <f t="shared" si="7"/>
        <v>0.2510286969916995</v>
      </c>
    </row>
    <row r="8" spans="1:19" x14ac:dyDescent="0.3">
      <c r="A8">
        <v>9.1949000000000005</v>
      </c>
      <c r="B8">
        <f t="shared" si="1"/>
        <v>3.0029000000000003</v>
      </c>
      <c r="C8">
        <v>895.03399999999999</v>
      </c>
      <c r="D8">
        <v>120.932</v>
      </c>
      <c r="E8">
        <v>201.90899999999999</v>
      </c>
      <c r="I8">
        <f t="shared" si="2"/>
        <v>0.85840390253633547</v>
      </c>
      <c r="J8">
        <f t="shared" si="3"/>
        <v>0.66621859850154264</v>
      </c>
      <c r="K8" s="4">
        <f t="shared" si="0"/>
        <v>1.0131365691375926</v>
      </c>
      <c r="L8" s="3">
        <f t="shared" si="4"/>
        <v>0.84727363386658772</v>
      </c>
      <c r="M8" s="3">
        <f t="shared" si="5"/>
        <v>0.65758025008281429</v>
      </c>
      <c r="R8">
        <f t="shared" si="6"/>
        <v>0.47932079978029046</v>
      </c>
      <c r="S8">
        <f t="shared" si="7"/>
        <v>0.26586988945225409</v>
      </c>
    </row>
    <row r="9" spans="1:19" x14ac:dyDescent="0.3">
      <c r="A9">
        <v>10.194900000000001</v>
      </c>
      <c r="B9">
        <f t="shared" si="1"/>
        <v>4.0029000000000003</v>
      </c>
      <c r="C9">
        <v>888.12099999999998</v>
      </c>
      <c r="D9">
        <v>119.898</v>
      </c>
      <c r="E9">
        <v>200.14500000000001</v>
      </c>
      <c r="I9">
        <f t="shared" si="2"/>
        <v>0.85177382347985975</v>
      </c>
      <c r="J9">
        <f t="shared" si="3"/>
        <v>0.6605222565006611</v>
      </c>
      <c r="K9" s="4">
        <f t="shared" si="0"/>
        <v>1.0042851910021025</v>
      </c>
      <c r="L9" s="3">
        <f t="shared" si="4"/>
        <v>0.8481393842220627</v>
      </c>
      <c r="M9" s="3">
        <f t="shared" si="5"/>
        <v>0.65770386979576434</v>
      </c>
      <c r="R9">
        <f t="shared" si="6"/>
        <v>0.4837910066351524</v>
      </c>
      <c r="S9">
        <f t="shared" si="7"/>
        <v>0.2663820009287684</v>
      </c>
    </row>
    <row r="10" spans="1:19" x14ac:dyDescent="0.3">
      <c r="A10">
        <v>11.1943</v>
      </c>
      <c r="B10">
        <f t="shared" si="1"/>
        <v>5.0023</v>
      </c>
      <c r="C10">
        <v>907.46600000000001</v>
      </c>
      <c r="D10">
        <v>125.593</v>
      </c>
      <c r="E10">
        <v>200.255</v>
      </c>
      <c r="I10">
        <f t="shared" si="2"/>
        <v>0.87032711139357632</v>
      </c>
      <c r="J10">
        <f t="shared" si="3"/>
        <v>0.69189620978404598</v>
      </c>
      <c r="K10" s="4">
        <f t="shared" si="0"/>
        <v>1.0048371476885558</v>
      </c>
      <c r="L10" s="3">
        <f t="shared" si="4"/>
        <v>0.86613747650114725</v>
      </c>
      <c r="M10" s="3">
        <f t="shared" si="5"/>
        <v>0.68856551668658628</v>
      </c>
      <c r="R10">
        <f t="shared" si="6"/>
        <v>0.57672217896630418</v>
      </c>
      <c r="S10">
        <f t="shared" si="7"/>
        <v>0.39423057119125154</v>
      </c>
    </row>
    <row r="11" spans="1:19" x14ac:dyDescent="0.3">
      <c r="A11">
        <v>12.1952</v>
      </c>
      <c r="B11">
        <f t="shared" si="1"/>
        <v>6.0031999999999996</v>
      </c>
      <c r="C11">
        <v>913.86199999999997</v>
      </c>
      <c r="D11">
        <v>126.797</v>
      </c>
      <c r="E11">
        <v>201.94499999999999</v>
      </c>
      <c r="I11">
        <f t="shared" si="2"/>
        <v>0.87646134915507179</v>
      </c>
      <c r="J11">
        <f t="shared" si="3"/>
        <v>0.69852908770383437</v>
      </c>
      <c r="K11" s="4">
        <f t="shared" si="0"/>
        <v>1.0133172095077045</v>
      </c>
      <c r="L11" s="3">
        <f t="shared" si="4"/>
        <v>0.86494272566522301</v>
      </c>
      <c r="M11" s="3">
        <f t="shared" si="5"/>
        <v>0.68934888418918461</v>
      </c>
      <c r="R11">
        <f t="shared" si="6"/>
        <v>0.57055321427246886</v>
      </c>
      <c r="S11">
        <f t="shared" si="7"/>
        <v>0.39747577762989666</v>
      </c>
    </row>
    <row r="12" spans="1:19" x14ac:dyDescent="0.3">
      <c r="A12">
        <v>13.194599999999999</v>
      </c>
      <c r="B12">
        <f t="shared" si="1"/>
        <v>7.0025999999999993</v>
      </c>
      <c r="C12">
        <v>909.77599999999995</v>
      </c>
      <c r="D12">
        <v>129.64400000000001</v>
      </c>
      <c r="E12">
        <v>201.09100000000001</v>
      </c>
      <c r="I12">
        <f t="shared" si="2"/>
        <v>0.87254257249880685</v>
      </c>
      <c r="J12">
        <f t="shared" si="3"/>
        <v>0.71421330982811826</v>
      </c>
      <c r="K12" s="4">
        <f t="shared" si="0"/>
        <v>1.0090320185056023</v>
      </c>
      <c r="L12" s="3">
        <f t="shared" si="4"/>
        <v>0.86473229441327426</v>
      </c>
      <c r="M12" s="3">
        <f t="shared" si="5"/>
        <v>0.70782026410408982</v>
      </c>
      <c r="R12">
        <f t="shared" si="6"/>
        <v>0.56946667561962305</v>
      </c>
      <c r="S12">
        <f t="shared" si="7"/>
        <v>0.47399598153379419</v>
      </c>
    </row>
    <row r="13" spans="1:19" x14ac:dyDescent="0.3">
      <c r="A13">
        <v>14.194900000000001</v>
      </c>
      <c r="B13">
        <f t="shared" si="1"/>
        <v>8.0029000000000003</v>
      </c>
      <c r="C13">
        <v>923.32799999999997</v>
      </c>
      <c r="D13">
        <v>131.37299999999999</v>
      </c>
      <c r="E13">
        <v>203.45500000000001</v>
      </c>
      <c r="I13">
        <f t="shared" si="2"/>
        <v>0.88553994431615946</v>
      </c>
      <c r="J13">
        <f t="shared" si="3"/>
        <v>0.72373843102688407</v>
      </c>
      <c r="K13" s="4">
        <f t="shared" si="0"/>
        <v>1.0208940694762934</v>
      </c>
      <c r="L13" s="3">
        <f t="shared" si="4"/>
        <v>0.86741609222045046</v>
      </c>
      <c r="M13" s="3">
        <f t="shared" si="5"/>
        <v>0.70892608025253134</v>
      </c>
      <c r="R13">
        <f t="shared" si="6"/>
        <v>0.583324170772623</v>
      </c>
      <c r="S13">
        <f t="shared" si="7"/>
        <v>0.47857697534956684</v>
      </c>
    </row>
    <row r="14" spans="1:19" x14ac:dyDescent="0.3">
      <c r="A14">
        <v>15.194900000000001</v>
      </c>
      <c r="B14">
        <f t="shared" si="1"/>
        <v>9.0029000000000003</v>
      </c>
      <c r="C14">
        <v>924.27599999999995</v>
      </c>
      <c r="D14">
        <v>133.57599999999999</v>
      </c>
      <c r="E14">
        <v>201.709</v>
      </c>
      <c r="I14">
        <f t="shared" si="2"/>
        <v>0.8864491465359684</v>
      </c>
      <c r="J14">
        <f t="shared" si="3"/>
        <v>0.73587483472895554</v>
      </c>
      <c r="K14" s="4">
        <f t="shared" si="0"/>
        <v>1.0121330115258591</v>
      </c>
      <c r="L14" s="3">
        <f t="shared" si="4"/>
        <v>0.87582277866778224</v>
      </c>
      <c r="M14" s="3">
        <f t="shared" si="5"/>
        <v>0.72705348639856571</v>
      </c>
      <c r="R14">
        <f t="shared" si="6"/>
        <v>0.62673117274020507</v>
      </c>
      <c r="S14">
        <f t="shared" si="7"/>
        <v>0.55367222112619685</v>
      </c>
    </row>
    <row r="15" spans="1:19" x14ac:dyDescent="0.3">
      <c r="A15">
        <v>16.194800000000001</v>
      </c>
      <c r="B15">
        <f t="shared" si="1"/>
        <v>10.002800000000001</v>
      </c>
      <c r="C15">
        <v>929.24099999999999</v>
      </c>
      <c r="D15">
        <v>130.96600000000001</v>
      </c>
      <c r="E15">
        <v>196.41800000000001</v>
      </c>
      <c r="I15">
        <f t="shared" si="2"/>
        <v>0.89121094930110689</v>
      </c>
      <c r="J15">
        <f t="shared" si="3"/>
        <v>0.72149625385632454</v>
      </c>
      <c r="K15" s="4">
        <f t="shared" si="0"/>
        <v>0.9855838949074468</v>
      </c>
      <c r="L15" s="3">
        <f t="shared" si="4"/>
        <v>0.90424666424241629</v>
      </c>
      <c r="M15" s="3">
        <f t="shared" si="5"/>
        <v>0.73204955720596276</v>
      </c>
      <c r="R15">
        <f t="shared" si="6"/>
        <v>0.77349478344392852</v>
      </c>
      <c r="S15">
        <f t="shared" si="7"/>
        <v>0.57436912404636475</v>
      </c>
    </row>
    <row r="16" spans="1:19" x14ac:dyDescent="0.3">
      <c r="A16">
        <v>17.194800000000001</v>
      </c>
      <c r="B16">
        <f t="shared" si="1"/>
        <v>11.002800000000001</v>
      </c>
      <c r="C16">
        <v>932.56899999999996</v>
      </c>
      <c r="D16">
        <v>134.30500000000001</v>
      </c>
      <c r="E16">
        <v>194.87299999999999</v>
      </c>
      <c r="I16">
        <f t="shared" si="2"/>
        <v>0.89440274781115325</v>
      </c>
      <c r="J16">
        <f t="shared" si="3"/>
        <v>0.73989092111062149</v>
      </c>
      <c r="K16" s="4">
        <f t="shared" si="0"/>
        <v>0.97783141235680471</v>
      </c>
      <c r="L16" s="3">
        <f t="shared" si="4"/>
        <v>0.91467990955151601</v>
      </c>
      <c r="M16" s="3">
        <f t="shared" si="5"/>
        <v>0.75666511809771952</v>
      </c>
      <c r="R16">
        <f t="shared" si="6"/>
        <v>0.82736569946983762</v>
      </c>
      <c r="S16">
        <f t="shared" si="7"/>
        <v>0.67634243342137779</v>
      </c>
    </row>
    <row r="17" spans="1:19" x14ac:dyDescent="0.3">
      <c r="A17">
        <v>18.194700000000001</v>
      </c>
      <c r="B17">
        <f t="shared" si="1"/>
        <v>12.002700000000001</v>
      </c>
      <c r="C17">
        <v>933.05200000000002</v>
      </c>
      <c r="D17">
        <v>135.339</v>
      </c>
      <c r="E17">
        <v>192.81800000000001</v>
      </c>
      <c r="I17">
        <f t="shared" si="2"/>
        <v>0.8948659805877015</v>
      </c>
      <c r="J17">
        <f t="shared" si="3"/>
        <v>0.74558726311150292</v>
      </c>
      <c r="K17" s="4">
        <f t="shared" si="0"/>
        <v>0.96751985789624206</v>
      </c>
      <c r="L17" s="3">
        <f t="shared" si="4"/>
        <v>0.92490709444815133</v>
      </c>
      <c r="M17" s="3">
        <f t="shared" si="5"/>
        <v>0.77061701320807474</v>
      </c>
      <c r="R17">
        <f t="shared" si="6"/>
        <v>0.88017264519242677</v>
      </c>
      <c r="S17">
        <f t="shared" si="7"/>
        <v>0.73414005675046567</v>
      </c>
    </row>
    <row r="18" spans="1:19" x14ac:dyDescent="0.3">
      <c r="A18">
        <v>19.194800000000001</v>
      </c>
      <c r="B18">
        <f t="shared" si="1"/>
        <v>13.002800000000001</v>
      </c>
      <c r="C18">
        <v>930.60299999999995</v>
      </c>
      <c r="D18">
        <v>137.62700000000001</v>
      </c>
      <c r="E18">
        <v>192.85499999999999</v>
      </c>
      <c r="I18">
        <f t="shared" si="2"/>
        <v>0.89251720818652847</v>
      </c>
      <c r="J18">
        <f t="shared" si="3"/>
        <v>0.75819193477302793</v>
      </c>
      <c r="K18" s="4">
        <f t="shared" si="0"/>
        <v>0.96770551605441268</v>
      </c>
      <c r="L18" s="3">
        <f t="shared" si="4"/>
        <v>0.92230249118094676</v>
      </c>
      <c r="M18" s="3">
        <f t="shared" si="5"/>
        <v>0.78349448483498763</v>
      </c>
      <c r="R18">
        <f t="shared" si="6"/>
        <v>0.86672406234677979</v>
      </c>
      <c r="S18">
        <f t="shared" si="7"/>
        <v>0.78748673464879015</v>
      </c>
    </row>
    <row r="19" spans="1:19" x14ac:dyDescent="0.3">
      <c r="A19">
        <v>20.1952</v>
      </c>
      <c r="B19">
        <f t="shared" si="1"/>
        <v>14.0032</v>
      </c>
      <c r="C19">
        <v>933.56899999999996</v>
      </c>
      <c r="D19">
        <v>136.69499999999999</v>
      </c>
      <c r="E19">
        <v>191.89099999999999</v>
      </c>
      <c r="I19">
        <f t="shared" si="2"/>
        <v>0.89536182188268165</v>
      </c>
      <c r="J19">
        <f t="shared" si="3"/>
        <v>0.75305751432349055</v>
      </c>
      <c r="K19" s="4">
        <f t="shared" si="0"/>
        <v>0.96286836836585676</v>
      </c>
      <c r="L19" s="3">
        <f t="shared" si="4"/>
        <v>0.9298901607934793</v>
      </c>
      <c r="M19" s="3">
        <f t="shared" si="5"/>
        <v>0.78209809259966745</v>
      </c>
      <c r="R19">
        <f t="shared" si="6"/>
        <v>0.90590216085967235</v>
      </c>
      <c r="S19">
        <f t="shared" si="7"/>
        <v>0.78170198986692929</v>
      </c>
    </row>
    <row r="20" spans="1:19" x14ac:dyDescent="0.3">
      <c r="A20">
        <v>21.194700000000001</v>
      </c>
      <c r="B20">
        <f t="shared" si="1"/>
        <v>15.002700000000001</v>
      </c>
      <c r="C20">
        <v>931.70699999999999</v>
      </c>
      <c r="D20">
        <v>139.37299999999999</v>
      </c>
      <c r="E20">
        <v>193.673</v>
      </c>
      <c r="I20">
        <f t="shared" si="2"/>
        <v>0.89357602596149588</v>
      </c>
      <c r="J20">
        <f t="shared" si="3"/>
        <v>0.76781070956368447</v>
      </c>
      <c r="K20" s="4">
        <f t="shared" si="0"/>
        <v>0.97181006668640324</v>
      </c>
      <c r="L20" s="3">
        <f t="shared" si="4"/>
        <v>0.91949657303750387</v>
      </c>
      <c r="M20" s="3">
        <f t="shared" si="5"/>
        <v>0.79008309944936184</v>
      </c>
      <c r="R20">
        <f t="shared" si="6"/>
        <v>0.85223601225280288</v>
      </c>
      <c r="S20">
        <f t="shared" si="7"/>
        <v>0.81478096691831803</v>
      </c>
    </row>
    <row r="21" spans="1:19" x14ac:dyDescent="0.3">
      <c r="A21">
        <v>22.194700000000001</v>
      </c>
      <c r="B21">
        <f t="shared" si="1"/>
        <v>16.002700000000001</v>
      </c>
      <c r="C21">
        <v>936.22400000000005</v>
      </c>
      <c r="D21">
        <v>142.898</v>
      </c>
      <c r="E21">
        <v>194.49100000000001</v>
      </c>
      <c r="I21">
        <f t="shared" si="2"/>
        <v>0.89790816354258962</v>
      </c>
      <c r="J21">
        <f t="shared" si="3"/>
        <v>0.78723005729396212</v>
      </c>
      <c r="K21" s="4">
        <f t="shared" si="0"/>
        <v>0.97591461731839368</v>
      </c>
      <c r="L21" s="3">
        <f t="shared" si="4"/>
        <v>0.9200683621379202</v>
      </c>
      <c r="M21" s="3">
        <f t="shared" si="5"/>
        <v>0.80665874178327535</v>
      </c>
      <c r="R21">
        <f t="shared" si="6"/>
        <v>0.85518838245981721</v>
      </c>
      <c r="S21">
        <f t="shared" si="7"/>
        <v>0.88344782002146072</v>
      </c>
    </row>
    <row r="22" spans="1:19" x14ac:dyDescent="0.3">
      <c r="A22">
        <v>23.194600000000001</v>
      </c>
      <c r="B22">
        <f t="shared" si="1"/>
        <v>17.002600000000001</v>
      </c>
      <c r="C22">
        <v>938.74099999999999</v>
      </c>
      <c r="D22">
        <v>140.119</v>
      </c>
      <c r="E22">
        <v>192.964</v>
      </c>
      <c r="I22">
        <f t="shared" si="2"/>
        <v>0.90032215298062646</v>
      </c>
      <c r="J22">
        <f t="shared" si="3"/>
        <v>0.77192044953724115</v>
      </c>
      <c r="K22" s="4">
        <f t="shared" si="0"/>
        <v>0.96825245495280754</v>
      </c>
      <c r="L22" s="3">
        <f t="shared" si="4"/>
        <v>0.92984236536173615</v>
      </c>
      <c r="M22" s="3">
        <f t="shared" si="5"/>
        <v>0.79723056274085502</v>
      </c>
      <c r="R22">
        <f t="shared" si="6"/>
        <v>0.90565537439835786</v>
      </c>
      <c r="S22">
        <f t="shared" si="7"/>
        <v>0.84439030585132036</v>
      </c>
    </row>
    <row r="23" spans="1:19" x14ac:dyDescent="0.3">
      <c r="A23">
        <v>24.194700000000001</v>
      </c>
      <c r="B23">
        <f t="shared" si="1"/>
        <v>18.002700000000001</v>
      </c>
      <c r="C23">
        <v>942.82799999999997</v>
      </c>
      <c r="D23">
        <v>141.08500000000001</v>
      </c>
      <c r="E23">
        <v>192.8</v>
      </c>
      <c r="I23">
        <f t="shared" si="2"/>
        <v>0.904241888710963</v>
      </c>
      <c r="J23">
        <f t="shared" si="3"/>
        <v>0.77724217717055988</v>
      </c>
      <c r="K23" s="4">
        <f t="shared" si="0"/>
        <v>0.96742953771118612</v>
      </c>
      <c r="L23" s="3">
        <f t="shared" si="4"/>
        <v>0.93468501163431816</v>
      </c>
      <c r="M23" s="3">
        <f t="shared" si="5"/>
        <v>0.803409599224575</v>
      </c>
      <c r="R23">
        <f t="shared" si="6"/>
        <v>0.93065984644560418</v>
      </c>
      <c r="S23">
        <f t="shared" si="7"/>
        <v>0.86998780500092843</v>
      </c>
    </row>
    <row r="24" spans="1:19" x14ac:dyDescent="0.3">
      <c r="A24">
        <v>25.194700000000001</v>
      </c>
      <c r="B24">
        <f t="shared" si="1"/>
        <v>19.002700000000001</v>
      </c>
      <c r="C24">
        <v>936.34500000000003</v>
      </c>
      <c r="D24">
        <v>148.102</v>
      </c>
      <c r="E24">
        <v>193.864</v>
      </c>
      <c r="I24">
        <f t="shared" si="2"/>
        <v>0.89802421150524447</v>
      </c>
      <c r="J24">
        <f t="shared" si="3"/>
        <v>0.81589907448215082</v>
      </c>
      <c r="K24" s="4">
        <f t="shared" si="0"/>
        <v>0.97276846420560881</v>
      </c>
      <c r="L24" s="3">
        <f t="shared" si="4"/>
        <v>0.92316336779954855</v>
      </c>
      <c r="M24" s="3">
        <f t="shared" si="5"/>
        <v>0.83873923189773414</v>
      </c>
      <c r="R24">
        <f t="shared" si="6"/>
        <v>0.87116910419669358</v>
      </c>
      <c r="S24">
        <f t="shared" si="7"/>
        <v>1.016345614133447</v>
      </c>
    </row>
    <row r="25" spans="1:19" x14ac:dyDescent="0.3">
      <c r="A25">
        <v>26.194800000000001</v>
      </c>
      <c r="B25">
        <f t="shared" si="1"/>
        <v>20.002800000000001</v>
      </c>
      <c r="C25">
        <v>939.51700000000005</v>
      </c>
      <c r="D25">
        <v>145.18600000000001</v>
      </c>
      <c r="E25">
        <v>193.2</v>
      </c>
      <c r="I25">
        <f t="shared" si="2"/>
        <v>0.90106639446013259</v>
      </c>
      <c r="J25">
        <f t="shared" si="3"/>
        <v>0.79983472895548713</v>
      </c>
      <c r="K25" s="4">
        <f t="shared" si="0"/>
        <v>0.9694366529346532</v>
      </c>
      <c r="L25" s="3">
        <f t="shared" si="4"/>
        <v>0.92947423819023967</v>
      </c>
      <c r="M25" s="3">
        <f t="shared" si="5"/>
        <v>0.82505105056039341</v>
      </c>
      <c r="R25">
        <f t="shared" si="6"/>
        <v>0.90375459018836279</v>
      </c>
      <c r="S25">
        <f t="shared" si="7"/>
        <v>0.95964046098126521</v>
      </c>
    </row>
    <row r="26" spans="1:19" x14ac:dyDescent="0.3">
      <c r="A26">
        <v>27.194400000000002</v>
      </c>
      <c r="B26">
        <f t="shared" si="1"/>
        <v>21.002400000000002</v>
      </c>
      <c r="C26">
        <v>945.53399999999999</v>
      </c>
      <c r="D26">
        <v>143.017</v>
      </c>
      <c r="E26">
        <v>192.50899999999999</v>
      </c>
      <c r="I26">
        <f t="shared" si="2"/>
        <v>0.90683714314851882</v>
      </c>
      <c r="J26">
        <f t="shared" si="3"/>
        <v>0.78788563243719711</v>
      </c>
      <c r="K26" s="4">
        <f t="shared" si="0"/>
        <v>0.96596936138611356</v>
      </c>
      <c r="L26" s="3">
        <f t="shared" si="4"/>
        <v>0.93878458199466785</v>
      </c>
      <c r="M26" s="3">
        <f t="shared" si="5"/>
        <v>0.8156424664511347</v>
      </c>
      <c r="R26">
        <f t="shared" si="6"/>
        <v>0.95182752764946554</v>
      </c>
      <c r="S26">
        <f t="shared" si="7"/>
        <v>0.92066412148718679</v>
      </c>
    </row>
    <row r="27" spans="1:19" x14ac:dyDescent="0.3">
      <c r="A27">
        <v>28.1952</v>
      </c>
      <c r="B27">
        <f t="shared" si="1"/>
        <v>22.0032</v>
      </c>
      <c r="C27">
        <v>948.13800000000003</v>
      </c>
      <c r="D27">
        <v>145.96600000000001</v>
      </c>
      <c r="E27">
        <v>192.327</v>
      </c>
      <c r="I27">
        <f t="shared" si="2"/>
        <v>0.90933457203077872</v>
      </c>
      <c r="J27">
        <f t="shared" si="3"/>
        <v>0.80413177611282516</v>
      </c>
      <c r="K27" s="4">
        <f t="shared" si="0"/>
        <v>0.96505612395943607</v>
      </c>
      <c r="L27" s="3">
        <f t="shared" si="4"/>
        <v>0.94226081722579746</v>
      </c>
      <c r="M27" s="3">
        <f t="shared" si="5"/>
        <v>0.83324871595408367</v>
      </c>
      <c r="R27">
        <f t="shared" si="6"/>
        <v>0.96977668638909154</v>
      </c>
      <c r="S27">
        <f t="shared" si="7"/>
        <v>0.99360040497846069</v>
      </c>
    </row>
    <row r="28" spans="1:19" x14ac:dyDescent="0.3">
      <c r="A28">
        <v>29.194700000000001</v>
      </c>
      <c r="B28">
        <f t="shared" si="1"/>
        <v>23.002700000000001</v>
      </c>
      <c r="C28">
        <v>943.86199999999997</v>
      </c>
      <c r="D28">
        <v>141.23699999999999</v>
      </c>
      <c r="E28">
        <v>190.6</v>
      </c>
      <c r="I28">
        <f t="shared" si="2"/>
        <v>0.9052335713009233</v>
      </c>
      <c r="J28">
        <f t="shared" si="3"/>
        <v>0.77807955046275901</v>
      </c>
      <c r="K28" s="4">
        <f t="shared" si="0"/>
        <v>0.9563904039821165</v>
      </c>
      <c r="L28" s="3">
        <f t="shared" si="4"/>
        <v>0.94651051237215278</v>
      </c>
      <c r="M28" s="3">
        <f t="shared" si="5"/>
        <v>0.81355850834876031</v>
      </c>
      <c r="R28">
        <f t="shared" si="6"/>
        <v>0.99171952043377243</v>
      </c>
      <c r="S28">
        <f t="shared" si="7"/>
        <v>0.91203104157353132</v>
      </c>
    </row>
    <row r="29" spans="1:19" x14ac:dyDescent="0.3">
      <c r="A29">
        <v>30.194700000000001</v>
      </c>
      <c r="B29">
        <f t="shared" si="1"/>
        <v>24.002700000000001</v>
      </c>
      <c r="C29">
        <v>946.67200000000003</v>
      </c>
      <c r="D29">
        <v>142.18600000000001</v>
      </c>
      <c r="E29">
        <v>190.89099999999999</v>
      </c>
      <c r="I29">
        <f t="shared" si="2"/>
        <v>0.90792856944191813</v>
      </c>
      <c r="J29">
        <f t="shared" si="3"/>
        <v>0.78330762450418701</v>
      </c>
      <c r="K29" s="4">
        <f t="shared" si="0"/>
        <v>0.95785058030718884</v>
      </c>
      <c r="L29" s="3">
        <f t="shared" si="4"/>
        <v>0.94788121248591783</v>
      </c>
      <c r="M29" s="3">
        <f t="shared" si="5"/>
        <v>0.81777642631168546</v>
      </c>
      <c r="R29">
        <f t="shared" si="6"/>
        <v>0.99879697989510985</v>
      </c>
      <c r="S29">
        <f t="shared" si="7"/>
        <v>0.92950434048567709</v>
      </c>
    </row>
    <row r="30" spans="1:19" x14ac:dyDescent="0.3">
      <c r="A30">
        <v>31.194800000000001</v>
      </c>
      <c r="B30">
        <f t="shared" si="1"/>
        <v>25.002800000000001</v>
      </c>
      <c r="C30">
        <v>939.53399999999999</v>
      </c>
      <c r="D30">
        <v>142.37299999999999</v>
      </c>
      <c r="E30">
        <v>188.23599999999999</v>
      </c>
      <c r="I30">
        <f t="shared" si="2"/>
        <v>0.90108269871934854</v>
      </c>
      <c r="J30">
        <f t="shared" si="3"/>
        <v>0.78433781401498459</v>
      </c>
      <c r="K30" s="4">
        <f t="shared" si="0"/>
        <v>0.94452835301142535</v>
      </c>
      <c r="L30" s="3">
        <f t="shared" si="4"/>
        <v>0.95400280557639194</v>
      </c>
      <c r="M30" s="3">
        <f t="shared" si="5"/>
        <v>0.83040155598748555</v>
      </c>
      <c r="R30">
        <f t="shared" si="6"/>
        <v>1.0304051533398664</v>
      </c>
      <c r="S30">
        <f t="shared" si="7"/>
        <v>0.98180565752619819</v>
      </c>
    </row>
    <row r="31" spans="1:19" x14ac:dyDescent="0.3">
      <c r="A31">
        <v>32.195</v>
      </c>
      <c r="B31">
        <f t="shared" si="1"/>
        <v>26.003</v>
      </c>
      <c r="C31">
        <v>942.08600000000001</v>
      </c>
      <c r="D31">
        <v>143.76300000000001</v>
      </c>
      <c r="E31">
        <v>189.50899999999999</v>
      </c>
      <c r="I31">
        <f t="shared" si="2"/>
        <v>0.90353025574988899</v>
      </c>
      <c r="J31">
        <f t="shared" si="3"/>
        <v>0.7919953724107538</v>
      </c>
      <c r="K31" s="4">
        <f t="shared" si="0"/>
        <v>0.95091599721010966</v>
      </c>
      <c r="L31" s="3">
        <f t="shared" si="4"/>
        <v>0.95016832023097142</v>
      </c>
      <c r="M31" s="3">
        <f t="shared" si="5"/>
        <v>0.83287627375539719</v>
      </c>
      <c r="R31">
        <f t="shared" si="6"/>
        <v>1.0106062094900976</v>
      </c>
      <c r="S31">
        <f t="shared" si="7"/>
        <v>0.99205751250820684</v>
      </c>
    </row>
    <row r="32" spans="1:19" x14ac:dyDescent="0.3">
      <c r="A32">
        <v>33.194600000000001</v>
      </c>
      <c r="B32">
        <f t="shared" si="1"/>
        <v>27.002600000000001</v>
      </c>
      <c r="C32">
        <v>944.81</v>
      </c>
      <c r="D32">
        <v>146.03399999999999</v>
      </c>
      <c r="E32">
        <v>190.727</v>
      </c>
      <c r="I32">
        <f t="shared" si="2"/>
        <v>0.90614277352073225</v>
      </c>
      <c r="J32">
        <f t="shared" si="3"/>
        <v>0.80450639048038786</v>
      </c>
      <c r="K32" s="4">
        <f t="shared" si="0"/>
        <v>0.9570276630655673</v>
      </c>
      <c r="L32" s="3">
        <f t="shared" si="4"/>
        <v>0.94683028348225617</v>
      </c>
      <c r="M32" s="3">
        <f t="shared" si="5"/>
        <v>0.84063023622888733</v>
      </c>
      <c r="R32">
        <f t="shared" si="6"/>
        <v>0.99337062343284288</v>
      </c>
      <c r="S32">
        <f t="shared" si="7"/>
        <v>1.0241793568028961</v>
      </c>
    </row>
    <row r="33" spans="1:19" x14ac:dyDescent="0.3">
      <c r="A33">
        <v>34.194800000000001</v>
      </c>
      <c r="B33">
        <f t="shared" si="1"/>
        <v>28.002800000000001</v>
      </c>
      <c r="C33">
        <v>951.77599999999995</v>
      </c>
      <c r="D33">
        <v>143.72900000000001</v>
      </c>
      <c r="E33">
        <v>191.2</v>
      </c>
      <c r="I33">
        <f t="shared" si="2"/>
        <v>0.91282368350299892</v>
      </c>
      <c r="J33">
        <f t="shared" si="3"/>
        <v>0.79180806522697234</v>
      </c>
      <c r="K33" s="4">
        <f t="shared" si="0"/>
        <v>0.95940107681731723</v>
      </c>
      <c r="L33" s="3">
        <f t="shared" si="4"/>
        <v>0.95145159366629806</v>
      </c>
      <c r="M33" s="3">
        <f t="shared" si="5"/>
        <v>0.8253149640541243</v>
      </c>
      <c r="R33">
        <f t="shared" si="6"/>
        <v>1.0172322509014373</v>
      </c>
      <c r="S33">
        <f t="shared" si="7"/>
        <v>0.96073375852840637</v>
      </c>
    </row>
    <row r="34" spans="1:19" x14ac:dyDescent="0.3">
      <c r="A34">
        <v>35.194899999999997</v>
      </c>
      <c r="B34">
        <f t="shared" si="1"/>
        <v>29.002899999999997</v>
      </c>
      <c r="C34">
        <v>942.31</v>
      </c>
      <c r="D34">
        <v>145.27099999999999</v>
      </c>
      <c r="E34">
        <v>189.345</v>
      </c>
      <c r="I34">
        <f t="shared" si="2"/>
        <v>0.90374508834191125</v>
      </c>
      <c r="J34">
        <f t="shared" si="3"/>
        <v>0.80030299691494056</v>
      </c>
      <c r="K34" s="4">
        <f t="shared" si="0"/>
        <v>0.95009307996848813</v>
      </c>
      <c r="L34" s="3">
        <f t="shared" si="4"/>
        <v>0.95121742005729149</v>
      </c>
      <c r="M34" s="3">
        <f t="shared" si="5"/>
        <v>0.84234167555613004</v>
      </c>
      <c r="R34">
        <f t="shared" si="6"/>
        <v>1.0160231211961026</v>
      </c>
      <c r="S34">
        <f t="shared" si="7"/>
        <v>1.0312692270179571</v>
      </c>
    </row>
    <row r="35" spans="1:19" x14ac:dyDescent="0.3">
      <c r="A35">
        <v>36.194899999999997</v>
      </c>
      <c r="B35">
        <f t="shared" si="1"/>
        <v>30.002899999999997</v>
      </c>
      <c r="C35">
        <v>939.62099999999998</v>
      </c>
      <c r="D35">
        <v>147.322</v>
      </c>
      <c r="E35">
        <v>189.98</v>
      </c>
      <c r="I35">
        <f t="shared" si="2"/>
        <v>0.9011661381635715</v>
      </c>
      <c r="J35">
        <f t="shared" si="3"/>
        <v>0.81160202732481279</v>
      </c>
      <c r="K35" s="4">
        <f t="shared" si="0"/>
        <v>0.95327937538574226</v>
      </c>
      <c r="L35" s="3">
        <f t="shared" si="4"/>
        <v>0.94533267102198315</v>
      </c>
      <c r="M35" s="3">
        <f t="shared" si="5"/>
        <v>0.85137898530155443</v>
      </c>
      <c r="R35">
        <f t="shared" si="6"/>
        <v>0.98563786601206627</v>
      </c>
      <c r="S35">
        <f t="shared" si="7"/>
        <v>1.0687075119565137</v>
      </c>
    </row>
    <row r="36" spans="1:19" x14ac:dyDescent="0.3">
      <c r="A36">
        <v>37.194400000000002</v>
      </c>
      <c r="B36">
        <f t="shared" si="1"/>
        <v>31.002400000000002</v>
      </c>
      <c r="C36">
        <v>940.69</v>
      </c>
      <c r="D36">
        <v>145.15299999999999</v>
      </c>
      <c r="E36">
        <v>189.709</v>
      </c>
      <c r="I36">
        <f t="shared" si="2"/>
        <v>0.90219138834603541</v>
      </c>
      <c r="J36">
        <f t="shared" si="3"/>
        <v>0.79965293080652278</v>
      </c>
      <c r="K36" s="4">
        <f t="shared" si="0"/>
        <v>0.95191955482184332</v>
      </c>
      <c r="L36" s="3">
        <f t="shared" si="4"/>
        <v>0.94776011667801618</v>
      </c>
      <c r="M36" s="3">
        <f t="shared" si="5"/>
        <v>0.8400425506083673</v>
      </c>
      <c r="R36">
        <f t="shared" si="6"/>
        <v>0.99817171499379764</v>
      </c>
      <c r="S36">
        <f t="shared" si="7"/>
        <v>1.0217447891787796</v>
      </c>
    </row>
    <row r="37" spans="1:19" x14ac:dyDescent="0.3">
      <c r="A37">
        <v>38.1952</v>
      </c>
      <c r="B37">
        <f t="shared" si="1"/>
        <v>32.0032</v>
      </c>
      <c r="C37">
        <v>947.60299999999995</v>
      </c>
      <c r="D37">
        <v>149.15299999999999</v>
      </c>
      <c r="E37">
        <v>191.49100000000001</v>
      </c>
      <c r="I37">
        <f t="shared" si="2"/>
        <v>0.90882146740251102</v>
      </c>
      <c r="J37">
        <f t="shared" si="3"/>
        <v>0.82168907007492287</v>
      </c>
      <c r="K37" s="4">
        <f t="shared" si="0"/>
        <v>0.96086125314238968</v>
      </c>
      <c r="L37" s="3">
        <f t="shared" si="4"/>
        <v>0.94584047845650099</v>
      </c>
      <c r="M37" s="3">
        <f t="shared" si="5"/>
        <v>0.85515891850949377</v>
      </c>
      <c r="R37">
        <f t="shared" si="6"/>
        <v>0.98825987391581827</v>
      </c>
      <c r="S37">
        <f t="shared" si="7"/>
        <v>1.0843663994433783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0BAD-946D-4698-BECF-A3D44C5AEE64}">
  <dimension ref="A1:S66"/>
  <sheetViews>
    <sheetView topLeftCell="B1" workbookViewId="0">
      <selection activeCell="E15" sqref="E15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A2-$A$7</f>
        <v>-6.1990999999999996</v>
      </c>
      <c r="C2">
        <v>1110.5170000000001</v>
      </c>
      <c r="D2">
        <v>185.964</v>
      </c>
      <c r="E2">
        <v>172.94399999999999</v>
      </c>
      <c r="F2">
        <f>AVERAGE(C2:C6)</f>
        <v>1107.0965999999999</v>
      </c>
      <c r="G2">
        <f>AVERAGE(D2:D6)</f>
        <v>184.92860000000002</v>
      </c>
      <c r="H2">
        <f>AVERAGE(E2:E6)</f>
        <v>174.2148</v>
      </c>
      <c r="I2">
        <f>C2/$F$2</f>
        <v>1.003089522630636</v>
      </c>
      <c r="J2">
        <f>D2/$G$2</f>
        <v>1.00559891763632</v>
      </c>
      <c r="K2" s="4">
        <f t="shared" ref="K2:K65" si="0">E2/$H$2</f>
        <v>0.99270555658876281</v>
      </c>
      <c r="L2" s="3">
        <f>I2/K2</f>
        <v>1.010460267873946</v>
      </c>
      <c r="M2" s="3">
        <f>J2/K2</f>
        <v>1.0129881020227818</v>
      </c>
      <c r="R2">
        <f>(L2-$L$7)/($N$7-$L$7)</f>
        <v>1.32333237392087</v>
      </c>
      <c r="S2">
        <f>(M2-$M$7)/($O$7-$M$7)</f>
        <v>1.5658888995132705</v>
      </c>
    </row>
    <row r="3" spans="1:19" x14ac:dyDescent="0.3">
      <c r="A3">
        <v>0.5444</v>
      </c>
      <c r="B3">
        <f t="shared" ref="B3:B66" si="1">A3-$A$7</f>
        <v>-5.6547000000000001</v>
      </c>
      <c r="C3">
        <v>1109.6379999999999</v>
      </c>
      <c r="D3">
        <v>181.679</v>
      </c>
      <c r="E3">
        <v>173.24100000000001</v>
      </c>
      <c r="I3">
        <f t="shared" ref="I3:I66" si="2">C3/$F$2</f>
        <v>1.0022955539742422</v>
      </c>
      <c r="J3">
        <f t="shared" ref="J3:J66" si="3">D3/$G$2</f>
        <v>0.98242781268013701</v>
      </c>
      <c r="K3" s="4">
        <f t="shared" si="0"/>
        <v>0.99441034860413702</v>
      </c>
      <c r="L3" s="3">
        <f t="shared" ref="L3:L66" si="4">I3/K3</f>
        <v>1.0079295286711101</v>
      </c>
      <c r="M3" s="3">
        <f t="shared" ref="M3:M66" si="5">J3/K3</f>
        <v>0.98795010938812133</v>
      </c>
      <c r="R3">
        <f t="shared" ref="R3:R66" si="6">(L3-$L$7)/($N$7-$L$7)</f>
        <v>1.310858161350182</v>
      </c>
      <c r="S3">
        <f t="shared" ref="S3:S66" si="7">(M3-$M$7)/($O$7-$M$7)</f>
        <v>1.4659387965636101</v>
      </c>
    </row>
    <row r="4" spans="1:19" x14ac:dyDescent="0.3">
      <c r="A4">
        <v>1.0888</v>
      </c>
      <c r="B4">
        <f t="shared" si="1"/>
        <v>-5.1102999999999996</v>
      </c>
      <c r="C4">
        <v>1109.655</v>
      </c>
      <c r="D4">
        <v>185.446</v>
      </c>
      <c r="E4">
        <v>177.53700000000001</v>
      </c>
      <c r="I4">
        <f t="shared" si="2"/>
        <v>1.0023109094545137</v>
      </c>
      <c r="J4">
        <f t="shared" si="3"/>
        <v>1.0027978365704384</v>
      </c>
      <c r="K4" s="4">
        <f t="shared" si="0"/>
        <v>1.0190695624022759</v>
      </c>
      <c r="L4" s="3">
        <f t="shared" si="4"/>
        <v>0.98355494701631896</v>
      </c>
      <c r="M4" s="3">
        <f t="shared" si="5"/>
        <v>0.98403276240193094</v>
      </c>
      <c r="R4">
        <f t="shared" si="6"/>
        <v>1.1907139313391515</v>
      </c>
      <c r="S4">
        <f t="shared" si="7"/>
        <v>1.45030099203701</v>
      </c>
    </row>
    <row r="5" spans="1:19" x14ac:dyDescent="0.3">
      <c r="A5">
        <v>1.6332</v>
      </c>
      <c r="B5">
        <f t="shared" si="1"/>
        <v>-4.5658999999999992</v>
      </c>
      <c r="C5">
        <v>1108.5519999999999</v>
      </c>
      <c r="D5">
        <v>184.786</v>
      </c>
      <c r="E5">
        <v>176</v>
      </c>
      <c r="I5">
        <f t="shared" si="2"/>
        <v>1.0013146097639538</v>
      </c>
      <c r="J5">
        <f t="shared" si="3"/>
        <v>0.99922889158302164</v>
      </c>
      <c r="K5" s="4">
        <f t="shared" si="0"/>
        <v>1.0102471202217034</v>
      </c>
      <c r="L5" s="3">
        <f t="shared" si="4"/>
        <v>0.99115809361991625</v>
      </c>
      <c r="M5" s="3">
        <f t="shared" si="5"/>
        <v>0.98909353125771471</v>
      </c>
      <c r="R5">
        <f t="shared" si="6"/>
        <v>1.2281904389275646</v>
      </c>
      <c r="S5">
        <f t="shared" si="7"/>
        <v>1.4705032652591774</v>
      </c>
    </row>
    <row r="6" spans="1:19" x14ac:dyDescent="0.3">
      <c r="A6">
        <v>2.1776</v>
      </c>
      <c r="B6">
        <f t="shared" si="1"/>
        <v>-4.0214999999999996</v>
      </c>
      <c r="C6">
        <v>1097.1210000000001</v>
      </c>
      <c r="D6">
        <v>186.768</v>
      </c>
      <c r="E6">
        <v>171.352</v>
      </c>
      <c r="I6">
        <f t="shared" si="2"/>
        <v>0.99098940417665471</v>
      </c>
      <c r="J6">
        <f t="shared" si="3"/>
        <v>1.0099465415300823</v>
      </c>
      <c r="K6" s="4">
        <f t="shared" si="0"/>
        <v>0.98356741218312116</v>
      </c>
      <c r="L6" s="3">
        <f t="shared" si="4"/>
        <v>1.0075459921725749</v>
      </c>
      <c r="M6" s="3">
        <f t="shared" si="5"/>
        <v>1.0268198488687321</v>
      </c>
      <c r="R6">
        <f t="shared" si="6"/>
        <v>1.3089676797841701</v>
      </c>
      <c r="S6">
        <f t="shared" si="7"/>
        <v>1.6211043691157572</v>
      </c>
    </row>
    <row r="7" spans="1:19" x14ac:dyDescent="0.3">
      <c r="A7" s="1">
        <v>6.1990999999999996</v>
      </c>
      <c r="B7" s="1">
        <f t="shared" si="1"/>
        <v>0</v>
      </c>
      <c r="C7" s="1">
        <v>806.46600000000001</v>
      </c>
      <c r="D7" s="1">
        <v>112.696</v>
      </c>
      <c r="E7" s="1">
        <v>171.03700000000001</v>
      </c>
      <c r="F7" s="1"/>
      <c r="G7" s="1"/>
      <c r="H7" s="1"/>
      <c r="I7" s="1">
        <f t="shared" si="2"/>
        <v>0.72845133839269316</v>
      </c>
      <c r="J7" s="1">
        <f t="shared" si="3"/>
        <v>0.60940276409381777</v>
      </c>
      <c r="K7" s="1">
        <f t="shared" si="0"/>
        <v>0.98175929943954254</v>
      </c>
      <c r="L7" s="1">
        <f t="shared" si="4"/>
        <v>0.74198567694601369</v>
      </c>
      <c r="M7" s="1">
        <f t="shared" si="5"/>
        <v>0.62072522709151612</v>
      </c>
      <c r="N7" s="1">
        <f>AVERAGE(L56:L66)</f>
        <v>0.94486334866236066</v>
      </c>
      <c r="O7" s="1">
        <f>AVERAGE(M56:M66)</f>
        <v>0.8712301480046114</v>
      </c>
      <c r="P7" s="5">
        <f>(N7-L7)/(1-L7)</f>
        <v>0.78630391256960308</v>
      </c>
      <c r="Q7" s="5">
        <f>(O7-M7)/(1-M7)</f>
        <v>0.66048400475488578</v>
      </c>
      <c r="R7">
        <f t="shared" si="6"/>
        <v>0</v>
      </c>
      <c r="S7">
        <f t="shared" si="7"/>
        <v>0</v>
      </c>
    </row>
    <row r="8" spans="1:19" x14ac:dyDescent="0.3">
      <c r="A8">
        <v>6.7435</v>
      </c>
      <c r="B8">
        <f t="shared" si="1"/>
        <v>0.54440000000000044</v>
      </c>
      <c r="C8">
        <v>860.36199999999997</v>
      </c>
      <c r="D8">
        <v>113.429</v>
      </c>
      <c r="E8">
        <v>172.148</v>
      </c>
      <c r="I8">
        <f t="shared" si="2"/>
        <v>0.77713363043477879</v>
      </c>
      <c r="J8">
        <f t="shared" si="3"/>
        <v>0.6133664560268125</v>
      </c>
      <c r="K8" s="4">
        <f t="shared" si="0"/>
        <v>0.98813648438594193</v>
      </c>
      <c r="L8" s="3">
        <f t="shared" si="4"/>
        <v>0.78646385667837504</v>
      </c>
      <c r="M8" s="3">
        <f t="shared" si="5"/>
        <v>0.62073050202976476</v>
      </c>
      <c r="R8">
        <f t="shared" si="6"/>
        <v>0.21923644606168602</v>
      </c>
      <c r="S8">
        <f t="shared" si="7"/>
        <v>2.1057224063374678E-5</v>
      </c>
    </row>
    <row r="9" spans="1:19" x14ac:dyDescent="0.3">
      <c r="A9">
        <v>7.3037999999999998</v>
      </c>
      <c r="B9">
        <f t="shared" si="1"/>
        <v>1.1047000000000002</v>
      </c>
      <c r="C9">
        <v>891.08600000000001</v>
      </c>
      <c r="D9">
        <v>116.143</v>
      </c>
      <c r="E9">
        <v>168.96299999999999</v>
      </c>
      <c r="I9">
        <f t="shared" si="2"/>
        <v>0.80488549960319644</v>
      </c>
      <c r="J9">
        <f t="shared" si="3"/>
        <v>0.62804239041446264</v>
      </c>
      <c r="K9" s="4">
        <f t="shared" si="0"/>
        <v>0.96985445553420258</v>
      </c>
      <c r="L9" s="3">
        <f t="shared" si="4"/>
        <v>0.82990338912229866</v>
      </c>
      <c r="M9" s="3">
        <f t="shared" si="5"/>
        <v>0.64756354608747202</v>
      </c>
      <c r="R9">
        <f t="shared" si="6"/>
        <v>0.43335331795017323</v>
      </c>
      <c r="S9">
        <f t="shared" si="7"/>
        <v>0.10713689335175416</v>
      </c>
    </row>
    <row r="10" spans="1:19" x14ac:dyDescent="0.3">
      <c r="A10">
        <v>7.8640999999999996</v>
      </c>
      <c r="B10">
        <f t="shared" si="1"/>
        <v>1.665</v>
      </c>
      <c r="C10">
        <v>913.72400000000005</v>
      </c>
      <c r="D10">
        <v>118.054</v>
      </c>
      <c r="E10">
        <v>172.185</v>
      </c>
      <c r="I10">
        <f t="shared" si="2"/>
        <v>0.82533357974362864</v>
      </c>
      <c r="J10">
        <f t="shared" si="3"/>
        <v>0.63837610840075565</v>
      </c>
      <c r="K10" s="4">
        <f t="shared" si="0"/>
        <v>0.98834886588280679</v>
      </c>
      <c r="L10" s="3">
        <f t="shared" si="4"/>
        <v>0.83506301087969514</v>
      </c>
      <c r="M10" s="3">
        <f t="shared" si="5"/>
        <v>0.64590159450484053</v>
      </c>
      <c r="R10">
        <f t="shared" si="6"/>
        <v>0.45878549939106827</v>
      </c>
      <c r="S10">
        <f t="shared" si="7"/>
        <v>0.10050248642444252</v>
      </c>
    </row>
    <row r="11" spans="1:19" x14ac:dyDescent="0.3">
      <c r="A11">
        <v>8.4243000000000006</v>
      </c>
      <c r="B11">
        <f t="shared" si="1"/>
        <v>2.225200000000001</v>
      </c>
      <c r="C11">
        <v>926.34500000000003</v>
      </c>
      <c r="D11">
        <v>120.554</v>
      </c>
      <c r="E11">
        <v>173.83699999999999</v>
      </c>
      <c r="I11">
        <f t="shared" si="2"/>
        <v>0.83673366894993639</v>
      </c>
      <c r="J11">
        <f t="shared" si="3"/>
        <v>0.65189483941369797</v>
      </c>
      <c r="K11" s="4">
        <f t="shared" si="0"/>
        <v>0.99783141271579678</v>
      </c>
      <c r="L11" s="3">
        <f t="shared" si="4"/>
        <v>0.83855214246322352</v>
      </c>
      <c r="M11" s="3">
        <f t="shared" si="5"/>
        <v>0.65331160264782251</v>
      </c>
      <c r="R11">
        <f t="shared" si="6"/>
        <v>0.47598370338271645</v>
      </c>
      <c r="S11">
        <f t="shared" si="7"/>
        <v>0.1300827761687412</v>
      </c>
    </row>
    <row r="12" spans="1:19" x14ac:dyDescent="0.3">
      <c r="A12">
        <v>8.9846000000000004</v>
      </c>
      <c r="B12">
        <f t="shared" si="1"/>
        <v>2.7855000000000008</v>
      </c>
      <c r="C12">
        <v>943.86199999999997</v>
      </c>
      <c r="D12">
        <v>127.411</v>
      </c>
      <c r="E12">
        <v>177.01900000000001</v>
      </c>
      <c r="I12">
        <f t="shared" si="2"/>
        <v>0.8525561364744505</v>
      </c>
      <c r="J12">
        <f t="shared" si="3"/>
        <v>0.68897401483599607</v>
      </c>
      <c r="K12" s="4">
        <f t="shared" si="0"/>
        <v>1.0160962214461688</v>
      </c>
      <c r="L12" s="3">
        <f t="shared" si="4"/>
        <v>0.83905059233567636</v>
      </c>
      <c r="M12" s="3">
        <f t="shared" si="5"/>
        <v>0.67805981391743309</v>
      </c>
      <c r="R12">
        <f t="shared" si="6"/>
        <v>0.47844060200658156</v>
      </c>
      <c r="S12">
        <f t="shared" si="7"/>
        <v>0.2288760900062613</v>
      </c>
    </row>
    <row r="13" spans="1:19" x14ac:dyDescent="0.3">
      <c r="A13">
        <v>9.5289999999999999</v>
      </c>
      <c r="B13">
        <f t="shared" si="1"/>
        <v>3.3299000000000003</v>
      </c>
      <c r="C13">
        <v>953.98299999999995</v>
      </c>
      <c r="D13">
        <v>126.304</v>
      </c>
      <c r="E13">
        <v>172.13</v>
      </c>
      <c r="I13">
        <f t="shared" si="2"/>
        <v>0.86169806681729499</v>
      </c>
      <c r="J13">
        <f t="shared" si="3"/>
        <v>0.68298792074346526</v>
      </c>
      <c r="K13" s="4">
        <f t="shared" si="0"/>
        <v>0.98803316365773741</v>
      </c>
      <c r="L13" s="3">
        <f t="shared" si="4"/>
        <v>0.87213476076780161</v>
      </c>
      <c r="M13" s="3">
        <f t="shared" si="5"/>
        <v>0.69126011743878846</v>
      </c>
      <c r="R13">
        <f t="shared" si="6"/>
        <v>0.64151507024270082</v>
      </c>
      <c r="S13">
        <f t="shared" si="7"/>
        <v>0.28157087729123764</v>
      </c>
    </row>
    <row r="14" spans="1:19" x14ac:dyDescent="0.3">
      <c r="A14">
        <v>10.073399999999999</v>
      </c>
      <c r="B14">
        <f t="shared" si="1"/>
        <v>3.8742999999999999</v>
      </c>
      <c r="C14">
        <v>947.87900000000002</v>
      </c>
      <c r="D14">
        <v>124.089</v>
      </c>
      <c r="E14">
        <v>166.833</v>
      </c>
      <c r="I14">
        <f t="shared" si="2"/>
        <v>0.85618454613626327</v>
      </c>
      <c r="J14">
        <f t="shared" si="3"/>
        <v>0.67101032506599834</v>
      </c>
      <c r="K14" s="4">
        <f t="shared" si="0"/>
        <v>0.95762816936333772</v>
      </c>
      <c r="L14" s="3">
        <f t="shared" si="4"/>
        <v>0.89406783710788551</v>
      </c>
      <c r="M14" s="3">
        <f t="shared" si="5"/>
        <v>0.7007002785978067</v>
      </c>
      <c r="R14">
        <f t="shared" si="6"/>
        <v>0.749624928535779</v>
      </c>
      <c r="S14">
        <f t="shared" si="7"/>
        <v>0.31925541109044875</v>
      </c>
    </row>
    <row r="15" spans="1:19" x14ac:dyDescent="0.3">
      <c r="A15">
        <v>10.617800000000001</v>
      </c>
      <c r="B15">
        <f t="shared" si="1"/>
        <v>4.4187000000000012</v>
      </c>
      <c r="C15">
        <v>989.56899999999996</v>
      </c>
      <c r="D15">
        <v>122.446</v>
      </c>
      <c r="E15">
        <v>170.148</v>
      </c>
      <c r="I15">
        <f t="shared" si="2"/>
        <v>0.89384160334337592</v>
      </c>
      <c r="J15">
        <f t="shared" si="3"/>
        <v>0.66212581504429269</v>
      </c>
      <c r="K15" s="4">
        <f t="shared" si="0"/>
        <v>0.97665640347433169</v>
      </c>
      <c r="L15" s="3">
        <f t="shared" si="4"/>
        <v>0.91520579823533377</v>
      </c>
      <c r="M15" s="3">
        <f t="shared" si="5"/>
        <v>0.67795164470213254</v>
      </c>
      <c r="R15">
        <f t="shared" si="6"/>
        <v>0.85381560141082191</v>
      </c>
      <c r="S15">
        <f t="shared" si="7"/>
        <v>0.22844428525405816</v>
      </c>
    </row>
    <row r="16" spans="1:19" x14ac:dyDescent="0.3">
      <c r="A16">
        <v>11.1622</v>
      </c>
      <c r="B16">
        <f t="shared" si="1"/>
        <v>4.9631000000000007</v>
      </c>
      <c r="C16">
        <v>971.96600000000001</v>
      </c>
      <c r="D16">
        <v>128.446</v>
      </c>
      <c r="E16">
        <v>170.852</v>
      </c>
      <c r="I16">
        <f t="shared" si="2"/>
        <v>0.87794145515395872</v>
      </c>
      <c r="J16">
        <f t="shared" si="3"/>
        <v>0.69457076947535423</v>
      </c>
      <c r="K16" s="4">
        <f t="shared" si="0"/>
        <v>0.98069739195521854</v>
      </c>
      <c r="L16" s="3">
        <f t="shared" si="4"/>
        <v>0.89522156615875659</v>
      </c>
      <c r="M16" s="3">
        <f t="shared" si="5"/>
        <v>0.70824168104555363</v>
      </c>
      <c r="R16">
        <f t="shared" si="6"/>
        <v>0.75531174976706827</v>
      </c>
      <c r="S16">
        <f t="shared" si="7"/>
        <v>0.34936021869366213</v>
      </c>
    </row>
    <row r="17" spans="1:19" x14ac:dyDescent="0.3">
      <c r="A17">
        <v>11.7225</v>
      </c>
      <c r="B17">
        <f t="shared" si="1"/>
        <v>5.5234000000000005</v>
      </c>
      <c r="C17">
        <v>983.10299999999995</v>
      </c>
      <c r="D17">
        <v>132.946</v>
      </c>
      <c r="E17">
        <v>170.88900000000001</v>
      </c>
      <c r="I17">
        <f t="shared" si="2"/>
        <v>0.88800110125891463</v>
      </c>
      <c r="J17">
        <f t="shared" si="3"/>
        <v>0.71890448529865036</v>
      </c>
      <c r="K17" s="4">
        <f t="shared" si="0"/>
        <v>0.98090977345208341</v>
      </c>
      <c r="L17" s="3">
        <f t="shared" si="4"/>
        <v>0.90528316190978675</v>
      </c>
      <c r="M17" s="3">
        <f t="shared" si="5"/>
        <v>0.73289562889014093</v>
      </c>
      <c r="R17">
        <f t="shared" si="6"/>
        <v>0.80490614655755277</v>
      </c>
      <c r="S17">
        <f t="shared" si="7"/>
        <v>0.44777723882533532</v>
      </c>
    </row>
    <row r="18" spans="1:19" x14ac:dyDescent="0.3">
      <c r="A18">
        <v>12.2828</v>
      </c>
      <c r="B18">
        <f t="shared" si="1"/>
        <v>6.0837000000000003</v>
      </c>
      <c r="C18">
        <v>985.12099999999998</v>
      </c>
      <c r="D18">
        <v>130.482</v>
      </c>
      <c r="E18">
        <v>171.03700000000001</v>
      </c>
      <c r="I18">
        <f t="shared" si="2"/>
        <v>0.88982388709350213</v>
      </c>
      <c r="J18">
        <f t="shared" si="3"/>
        <v>0.70558042401229437</v>
      </c>
      <c r="K18" s="4">
        <f t="shared" si="0"/>
        <v>0.98175929943954254</v>
      </c>
      <c r="L18" s="3">
        <f t="shared" si="4"/>
        <v>0.90635646395351321</v>
      </c>
      <c r="M18" s="3">
        <f t="shared" si="5"/>
        <v>0.71868982999711783</v>
      </c>
      <c r="R18">
        <f t="shared" si="6"/>
        <v>0.81019653674512904</v>
      </c>
      <c r="S18">
        <f t="shared" si="7"/>
        <v>0.39106857681086199</v>
      </c>
    </row>
    <row r="19" spans="1:19" x14ac:dyDescent="0.3">
      <c r="A19">
        <v>12.8431</v>
      </c>
      <c r="B19">
        <f t="shared" si="1"/>
        <v>6.6440000000000001</v>
      </c>
      <c r="C19">
        <v>998.25900000000001</v>
      </c>
      <c r="D19">
        <v>132.357</v>
      </c>
      <c r="E19">
        <v>167.63</v>
      </c>
      <c r="I19">
        <f t="shared" si="2"/>
        <v>0.90169096355277412</v>
      </c>
      <c r="J19">
        <f t="shared" si="3"/>
        <v>0.71571947227200117</v>
      </c>
      <c r="K19" s="4">
        <f t="shared" si="0"/>
        <v>0.96220298160661433</v>
      </c>
      <c r="L19" s="3">
        <f t="shared" si="4"/>
        <v>0.9371109638916294</v>
      </c>
      <c r="M19" s="3">
        <f t="shared" si="5"/>
        <v>0.74383418670865731</v>
      </c>
      <c r="R19">
        <f t="shared" si="6"/>
        <v>0.96178788574836249</v>
      </c>
      <c r="S19">
        <f t="shared" si="7"/>
        <v>0.49144327851287972</v>
      </c>
    </row>
    <row r="20" spans="1:19" x14ac:dyDescent="0.3">
      <c r="A20">
        <v>13.4034</v>
      </c>
      <c r="B20">
        <f t="shared" si="1"/>
        <v>7.2042999999999999</v>
      </c>
      <c r="C20">
        <v>991.62099999999998</v>
      </c>
      <c r="D20">
        <v>130.196</v>
      </c>
      <c r="E20">
        <v>168.90700000000001</v>
      </c>
      <c r="I20">
        <f t="shared" si="2"/>
        <v>0.89569510013850651</v>
      </c>
      <c r="J20">
        <f t="shared" si="3"/>
        <v>0.70403388118441379</v>
      </c>
      <c r="K20" s="4">
        <f t="shared" si="0"/>
        <v>0.96953301326867758</v>
      </c>
      <c r="L20" s="3">
        <f t="shared" si="4"/>
        <v>0.9238417752467919</v>
      </c>
      <c r="M20" s="3">
        <f t="shared" si="5"/>
        <v>0.72615771876693336</v>
      </c>
      <c r="R20">
        <f t="shared" si="6"/>
        <v>0.89638301131057918</v>
      </c>
      <c r="S20">
        <f t="shared" si="7"/>
        <v>0.42087992240277661</v>
      </c>
    </row>
    <row r="21" spans="1:19" x14ac:dyDescent="0.3">
      <c r="A21">
        <v>13.947800000000001</v>
      </c>
      <c r="B21">
        <f t="shared" si="1"/>
        <v>7.7487000000000013</v>
      </c>
      <c r="C21">
        <v>987.79300000000001</v>
      </c>
      <c r="D21">
        <v>138.143</v>
      </c>
      <c r="E21">
        <v>168.29599999999999</v>
      </c>
      <c r="I21">
        <f t="shared" si="2"/>
        <v>0.8922374072867717</v>
      </c>
      <c r="J21">
        <f t="shared" si="3"/>
        <v>0.74700722332835479</v>
      </c>
      <c r="K21" s="4">
        <f t="shared" si="0"/>
        <v>0.96602584855018059</v>
      </c>
      <c r="L21" s="3">
        <f t="shared" si="4"/>
        <v>0.92361649393320977</v>
      </c>
      <c r="M21" s="3">
        <f t="shared" si="5"/>
        <v>0.77327871138175985</v>
      </c>
      <c r="R21">
        <f t="shared" si="6"/>
        <v>0.89527258199780047</v>
      </c>
      <c r="S21">
        <f t="shared" si="7"/>
        <v>0.60898398216762906</v>
      </c>
    </row>
    <row r="22" spans="1:19" x14ac:dyDescent="0.3">
      <c r="A22">
        <v>14.4922</v>
      </c>
      <c r="B22">
        <f t="shared" si="1"/>
        <v>8.2931000000000008</v>
      </c>
      <c r="C22">
        <v>1010.069</v>
      </c>
      <c r="D22">
        <v>132.732</v>
      </c>
      <c r="E22">
        <v>166.63</v>
      </c>
      <c r="I22">
        <f t="shared" si="2"/>
        <v>0.91235850602377433</v>
      </c>
      <c r="J22">
        <f t="shared" si="3"/>
        <v>0.71774728192394244</v>
      </c>
      <c r="K22" s="4">
        <f t="shared" si="0"/>
        <v>0.95646294115080921</v>
      </c>
      <c r="L22" s="3">
        <f t="shared" si="4"/>
        <v>0.95388798328770719</v>
      </c>
      <c r="M22" s="3">
        <f t="shared" si="5"/>
        <v>0.75041828704869018</v>
      </c>
      <c r="R22">
        <f t="shared" si="6"/>
        <v>1.0444831338461154</v>
      </c>
      <c r="S22">
        <f t="shared" si="7"/>
        <v>0.51772659588658121</v>
      </c>
    </row>
    <row r="23" spans="1:19" x14ac:dyDescent="0.3">
      <c r="A23">
        <v>15.0366</v>
      </c>
      <c r="B23">
        <f t="shared" si="1"/>
        <v>8.8375000000000004</v>
      </c>
      <c r="C23">
        <v>990.44799999999998</v>
      </c>
      <c r="D23">
        <v>136.571</v>
      </c>
      <c r="E23">
        <v>164.667</v>
      </c>
      <c r="I23">
        <f t="shared" si="2"/>
        <v>0.89463557199976962</v>
      </c>
      <c r="J23">
        <f t="shared" si="3"/>
        <v>0.73850664526741661</v>
      </c>
      <c r="K23" s="4">
        <f t="shared" si="0"/>
        <v>0.94519524173606373</v>
      </c>
      <c r="L23" s="3">
        <f t="shared" si="4"/>
        <v>0.94650875554194502</v>
      </c>
      <c r="M23" s="3">
        <f t="shared" si="5"/>
        <v>0.78132708741845014</v>
      </c>
      <c r="R23">
        <f t="shared" si="6"/>
        <v>1.0081103399189482</v>
      </c>
      <c r="S23">
        <f t="shared" si="7"/>
        <v>0.64111259667689213</v>
      </c>
    </row>
    <row r="24" spans="1:19" x14ac:dyDescent="0.3">
      <c r="A24">
        <v>15.581</v>
      </c>
      <c r="B24">
        <f t="shared" si="1"/>
        <v>9.3818999999999999</v>
      </c>
      <c r="C24">
        <v>997</v>
      </c>
      <c r="D24">
        <v>139.161</v>
      </c>
      <c r="E24">
        <v>166.11099999999999</v>
      </c>
      <c r="I24">
        <f t="shared" si="2"/>
        <v>0.90055375474913402</v>
      </c>
      <c r="J24">
        <f t="shared" si="3"/>
        <v>0.75251205059682491</v>
      </c>
      <c r="K24" s="4">
        <f t="shared" si="0"/>
        <v>0.95348386015424635</v>
      </c>
      <c r="L24" s="3">
        <f t="shared" si="4"/>
        <v>0.94448767554749191</v>
      </c>
      <c r="M24" s="3">
        <f t="shared" si="5"/>
        <v>0.78922369013681049</v>
      </c>
      <c r="R24">
        <f t="shared" si="6"/>
        <v>0.9981482776705265</v>
      </c>
      <c r="S24">
        <f t="shared" si="7"/>
        <v>0.67263534157777904</v>
      </c>
    </row>
    <row r="25" spans="1:19" x14ac:dyDescent="0.3">
      <c r="A25">
        <v>16.125399999999999</v>
      </c>
      <c r="B25">
        <f t="shared" si="1"/>
        <v>9.9262999999999995</v>
      </c>
      <c r="C25">
        <v>1002.828</v>
      </c>
      <c r="D25">
        <v>141.089</v>
      </c>
      <c r="E25">
        <v>164.57400000000001</v>
      </c>
      <c r="I25">
        <f t="shared" si="2"/>
        <v>0.90581797469163949</v>
      </c>
      <c r="J25">
        <f t="shared" si="3"/>
        <v>0.76293769595400596</v>
      </c>
      <c r="K25" s="4">
        <f t="shared" si="0"/>
        <v>0.94466141797367398</v>
      </c>
      <c r="L25" s="3">
        <f t="shared" si="4"/>
        <v>0.95888109481029216</v>
      </c>
      <c r="M25" s="3">
        <f t="shared" si="5"/>
        <v>0.80763084152471198</v>
      </c>
      <c r="R25">
        <f t="shared" si="6"/>
        <v>1.0690945732437742</v>
      </c>
      <c r="S25">
        <f t="shared" si="7"/>
        <v>0.74611554037310435</v>
      </c>
    </row>
    <row r="26" spans="1:19" x14ac:dyDescent="0.3">
      <c r="A26">
        <v>16.685600000000001</v>
      </c>
      <c r="B26">
        <f t="shared" si="1"/>
        <v>10.486500000000001</v>
      </c>
      <c r="C26">
        <v>992.24099999999999</v>
      </c>
      <c r="D26">
        <v>139.554</v>
      </c>
      <c r="E26">
        <v>165.88900000000001</v>
      </c>
      <c r="I26">
        <f t="shared" si="2"/>
        <v>0.89625512353664538</v>
      </c>
      <c r="J26">
        <f t="shared" si="3"/>
        <v>0.7546371951120594</v>
      </c>
      <c r="K26" s="4">
        <f t="shared" si="0"/>
        <v>0.95220957117305771</v>
      </c>
      <c r="L26" s="3">
        <f t="shared" si="4"/>
        <v>0.9412372556101487</v>
      </c>
      <c r="M26" s="3">
        <f t="shared" si="5"/>
        <v>0.79251166755486135</v>
      </c>
      <c r="R26">
        <f t="shared" si="6"/>
        <v>0.98212670215733855</v>
      </c>
      <c r="S26">
        <f t="shared" si="7"/>
        <v>0.68576074209313065</v>
      </c>
    </row>
    <row r="27" spans="1:19" x14ac:dyDescent="0.3">
      <c r="A27">
        <v>17.245899999999999</v>
      </c>
      <c r="B27">
        <f t="shared" si="1"/>
        <v>11.046799999999999</v>
      </c>
      <c r="C27">
        <v>1009.034</v>
      </c>
      <c r="D27">
        <v>142.393</v>
      </c>
      <c r="E27">
        <v>167.07400000000001</v>
      </c>
      <c r="I27">
        <f t="shared" si="2"/>
        <v>0.91142362825430057</v>
      </c>
      <c r="J27">
        <f t="shared" si="3"/>
        <v>0.76998906605035666</v>
      </c>
      <c r="K27" s="4">
        <f t="shared" si="0"/>
        <v>0.95901151911318683</v>
      </c>
      <c r="L27" s="3">
        <f t="shared" si="4"/>
        <v>0.95037818638206606</v>
      </c>
      <c r="M27" s="3">
        <f t="shared" si="5"/>
        <v>0.80289866253366571</v>
      </c>
      <c r="R27">
        <f t="shared" si="6"/>
        <v>1.0271830688564683</v>
      </c>
      <c r="S27">
        <f t="shared" si="7"/>
        <v>0.72722497737020053</v>
      </c>
    </row>
    <row r="28" spans="1:19" x14ac:dyDescent="0.3">
      <c r="A28">
        <v>17.8062</v>
      </c>
      <c r="B28">
        <f t="shared" si="1"/>
        <v>11.607100000000001</v>
      </c>
      <c r="C28">
        <v>1016.19</v>
      </c>
      <c r="D28">
        <v>140.232</v>
      </c>
      <c r="E28">
        <v>167.22200000000001</v>
      </c>
      <c r="I28">
        <f t="shared" si="2"/>
        <v>0.91788738218507782</v>
      </c>
      <c r="J28">
        <f t="shared" si="3"/>
        <v>0.75830347496276929</v>
      </c>
      <c r="K28" s="4">
        <f t="shared" si="0"/>
        <v>0.95986104510064596</v>
      </c>
      <c r="L28" s="3">
        <f t="shared" si="4"/>
        <v>0.95627110493772871</v>
      </c>
      <c r="M28" s="3">
        <f t="shared" si="5"/>
        <v>0.79001380338677829</v>
      </c>
      <c r="R28">
        <f t="shared" si="6"/>
        <v>1.0562297278890196</v>
      </c>
      <c r="S28">
        <f t="shared" si="7"/>
        <v>0.67578942432828082</v>
      </c>
    </row>
    <row r="29" spans="1:19" x14ac:dyDescent="0.3">
      <c r="A29">
        <v>18.366499999999998</v>
      </c>
      <c r="B29">
        <f t="shared" si="1"/>
        <v>12.167399999999999</v>
      </c>
      <c r="C29">
        <v>1007.828</v>
      </c>
      <c r="D29">
        <v>138.643</v>
      </c>
      <c r="E29">
        <v>168.05600000000001</v>
      </c>
      <c r="I29">
        <f t="shared" si="2"/>
        <v>0.91033429241856589</v>
      </c>
      <c r="J29">
        <f t="shared" si="3"/>
        <v>0.74971096953094318</v>
      </c>
      <c r="K29" s="4">
        <f t="shared" si="0"/>
        <v>0.96464823884078743</v>
      </c>
      <c r="L29" s="3">
        <f t="shared" si="4"/>
        <v>0.94369559365236566</v>
      </c>
      <c r="M29" s="3">
        <f t="shared" si="5"/>
        <v>0.77718585837244336</v>
      </c>
      <c r="R29">
        <f t="shared" si="6"/>
        <v>0.9942440437130623</v>
      </c>
      <c r="S29">
        <f t="shared" si="7"/>
        <v>0.62458106894916565</v>
      </c>
    </row>
    <row r="30" spans="1:19" x14ac:dyDescent="0.3">
      <c r="A30">
        <v>18.895</v>
      </c>
      <c r="B30">
        <f t="shared" si="1"/>
        <v>12.6959</v>
      </c>
      <c r="C30">
        <v>1016.569</v>
      </c>
      <c r="D30">
        <v>142.821</v>
      </c>
      <c r="E30">
        <v>170.685</v>
      </c>
      <c r="I30">
        <f t="shared" si="2"/>
        <v>0.9182297190687787</v>
      </c>
      <c r="J30">
        <f t="shared" si="3"/>
        <v>0.77230347279977241</v>
      </c>
      <c r="K30" s="4">
        <f t="shared" si="0"/>
        <v>0.97973880519909906</v>
      </c>
      <c r="L30" s="3">
        <f t="shared" si="4"/>
        <v>0.93721889364398436</v>
      </c>
      <c r="M30" s="3">
        <f t="shared" si="5"/>
        <v>0.78827486336302421</v>
      </c>
      <c r="R30">
        <f t="shared" si="6"/>
        <v>0.96231987998627877</v>
      </c>
      <c r="S30">
        <f t="shared" si="7"/>
        <v>0.66884768435201358</v>
      </c>
    </row>
    <row r="31" spans="1:19" x14ac:dyDescent="0.3">
      <c r="A31">
        <v>19.439399999999999</v>
      </c>
      <c r="B31">
        <f t="shared" si="1"/>
        <v>13.2403</v>
      </c>
      <c r="C31">
        <v>1006.914</v>
      </c>
      <c r="D31">
        <v>138.964</v>
      </c>
      <c r="E31">
        <v>169.852</v>
      </c>
      <c r="I31">
        <f t="shared" si="2"/>
        <v>0.90950870953808383</v>
      </c>
      <c r="J31">
        <f t="shared" si="3"/>
        <v>0.75144677459300502</v>
      </c>
      <c r="K31" s="4">
        <f t="shared" si="0"/>
        <v>0.97495735149941343</v>
      </c>
      <c r="L31" s="3">
        <f t="shared" si="4"/>
        <v>0.9328702513390208</v>
      </c>
      <c r="M31" s="3">
        <f t="shared" si="5"/>
        <v>0.77074835472273184</v>
      </c>
      <c r="R31">
        <f t="shared" si="6"/>
        <v>0.940885080049085</v>
      </c>
      <c r="S31">
        <f t="shared" si="7"/>
        <v>0.59888295640811573</v>
      </c>
    </row>
    <row r="32" spans="1:19" x14ac:dyDescent="0.3">
      <c r="A32">
        <v>19.983799999999999</v>
      </c>
      <c r="B32">
        <f t="shared" si="1"/>
        <v>13.784699999999999</v>
      </c>
      <c r="C32">
        <v>1002.966</v>
      </c>
      <c r="D32">
        <v>142.536</v>
      </c>
      <c r="E32">
        <v>169.63</v>
      </c>
      <c r="I32">
        <f t="shared" si="2"/>
        <v>0.90594262506090262</v>
      </c>
      <c r="J32">
        <f t="shared" si="3"/>
        <v>0.77076233746429701</v>
      </c>
      <c r="K32" s="4">
        <f t="shared" si="0"/>
        <v>0.97368306251822467</v>
      </c>
      <c r="L32" s="3">
        <f t="shared" si="4"/>
        <v>0.93042865788162543</v>
      </c>
      <c r="M32" s="3">
        <f t="shared" si="5"/>
        <v>0.79159468530846555</v>
      </c>
      <c r="R32">
        <f t="shared" si="6"/>
        <v>0.92885027386889052</v>
      </c>
      <c r="S32">
        <f t="shared" si="7"/>
        <v>0.6821002062319852</v>
      </c>
    </row>
    <row r="33" spans="1:19" x14ac:dyDescent="0.3">
      <c r="A33">
        <v>20.528199999999998</v>
      </c>
      <c r="B33">
        <f t="shared" si="1"/>
        <v>14.329099999999999</v>
      </c>
      <c r="C33">
        <v>1007.845</v>
      </c>
      <c r="D33">
        <v>144.321</v>
      </c>
      <c r="E33">
        <v>170.77799999999999</v>
      </c>
      <c r="I33">
        <f t="shared" si="2"/>
        <v>0.91034964789883754</v>
      </c>
      <c r="J33">
        <f t="shared" si="3"/>
        <v>0.78041471140753771</v>
      </c>
      <c r="K33" s="4">
        <f t="shared" si="0"/>
        <v>0.98027262896148892</v>
      </c>
      <c r="L33" s="3">
        <f t="shared" si="4"/>
        <v>0.92866986285567465</v>
      </c>
      <c r="M33" s="3">
        <f t="shared" si="5"/>
        <v>0.79612006736770491</v>
      </c>
      <c r="R33">
        <f t="shared" si="6"/>
        <v>0.92018103485864677</v>
      </c>
      <c r="S33">
        <f t="shared" si="7"/>
        <v>0.70016524879779285</v>
      </c>
    </row>
    <row r="34" spans="1:19" x14ac:dyDescent="0.3">
      <c r="A34">
        <v>21.072600000000001</v>
      </c>
      <c r="B34">
        <f t="shared" si="1"/>
        <v>14.873500000000002</v>
      </c>
      <c r="C34">
        <v>1013.914</v>
      </c>
      <c r="D34">
        <v>141.107</v>
      </c>
      <c r="E34">
        <v>168.29599999999999</v>
      </c>
      <c r="I34">
        <f t="shared" si="2"/>
        <v>0.91583155435578079</v>
      </c>
      <c r="J34">
        <f t="shared" si="3"/>
        <v>0.76303503081729918</v>
      </c>
      <c r="K34" s="4">
        <f t="shared" si="0"/>
        <v>0.96602584855018059</v>
      </c>
      <c r="L34" s="3">
        <f t="shared" si="4"/>
        <v>0.94804042327673554</v>
      </c>
      <c r="M34" s="3">
        <f t="shared" si="5"/>
        <v>0.78987020063952562</v>
      </c>
      <c r="R34">
        <f t="shared" si="6"/>
        <v>1.0156600506477464</v>
      </c>
      <c r="S34">
        <f t="shared" si="7"/>
        <v>0.67521617112938459</v>
      </c>
    </row>
    <row r="35" spans="1:19" x14ac:dyDescent="0.3">
      <c r="A35">
        <v>21.617000000000001</v>
      </c>
      <c r="B35">
        <f t="shared" si="1"/>
        <v>15.417900000000001</v>
      </c>
      <c r="C35">
        <v>1001.724</v>
      </c>
      <c r="D35">
        <v>146.946</v>
      </c>
      <c r="E35">
        <v>165.70400000000001</v>
      </c>
      <c r="I35">
        <f t="shared" si="2"/>
        <v>0.90482077173753417</v>
      </c>
      <c r="J35">
        <f t="shared" si="3"/>
        <v>0.79460937897112716</v>
      </c>
      <c r="K35" s="4">
        <f t="shared" si="0"/>
        <v>0.95114766368873371</v>
      </c>
      <c r="L35" s="3">
        <f t="shared" si="4"/>
        <v>0.95129369106418771</v>
      </c>
      <c r="M35" s="3">
        <f t="shared" si="5"/>
        <v>0.83542167983620863</v>
      </c>
      <c r="R35">
        <f t="shared" si="6"/>
        <v>1.0316956634381018</v>
      </c>
      <c r="S35">
        <f t="shared" si="7"/>
        <v>0.85705483134670479</v>
      </c>
    </row>
    <row r="36" spans="1:19" x14ac:dyDescent="0.3">
      <c r="A36">
        <v>22.177299999999999</v>
      </c>
      <c r="B36">
        <f t="shared" si="1"/>
        <v>15.978199999999999</v>
      </c>
      <c r="C36">
        <v>1024.828</v>
      </c>
      <c r="D36">
        <v>148.375</v>
      </c>
      <c r="E36">
        <v>170.315</v>
      </c>
      <c r="I36">
        <f t="shared" si="2"/>
        <v>0.92568977269011588</v>
      </c>
      <c r="J36">
        <f t="shared" si="3"/>
        <v>0.80233668561812499</v>
      </c>
      <c r="K36" s="4">
        <f t="shared" si="0"/>
        <v>0.97761499023045118</v>
      </c>
      <c r="L36" s="3">
        <f t="shared" si="4"/>
        <v>0.94688582104485219</v>
      </c>
      <c r="M36" s="3">
        <f t="shared" si="5"/>
        <v>0.82070824776223184</v>
      </c>
      <c r="R36">
        <f t="shared" si="6"/>
        <v>1.0099689254385729</v>
      </c>
      <c r="S36">
        <f t="shared" si="7"/>
        <v>0.79831972937606865</v>
      </c>
    </row>
    <row r="37" spans="1:19" x14ac:dyDescent="0.3">
      <c r="A37">
        <v>22.7376</v>
      </c>
      <c r="B37">
        <f t="shared" si="1"/>
        <v>16.538499999999999</v>
      </c>
      <c r="C37">
        <v>1000.19</v>
      </c>
      <c r="D37">
        <v>144.036</v>
      </c>
      <c r="E37">
        <v>167.42599999999999</v>
      </c>
      <c r="I37">
        <f t="shared" si="2"/>
        <v>0.90343516545891311</v>
      </c>
      <c r="J37">
        <f t="shared" si="3"/>
        <v>0.77887357607206231</v>
      </c>
      <c r="K37" s="4">
        <f t="shared" si="0"/>
        <v>0.96103201335363009</v>
      </c>
      <c r="L37" s="3">
        <f t="shared" si="4"/>
        <v>0.94006771148681478</v>
      </c>
      <c r="M37" s="3">
        <f t="shared" si="5"/>
        <v>0.81045539092302943</v>
      </c>
      <c r="R37">
        <f t="shared" si="6"/>
        <v>0.97636192719004145</v>
      </c>
      <c r="S37">
        <f t="shared" si="7"/>
        <v>0.75739096517522764</v>
      </c>
    </row>
    <row r="38" spans="1:19" x14ac:dyDescent="0.3">
      <c r="A38">
        <v>23.282</v>
      </c>
      <c r="B38">
        <f t="shared" si="1"/>
        <v>17.082900000000002</v>
      </c>
      <c r="C38">
        <v>1013.879</v>
      </c>
      <c r="D38">
        <v>147.768</v>
      </c>
      <c r="E38">
        <v>168.24100000000001</v>
      </c>
      <c r="I38">
        <f t="shared" si="2"/>
        <v>0.9157999401316923</v>
      </c>
      <c r="J38">
        <f t="shared" si="3"/>
        <v>0.79905433772818257</v>
      </c>
      <c r="K38" s="4">
        <f t="shared" si="0"/>
        <v>0.96571014632511143</v>
      </c>
      <c r="L38" s="3">
        <f t="shared" si="4"/>
        <v>0.94831761229459366</v>
      </c>
      <c r="M38" s="3">
        <f t="shared" si="5"/>
        <v>0.82742667742374187</v>
      </c>
      <c r="R38">
        <f t="shared" si="6"/>
        <v>1.0170263371173864</v>
      </c>
      <c r="S38">
        <f t="shared" si="7"/>
        <v>0.82513928101210532</v>
      </c>
    </row>
    <row r="39" spans="1:19" x14ac:dyDescent="0.3">
      <c r="A39">
        <v>23.8264</v>
      </c>
      <c r="B39">
        <f t="shared" si="1"/>
        <v>17.627299999999998</v>
      </c>
      <c r="C39">
        <v>1008.586</v>
      </c>
      <c r="D39">
        <v>149.482</v>
      </c>
      <c r="E39">
        <v>172.03700000000001</v>
      </c>
      <c r="I39">
        <f t="shared" si="2"/>
        <v>0.911018966185968</v>
      </c>
      <c r="J39">
        <f t="shared" si="3"/>
        <v>0.8083227797106558</v>
      </c>
      <c r="K39" s="4">
        <f t="shared" si="0"/>
        <v>0.98749933989534766</v>
      </c>
      <c r="L39" s="3">
        <f t="shared" si="4"/>
        <v>0.92255146852302217</v>
      </c>
      <c r="M39" s="3">
        <f t="shared" si="5"/>
        <v>0.81855526080282703</v>
      </c>
      <c r="R39">
        <f t="shared" si="6"/>
        <v>0.89002298798788559</v>
      </c>
      <c r="S39">
        <f t="shared" si="7"/>
        <v>0.78972513989033277</v>
      </c>
    </row>
    <row r="40" spans="1:19" x14ac:dyDescent="0.3">
      <c r="A40">
        <v>24.370799999999999</v>
      </c>
      <c r="B40">
        <f t="shared" si="1"/>
        <v>18.171700000000001</v>
      </c>
      <c r="C40">
        <v>1023.931</v>
      </c>
      <c r="D40">
        <v>148.036</v>
      </c>
      <c r="E40">
        <v>170.29599999999999</v>
      </c>
      <c r="I40">
        <f t="shared" si="2"/>
        <v>0.92487954528990535</v>
      </c>
      <c r="J40">
        <f t="shared" si="3"/>
        <v>0.80050354569277005</v>
      </c>
      <c r="K40" s="4">
        <f t="shared" si="0"/>
        <v>0.97750592946179082</v>
      </c>
      <c r="L40" s="3">
        <f t="shared" si="4"/>
        <v>0.94616259340660858</v>
      </c>
      <c r="M40" s="3">
        <f t="shared" si="5"/>
        <v>0.81892449095784281</v>
      </c>
      <c r="R40">
        <f t="shared" si="6"/>
        <v>1.0064040795285962</v>
      </c>
      <c r="S40">
        <f t="shared" si="7"/>
        <v>0.79119908361035995</v>
      </c>
    </row>
    <row r="41" spans="1:19" x14ac:dyDescent="0.3">
      <c r="A41">
        <v>24.931100000000001</v>
      </c>
      <c r="B41">
        <f t="shared" si="1"/>
        <v>18.731999999999999</v>
      </c>
      <c r="C41">
        <v>1006.931</v>
      </c>
      <c r="D41">
        <v>152.054</v>
      </c>
      <c r="E41">
        <v>169.75899999999999</v>
      </c>
      <c r="I41">
        <f t="shared" si="2"/>
        <v>0.90952406501835537</v>
      </c>
      <c r="J41">
        <f t="shared" si="3"/>
        <v>0.82223085017677089</v>
      </c>
      <c r="K41" s="4">
        <f t="shared" si="0"/>
        <v>0.97442352773702345</v>
      </c>
      <c r="L41" s="3">
        <f t="shared" si="4"/>
        <v>0.93339706927090627</v>
      </c>
      <c r="M41" s="3">
        <f t="shared" si="5"/>
        <v>0.84381259972888689</v>
      </c>
      <c r="R41">
        <f t="shared" si="6"/>
        <v>0.94348180706901075</v>
      </c>
      <c r="S41">
        <f t="shared" si="7"/>
        <v>0.89055085953686253</v>
      </c>
    </row>
    <row r="42" spans="1:19" x14ac:dyDescent="0.3">
      <c r="A42">
        <v>25.491299999999999</v>
      </c>
      <c r="B42">
        <f t="shared" si="1"/>
        <v>19.292200000000001</v>
      </c>
      <c r="C42">
        <v>1013.586</v>
      </c>
      <c r="D42">
        <v>150.571</v>
      </c>
      <c r="E42">
        <v>168.40700000000001</v>
      </c>
      <c r="I42">
        <f t="shared" si="2"/>
        <v>0.9155352839128944</v>
      </c>
      <c r="J42">
        <f t="shared" si="3"/>
        <v>0.81421153893989351</v>
      </c>
      <c r="K42" s="4">
        <f t="shared" si="0"/>
        <v>0.96666299304077508</v>
      </c>
      <c r="L42" s="3">
        <f t="shared" si="4"/>
        <v>0.9471090654178751</v>
      </c>
      <c r="M42" s="3">
        <f t="shared" si="5"/>
        <v>0.84229099986405398</v>
      </c>
      <c r="R42">
        <f t="shared" si="6"/>
        <v>1.011069314511132</v>
      </c>
      <c r="S42">
        <f t="shared" si="7"/>
        <v>0.88447672790189646</v>
      </c>
    </row>
    <row r="43" spans="1:19" x14ac:dyDescent="0.3">
      <c r="A43">
        <v>26.035699999999999</v>
      </c>
      <c r="B43">
        <f t="shared" si="1"/>
        <v>19.836599999999997</v>
      </c>
      <c r="C43">
        <v>1001</v>
      </c>
      <c r="D43">
        <v>148.821</v>
      </c>
      <c r="E43">
        <v>168.5</v>
      </c>
      <c r="I43">
        <f t="shared" si="2"/>
        <v>0.90416680893067514</v>
      </c>
      <c r="J43">
        <f t="shared" si="3"/>
        <v>0.80474842723083384</v>
      </c>
      <c r="K43" s="4">
        <f t="shared" si="0"/>
        <v>0.96719681680316483</v>
      </c>
      <c r="L43" s="3">
        <f t="shared" si="4"/>
        <v>0.93483228358751203</v>
      </c>
      <c r="M43" s="3">
        <f t="shared" si="5"/>
        <v>0.83204205519486218</v>
      </c>
      <c r="R43">
        <f t="shared" si="6"/>
        <v>0.95055609131361907</v>
      </c>
      <c r="S43">
        <f t="shared" si="7"/>
        <v>0.84356358083941874</v>
      </c>
    </row>
    <row r="44" spans="1:19" x14ac:dyDescent="0.3">
      <c r="A44">
        <v>26.596</v>
      </c>
      <c r="B44">
        <f t="shared" si="1"/>
        <v>20.396900000000002</v>
      </c>
      <c r="C44">
        <v>1012.034</v>
      </c>
      <c r="D44">
        <v>145.839</v>
      </c>
      <c r="E44">
        <v>164.57400000000001</v>
      </c>
      <c r="I44">
        <f t="shared" si="2"/>
        <v>0.91413341889045652</v>
      </c>
      <c r="J44">
        <f t="shared" si="3"/>
        <v>0.78862328487859634</v>
      </c>
      <c r="K44" s="4">
        <f t="shared" si="0"/>
        <v>0.94466141797367398</v>
      </c>
      <c r="L44" s="3">
        <f t="shared" si="4"/>
        <v>0.96768366051330756</v>
      </c>
      <c r="M44" s="3">
        <f t="shared" si="5"/>
        <v>0.83482110084501604</v>
      </c>
      <c r="R44">
        <f t="shared" si="6"/>
        <v>1.1124831119062382</v>
      </c>
      <c r="S44">
        <f t="shared" si="7"/>
        <v>0.85465735752062799</v>
      </c>
    </row>
    <row r="45" spans="1:19" x14ac:dyDescent="0.3">
      <c r="A45">
        <v>27.156300000000002</v>
      </c>
      <c r="B45">
        <f t="shared" si="1"/>
        <v>20.9572</v>
      </c>
      <c r="C45">
        <v>1008.638</v>
      </c>
      <c r="D45">
        <v>148.714</v>
      </c>
      <c r="E45">
        <v>169.79599999999999</v>
      </c>
      <c r="I45">
        <f t="shared" si="2"/>
        <v>0.91106593589032803</v>
      </c>
      <c r="J45">
        <f t="shared" si="3"/>
        <v>0.80416982554347993</v>
      </c>
      <c r="K45" s="4">
        <f t="shared" si="0"/>
        <v>0.97463590923388821</v>
      </c>
      <c r="L45" s="3">
        <f t="shared" si="4"/>
        <v>0.93477567085176527</v>
      </c>
      <c r="M45" s="3">
        <f t="shared" si="5"/>
        <v>0.82509767793759725</v>
      </c>
      <c r="R45">
        <f t="shared" si="6"/>
        <v>0.95027704268659263</v>
      </c>
      <c r="S45">
        <f t="shared" si="7"/>
        <v>0.81584206051178398</v>
      </c>
    </row>
    <row r="46" spans="1:19" x14ac:dyDescent="0.3">
      <c r="A46">
        <v>27.684799999999999</v>
      </c>
      <c r="B46">
        <f t="shared" si="1"/>
        <v>21.485700000000001</v>
      </c>
      <c r="C46">
        <v>1005.69</v>
      </c>
      <c r="D46">
        <v>150.589</v>
      </c>
      <c r="E46">
        <v>164.148</v>
      </c>
      <c r="I46">
        <f t="shared" si="2"/>
        <v>0.90840311495853221</v>
      </c>
      <c r="J46">
        <f t="shared" si="3"/>
        <v>0.81430887380318662</v>
      </c>
      <c r="K46" s="4">
        <f t="shared" si="0"/>
        <v>0.94221616073950087</v>
      </c>
      <c r="L46" s="3">
        <f t="shared" si="4"/>
        <v>0.96411328186683787</v>
      </c>
      <c r="M46" s="3">
        <f t="shared" si="5"/>
        <v>0.86424846838126201</v>
      </c>
      <c r="R46">
        <f t="shared" si="6"/>
        <v>1.0948844347513582</v>
      </c>
      <c r="S46">
        <f t="shared" si="7"/>
        <v>0.97212957095652641</v>
      </c>
    </row>
    <row r="47" spans="1:19" x14ac:dyDescent="0.3">
      <c r="A47">
        <v>28.229199999999999</v>
      </c>
      <c r="B47">
        <f t="shared" si="1"/>
        <v>22.030099999999997</v>
      </c>
      <c r="C47">
        <v>1013.552</v>
      </c>
      <c r="D47">
        <v>150.161</v>
      </c>
      <c r="E47">
        <v>164.352</v>
      </c>
      <c r="I47">
        <f t="shared" si="2"/>
        <v>0.91550457295235133</v>
      </c>
      <c r="J47">
        <f t="shared" si="3"/>
        <v>0.81199446705377099</v>
      </c>
      <c r="K47" s="4">
        <f t="shared" si="0"/>
        <v>0.94338712899248522</v>
      </c>
      <c r="L47" s="3">
        <f t="shared" si="4"/>
        <v>0.97044420558301259</v>
      </c>
      <c r="M47" s="3">
        <f t="shared" si="5"/>
        <v>0.86072243525408443</v>
      </c>
      <c r="R47">
        <f t="shared" si="6"/>
        <v>1.1260900556687075</v>
      </c>
      <c r="S47">
        <f t="shared" si="7"/>
        <v>0.9580538669171601</v>
      </c>
    </row>
    <row r="48" spans="1:19" x14ac:dyDescent="0.3">
      <c r="A48">
        <v>28.773599999999998</v>
      </c>
      <c r="B48">
        <f t="shared" si="1"/>
        <v>22.5745</v>
      </c>
      <c r="C48">
        <v>1022.966</v>
      </c>
      <c r="D48">
        <v>153.964</v>
      </c>
      <c r="E48">
        <v>167.74100000000001</v>
      </c>
      <c r="I48">
        <f t="shared" si="2"/>
        <v>0.92400789596860844</v>
      </c>
      <c r="J48">
        <f t="shared" si="3"/>
        <v>0.83255916067065872</v>
      </c>
      <c r="K48" s="4">
        <f t="shared" si="0"/>
        <v>0.96284012609720881</v>
      </c>
      <c r="L48" s="3">
        <f t="shared" si="4"/>
        <v>0.95966907789146305</v>
      </c>
      <c r="M48" s="3">
        <f t="shared" si="5"/>
        <v>0.864690968006669</v>
      </c>
      <c r="R48">
        <f t="shared" si="6"/>
        <v>1.0729786038248852</v>
      </c>
      <c r="S48">
        <f t="shared" si="7"/>
        <v>0.97389600182660296</v>
      </c>
    </row>
    <row r="49" spans="1:19" x14ac:dyDescent="0.3">
      <c r="A49">
        <v>29.318000000000001</v>
      </c>
      <c r="B49">
        <f t="shared" si="1"/>
        <v>23.118900000000004</v>
      </c>
      <c r="C49">
        <v>1018.19</v>
      </c>
      <c r="D49">
        <v>150</v>
      </c>
      <c r="E49">
        <v>170.03700000000001</v>
      </c>
      <c r="I49">
        <f t="shared" si="2"/>
        <v>0.91969390927584838</v>
      </c>
      <c r="J49">
        <f t="shared" si="3"/>
        <v>0.81112386077653742</v>
      </c>
      <c r="K49" s="4">
        <f t="shared" si="0"/>
        <v>0.97601925898373743</v>
      </c>
      <c r="L49" s="3">
        <f t="shared" si="4"/>
        <v>0.94229073946088238</v>
      </c>
      <c r="M49" s="3">
        <f t="shared" si="5"/>
        <v>0.83105313067398445</v>
      </c>
      <c r="R49">
        <f t="shared" si="6"/>
        <v>0.98731940691297382</v>
      </c>
      <c r="S49">
        <f t="shared" si="7"/>
        <v>0.83961585591140908</v>
      </c>
    </row>
    <row r="50" spans="1:19" x14ac:dyDescent="0.3">
      <c r="A50">
        <v>29.862400000000001</v>
      </c>
      <c r="B50">
        <f t="shared" si="1"/>
        <v>23.6633</v>
      </c>
      <c r="C50">
        <v>1009.741</v>
      </c>
      <c r="D50">
        <v>152.821</v>
      </c>
      <c r="E50">
        <v>169.46299999999999</v>
      </c>
      <c r="I50">
        <f t="shared" si="2"/>
        <v>0.91206223558088795</v>
      </c>
      <c r="J50">
        <f t="shared" si="3"/>
        <v>0.82637839685154157</v>
      </c>
      <c r="K50" s="4">
        <f t="shared" si="0"/>
        <v>0.97272447576210519</v>
      </c>
      <c r="L50" s="3">
        <f t="shared" si="4"/>
        <v>0.93763677002813162</v>
      </c>
      <c r="M50" s="3">
        <f t="shared" si="5"/>
        <v>0.84955032739779146</v>
      </c>
      <c r="R50">
        <f t="shared" si="6"/>
        <v>0.96437962554926759</v>
      </c>
      <c r="S50">
        <f t="shared" si="7"/>
        <v>0.91345551006424708</v>
      </c>
    </row>
    <row r="51" spans="1:19" x14ac:dyDescent="0.3">
      <c r="A51">
        <v>30.4068</v>
      </c>
      <c r="B51">
        <f t="shared" si="1"/>
        <v>24.207700000000003</v>
      </c>
      <c r="C51">
        <v>1017.828</v>
      </c>
      <c r="D51">
        <v>153.179</v>
      </c>
      <c r="E51">
        <v>170.55600000000001</v>
      </c>
      <c r="I51">
        <f t="shared" si="2"/>
        <v>0.9193669278724188</v>
      </c>
      <c r="J51">
        <f t="shared" si="3"/>
        <v>0.82831427913259492</v>
      </c>
      <c r="K51" s="4">
        <f t="shared" si="0"/>
        <v>0.97899833998030028</v>
      </c>
      <c r="L51" s="3">
        <f t="shared" si="4"/>
        <v>0.93908936341089055</v>
      </c>
      <c r="M51" s="3">
        <f t="shared" si="5"/>
        <v>0.84608343579955669</v>
      </c>
      <c r="R51">
        <f t="shared" si="6"/>
        <v>0.97153957257778967</v>
      </c>
      <c r="S51">
        <f t="shared" si="7"/>
        <v>0.89961589531497244</v>
      </c>
    </row>
    <row r="52" spans="1:19" x14ac:dyDescent="0.3">
      <c r="A52">
        <v>30.9512</v>
      </c>
      <c r="B52">
        <f t="shared" si="1"/>
        <v>24.752099999999999</v>
      </c>
      <c r="C52">
        <v>1001.81</v>
      </c>
      <c r="D52">
        <v>152.696</v>
      </c>
      <c r="E52">
        <v>164.48099999999999</v>
      </c>
      <c r="I52">
        <f t="shared" si="2"/>
        <v>0.90489845240243727</v>
      </c>
      <c r="J52">
        <f t="shared" si="3"/>
        <v>0.82570246030089445</v>
      </c>
      <c r="K52" s="4">
        <f t="shared" si="0"/>
        <v>0.944127594211284</v>
      </c>
      <c r="L52" s="3">
        <f t="shared" si="4"/>
        <v>0.95844932184021336</v>
      </c>
      <c r="M52" s="3">
        <f t="shared" si="5"/>
        <v>0.87456660028105537</v>
      </c>
      <c r="R52">
        <f t="shared" si="6"/>
        <v>1.0669663303157773</v>
      </c>
      <c r="S52">
        <f t="shared" si="7"/>
        <v>1.013318909122753</v>
      </c>
    </row>
    <row r="53" spans="1:19" x14ac:dyDescent="0.3">
      <c r="A53">
        <v>31.511500000000002</v>
      </c>
      <c r="B53">
        <f t="shared" si="1"/>
        <v>25.312400000000004</v>
      </c>
      <c r="C53">
        <v>1003.879</v>
      </c>
      <c r="D53">
        <v>153.036</v>
      </c>
      <c r="E53">
        <v>167.648</v>
      </c>
      <c r="I53">
        <f t="shared" si="2"/>
        <v>0.9067673046778395</v>
      </c>
      <c r="J53">
        <f t="shared" si="3"/>
        <v>0.82754100771865458</v>
      </c>
      <c r="K53" s="4">
        <f t="shared" si="0"/>
        <v>0.96230630233481884</v>
      </c>
      <c r="L53" s="3">
        <f t="shared" si="4"/>
        <v>0.94228553058186726</v>
      </c>
      <c r="M53" s="3">
        <f t="shared" si="5"/>
        <v>0.85995592641429586</v>
      </c>
      <c r="R53">
        <f t="shared" si="6"/>
        <v>0.98729373193863557</v>
      </c>
      <c r="S53">
        <f t="shared" si="7"/>
        <v>0.95499401149797458</v>
      </c>
    </row>
    <row r="54" spans="1:19" x14ac:dyDescent="0.3">
      <c r="A54">
        <v>32.055900000000001</v>
      </c>
      <c r="B54">
        <f t="shared" si="1"/>
        <v>25.8568</v>
      </c>
      <c r="C54">
        <v>1024.931</v>
      </c>
      <c r="D54">
        <v>150.482</v>
      </c>
      <c r="E54">
        <v>165.59299999999999</v>
      </c>
      <c r="I54">
        <f t="shared" si="2"/>
        <v>0.92578280883529063</v>
      </c>
      <c r="J54">
        <f t="shared" si="3"/>
        <v>0.81373027211583271</v>
      </c>
      <c r="K54" s="4">
        <f t="shared" si="0"/>
        <v>0.95051051919813923</v>
      </c>
      <c r="L54" s="3">
        <f t="shared" si="4"/>
        <v>0.97398481146351845</v>
      </c>
      <c r="M54" s="3">
        <f t="shared" si="5"/>
        <v>0.85609812377700378</v>
      </c>
      <c r="R54">
        <f t="shared" si="6"/>
        <v>1.1435419805185556</v>
      </c>
      <c r="S54">
        <f t="shared" si="7"/>
        <v>0.93959390429357192</v>
      </c>
    </row>
    <row r="55" spans="1:19" x14ac:dyDescent="0.3">
      <c r="A55">
        <v>32.616199999999999</v>
      </c>
      <c r="B55">
        <f t="shared" si="1"/>
        <v>26.417099999999998</v>
      </c>
      <c r="C55">
        <v>1009.776</v>
      </c>
      <c r="D55">
        <v>146.696</v>
      </c>
      <c r="E55">
        <v>163.27799999999999</v>
      </c>
      <c r="I55">
        <f t="shared" si="2"/>
        <v>0.91209384980497643</v>
      </c>
      <c r="J55">
        <f t="shared" si="3"/>
        <v>0.7932575058698329</v>
      </c>
      <c r="K55" s="4">
        <f t="shared" si="0"/>
        <v>0.93722232554295037</v>
      </c>
      <c r="L55" s="3">
        <f t="shared" si="4"/>
        <v>0.9731883513088353</v>
      </c>
      <c r="M55" s="3">
        <f t="shared" si="5"/>
        <v>0.84639202913810663</v>
      </c>
      <c r="R55">
        <f t="shared" si="6"/>
        <v>1.13961616577539</v>
      </c>
      <c r="S55">
        <f t="shared" si="7"/>
        <v>0.90084778065049842</v>
      </c>
    </row>
    <row r="56" spans="1:19" x14ac:dyDescent="0.3">
      <c r="A56">
        <v>33.160600000000002</v>
      </c>
      <c r="B56">
        <f t="shared" si="1"/>
        <v>26.961500000000001</v>
      </c>
      <c r="C56">
        <v>1012.448</v>
      </c>
      <c r="D56">
        <v>151.804</v>
      </c>
      <c r="E56">
        <v>165.315</v>
      </c>
      <c r="I56">
        <f t="shared" si="2"/>
        <v>0.914507369998246</v>
      </c>
      <c r="J56">
        <f t="shared" si="3"/>
        <v>0.82087897707547663</v>
      </c>
      <c r="K56" s="4">
        <f t="shared" si="0"/>
        <v>0.94891478795142548</v>
      </c>
      <c r="L56" s="3">
        <f t="shared" si="4"/>
        <v>0.96374024476163944</v>
      </c>
      <c r="M56" s="3">
        <f t="shared" si="5"/>
        <v>0.86507132937367293</v>
      </c>
      <c r="R56">
        <f t="shared" si="6"/>
        <v>1.0930457055208691</v>
      </c>
      <c r="S56">
        <f t="shared" si="7"/>
        <v>0.97541438064973152</v>
      </c>
    </row>
    <row r="57" spans="1:19" x14ac:dyDescent="0.3">
      <c r="A57">
        <v>33.704999999999998</v>
      </c>
      <c r="B57">
        <f t="shared" si="1"/>
        <v>27.505899999999997</v>
      </c>
      <c r="C57">
        <v>1018.19</v>
      </c>
      <c r="D57">
        <v>152.143</v>
      </c>
      <c r="E57">
        <v>166.05600000000001</v>
      </c>
      <c r="I57">
        <f t="shared" si="2"/>
        <v>0.91969390927584838</v>
      </c>
      <c r="J57">
        <f t="shared" si="3"/>
        <v>0.82271211700083158</v>
      </c>
      <c r="K57" s="4">
        <f t="shared" si="0"/>
        <v>0.9531681579291772</v>
      </c>
      <c r="L57" s="3">
        <f t="shared" si="4"/>
        <v>0.96488106702383569</v>
      </c>
      <c r="M57" s="3">
        <f t="shared" si="5"/>
        <v>0.86313428554750482</v>
      </c>
      <c r="R57">
        <f t="shared" si="6"/>
        <v>1.0986689081756753</v>
      </c>
      <c r="S57">
        <f t="shared" si="7"/>
        <v>0.96768182266600988</v>
      </c>
    </row>
    <row r="58" spans="1:19" x14ac:dyDescent="0.3">
      <c r="A58">
        <v>34.249400000000001</v>
      </c>
      <c r="B58">
        <f t="shared" si="1"/>
        <v>28.0503</v>
      </c>
      <c r="C58">
        <v>1001.466</v>
      </c>
      <c r="D58">
        <v>155.518</v>
      </c>
      <c r="E58">
        <v>164.333</v>
      </c>
      <c r="I58">
        <f t="shared" si="2"/>
        <v>0.90458772974282475</v>
      </c>
      <c r="J58">
        <f t="shared" si="3"/>
        <v>0.84096240386830368</v>
      </c>
      <c r="K58" s="4">
        <f t="shared" si="0"/>
        <v>0.94327806822382487</v>
      </c>
      <c r="L58" s="3">
        <f t="shared" si="4"/>
        <v>0.95898310393895481</v>
      </c>
      <c r="M58" s="3">
        <f t="shared" si="5"/>
        <v>0.89153181039374774</v>
      </c>
      <c r="R58">
        <f t="shared" si="6"/>
        <v>1.0695973842618602</v>
      </c>
      <c r="S58">
        <f t="shared" si="7"/>
        <v>1.0810429683981311</v>
      </c>
    </row>
    <row r="59" spans="1:19" x14ac:dyDescent="0.3">
      <c r="A59">
        <v>34.793799999999997</v>
      </c>
      <c r="B59">
        <f t="shared" si="1"/>
        <v>28.594699999999996</v>
      </c>
      <c r="C59">
        <v>995.48299999999995</v>
      </c>
      <c r="D59">
        <v>153.839</v>
      </c>
      <c r="E59">
        <v>166.44399999999999</v>
      </c>
      <c r="I59">
        <f t="shared" si="2"/>
        <v>0.8991835039507845</v>
      </c>
      <c r="J59">
        <f t="shared" si="3"/>
        <v>0.83188322412001159</v>
      </c>
      <c r="K59" s="4">
        <f t="shared" si="0"/>
        <v>0.95539529362602937</v>
      </c>
      <c r="L59" s="3">
        <f t="shared" si="4"/>
        <v>0.94116384071570702</v>
      </c>
      <c r="M59" s="3">
        <f t="shared" si="5"/>
        <v>0.87072150100588197</v>
      </c>
      <c r="R59">
        <f t="shared" si="6"/>
        <v>0.98176483436863327</v>
      </c>
      <c r="S59">
        <f t="shared" si="7"/>
        <v>0.99796951294659042</v>
      </c>
    </row>
    <row r="60" spans="1:19" x14ac:dyDescent="0.3">
      <c r="A60">
        <v>35.338200000000001</v>
      </c>
      <c r="B60">
        <f t="shared" si="1"/>
        <v>29.139099999999999</v>
      </c>
      <c r="C60">
        <v>1015.328</v>
      </c>
      <c r="D60">
        <v>153.929</v>
      </c>
      <c r="E60">
        <v>166.815</v>
      </c>
      <c r="I60">
        <f t="shared" si="2"/>
        <v>0.91710876900895555</v>
      </c>
      <c r="J60">
        <f t="shared" si="3"/>
        <v>0.83236989843647757</v>
      </c>
      <c r="K60" s="4">
        <f t="shared" si="0"/>
        <v>0.95752484863513321</v>
      </c>
      <c r="L60" s="3">
        <f t="shared" si="4"/>
        <v>0.95779109055625322</v>
      </c>
      <c r="M60" s="3">
        <f t="shared" si="5"/>
        <v>0.86929326129023921</v>
      </c>
      <c r="R60">
        <f t="shared" si="6"/>
        <v>1.0637218565479569</v>
      </c>
      <c r="S60">
        <f t="shared" si="7"/>
        <v>0.99226806919675581</v>
      </c>
    </row>
    <row r="61" spans="1:19" x14ac:dyDescent="0.3">
      <c r="A61">
        <v>35.898499999999999</v>
      </c>
      <c r="B61">
        <f t="shared" si="1"/>
        <v>29.699399999999997</v>
      </c>
      <c r="C61">
        <v>1003.828</v>
      </c>
      <c r="D61">
        <v>154.429</v>
      </c>
      <c r="E61">
        <v>168.22200000000001</v>
      </c>
      <c r="I61">
        <f t="shared" si="2"/>
        <v>0.90672123823702477</v>
      </c>
      <c r="J61">
        <f t="shared" si="3"/>
        <v>0.83507364463906608</v>
      </c>
      <c r="K61" s="4">
        <f t="shared" si="0"/>
        <v>0.96560108555645108</v>
      </c>
      <c r="L61" s="3">
        <f t="shared" si="4"/>
        <v>0.93902259618370731</v>
      </c>
      <c r="M61" s="3">
        <f t="shared" si="5"/>
        <v>0.8648226033816383</v>
      </c>
      <c r="R61">
        <f t="shared" si="6"/>
        <v>0.97121047166383312</v>
      </c>
      <c r="S61">
        <f t="shared" si="7"/>
        <v>0.97442148202271839</v>
      </c>
    </row>
    <row r="62" spans="1:19" x14ac:dyDescent="0.3">
      <c r="A62">
        <v>36.442900000000002</v>
      </c>
      <c r="B62">
        <f t="shared" si="1"/>
        <v>30.2438</v>
      </c>
      <c r="C62">
        <v>1007.655</v>
      </c>
      <c r="D62">
        <v>156.268</v>
      </c>
      <c r="E62">
        <v>170.37</v>
      </c>
      <c r="I62">
        <f t="shared" si="2"/>
        <v>0.91017802782521429</v>
      </c>
      <c r="J62">
        <f t="shared" si="3"/>
        <v>0.84501802317218633</v>
      </c>
      <c r="K62" s="4">
        <f t="shared" si="0"/>
        <v>0.97793069245552044</v>
      </c>
      <c r="L62" s="3">
        <f t="shared" si="4"/>
        <v>0.93071833704269613</v>
      </c>
      <c r="M62" s="3">
        <f t="shared" si="5"/>
        <v>0.86408784353664259</v>
      </c>
      <c r="R62">
        <f t="shared" si="6"/>
        <v>0.93027812523676168</v>
      </c>
      <c r="S62">
        <f t="shared" si="7"/>
        <v>0.97148836660798921</v>
      </c>
    </row>
    <row r="63" spans="1:19" x14ac:dyDescent="0.3">
      <c r="A63">
        <v>37.003100000000003</v>
      </c>
      <c r="B63">
        <f t="shared" si="1"/>
        <v>30.804000000000002</v>
      </c>
      <c r="C63">
        <v>1008.552</v>
      </c>
      <c r="D63">
        <v>160.089</v>
      </c>
      <c r="E63">
        <v>171.648</v>
      </c>
      <c r="I63">
        <f t="shared" si="2"/>
        <v>0.91098825522542493</v>
      </c>
      <c r="J63">
        <f t="shared" si="3"/>
        <v>0.86568005165236739</v>
      </c>
      <c r="K63" s="4">
        <f t="shared" si="0"/>
        <v>0.98526646415803942</v>
      </c>
      <c r="L63" s="3">
        <f t="shared" si="4"/>
        <v>0.92461104519974802</v>
      </c>
      <c r="M63" s="3">
        <f t="shared" si="5"/>
        <v>0.87862530913617898</v>
      </c>
      <c r="R63">
        <f t="shared" si="6"/>
        <v>0.90017480341095213</v>
      </c>
      <c r="S63">
        <f t="shared" si="7"/>
        <v>1.0295210214019432</v>
      </c>
    </row>
    <row r="64" spans="1:19" x14ac:dyDescent="0.3">
      <c r="A64">
        <v>37.547499999999999</v>
      </c>
      <c r="B64">
        <f t="shared" si="1"/>
        <v>31.348399999999998</v>
      </c>
      <c r="C64">
        <v>1027.914</v>
      </c>
      <c r="D64">
        <v>154.5</v>
      </c>
      <c r="E64">
        <v>171.25899999999999</v>
      </c>
      <c r="I64">
        <f t="shared" si="2"/>
        <v>0.92847724399117482</v>
      </c>
      <c r="J64">
        <f t="shared" si="3"/>
        <v>0.83545757659983355</v>
      </c>
      <c r="K64" s="4">
        <f t="shared" si="0"/>
        <v>0.98303358842073107</v>
      </c>
      <c r="L64" s="3">
        <f t="shared" si="4"/>
        <v>0.94450205458675884</v>
      </c>
      <c r="M64" s="3">
        <f t="shared" si="5"/>
        <v>0.84987693853067403</v>
      </c>
      <c r="R64">
        <f t="shared" si="6"/>
        <v>0.9982191530859692</v>
      </c>
      <c r="S64">
        <f t="shared" si="7"/>
        <v>0.91475932130951954</v>
      </c>
    </row>
    <row r="65" spans="1:19" x14ac:dyDescent="0.3">
      <c r="A65">
        <v>38.091900000000003</v>
      </c>
      <c r="B65">
        <f t="shared" si="1"/>
        <v>31.892800000000001</v>
      </c>
      <c r="C65">
        <v>1005.414</v>
      </c>
      <c r="D65">
        <v>162.125</v>
      </c>
      <c r="E65">
        <v>170.5</v>
      </c>
      <c r="I65">
        <f t="shared" si="2"/>
        <v>0.90815381422000585</v>
      </c>
      <c r="J65">
        <f t="shared" si="3"/>
        <v>0.87668970618930753</v>
      </c>
      <c r="K65" s="4">
        <f t="shared" si="0"/>
        <v>0.97867689771477506</v>
      </c>
      <c r="L65" s="3">
        <f t="shared" si="4"/>
        <v>0.92794038189780337</v>
      </c>
      <c r="M65" s="3">
        <f t="shared" si="5"/>
        <v>0.89579074384650426</v>
      </c>
      <c r="R65">
        <f t="shared" si="6"/>
        <v>0.91658536584440842</v>
      </c>
      <c r="S65">
        <f t="shared" si="7"/>
        <v>1.0980443647668436</v>
      </c>
    </row>
    <row r="66" spans="1:19" x14ac:dyDescent="0.3">
      <c r="A66">
        <v>38.636299999999999</v>
      </c>
      <c r="B66">
        <f t="shared" si="1"/>
        <v>32.437199999999997</v>
      </c>
      <c r="C66">
        <v>1025.0519999999999</v>
      </c>
      <c r="D66">
        <v>158.554</v>
      </c>
      <c r="E66">
        <v>171.57400000000001</v>
      </c>
      <c r="I66">
        <f t="shared" si="2"/>
        <v>0.9258921037242821</v>
      </c>
      <c r="J66">
        <f t="shared" si="3"/>
        <v>0.85737955081042083</v>
      </c>
      <c r="K66" s="4">
        <f t="shared" ref="K66" si="8">E66/$H$2</f>
        <v>0.98484170116430991</v>
      </c>
      <c r="L66" s="3">
        <f t="shared" si="4"/>
        <v>0.94014307337886305</v>
      </c>
      <c r="M66" s="3">
        <f t="shared" si="5"/>
        <v>0.87057600200803897</v>
      </c>
      <c r="R66">
        <f t="shared" si="6"/>
        <v>0.97673339188307895</v>
      </c>
      <c r="S66">
        <f t="shared" si="7"/>
        <v>0.99738869003376041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6054-7BEC-4278-950E-A254C893459F}">
  <dimension ref="A1:S151"/>
  <sheetViews>
    <sheetView topLeftCell="C1" workbookViewId="0">
      <selection sqref="A1:E1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A2-$A$7</f>
        <v>-6.2149999999999999</v>
      </c>
      <c r="C2">
        <v>965.13800000000003</v>
      </c>
      <c r="D2">
        <v>144.429</v>
      </c>
      <c r="E2">
        <v>138.203</v>
      </c>
      <c r="F2">
        <f>AVERAGE(C2:C6)</f>
        <v>948.97239999999999</v>
      </c>
      <c r="G2">
        <f>AVERAGE(D2:D6)</f>
        <v>142.11800000000002</v>
      </c>
      <c r="H2">
        <f>AVERAGE(E2:E6)</f>
        <v>138.34700000000001</v>
      </c>
      <c r="I2">
        <f>C2/$F$2</f>
        <v>1.0170348473780693</v>
      </c>
      <c r="J2">
        <f>D2/$G$2</f>
        <v>1.0162611351130748</v>
      </c>
      <c r="K2" s="4">
        <f t="shared" ref="K2:K65" si="0">E2/$H$2</f>
        <v>0.99895913897663113</v>
      </c>
      <c r="L2" s="3">
        <f>I2/K2</f>
        <v>1.0180945423052594</v>
      </c>
      <c r="M2" s="3">
        <f>J2/K2</f>
        <v>1.0173200238742182</v>
      </c>
      <c r="R2">
        <f>(L2-$L$7)/($N$7-$L$7)</f>
        <v>1.349527857529804</v>
      </c>
      <c r="S2">
        <f>(M2-$M$7)/($O$7-$M$7)</f>
        <v>1.6401745317996144</v>
      </c>
    </row>
    <row r="3" spans="1:19" x14ac:dyDescent="0.3">
      <c r="A3">
        <v>0.5444</v>
      </c>
      <c r="B3">
        <f t="shared" ref="B3:B66" si="1">A3-$A$7</f>
        <v>-5.6706000000000003</v>
      </c>
      <c r="C3">
        <v>969.17200000000003</v>
      </c>
      <c r="D3">
        <v>139.536</v>
      </c>
      <c r="E3">
        <v>137.09399999999999</v>
      </c>
      <c r="I3">
        <f t="shared" ref="I3:I66" si="2">C3/$F$2</f>
        <v>1.0212857613140278</v>
      </c>
      <c r="J3">
        <f t="shared" ref="J3:J66" si="3">D3/$G$2</f>
        <v>0.98183199876159233</v>
      </c>
      <c r="K3" s="4">
        <f t="shared" si="0"/>
        <v>0.99094306345638128</v>
      </c>
      <c r="L3" s="3">
        <f t="shared" ref="L3:L66" si="4">I3/K3</f>
        <v>1.0306200214488732</v>
      </c>
      <c r="M3" s="3">
        <f t="shared" ref="M3:M66" si="5">J3/K3</f>
        <v>0.99080566277641646</v>
      </c>
      <c r="R3">
        <f t="shared" ref="R3:R66" si="6">(L3-$L$7)/($N$7-$L$7)</f>
        <v>1.3907111832036996</v>
      </c>
      <c r="S3">
        <f t="shared" ref="S3:S66" si="7">(M3-$M$7)/($O$7-$M$7)</f>
        <v>1.5125833358811067</v>
      </c>
    </row>
    <row r="4" spans="1:19" x14ac:dyDescent="0.3">
      <c r="A4">
        <v>1.0888</v>
      </c>
      <c r="B4">
        <f t="shared" si="1"/>
        <v>-5.1261999999999999</v>
      </c>
      <c r="C4">
        <v>941.74099999999999</v>
      </c>
      <c r="D4">
        <v>143.518</v>
      </c>
      <c r="E4">
        <v>139.46899999999999</v>
      </c>
      <c r="I4">
        <f t="shared" si="2"/>
        <v>0.99237975730379513</v>
      </c>
      <c r="J4">
        <f t="shared" si="3"/>
        <v>1.0098509689131565</v>
      </c>
      <c r="K4" s="4">
        <f t="shared" si="0"/>
        <v>1.008110042140415</v>
      </c>
      <c r="L4" s="3">
        <f t="shared" si="4"/>
        <v>0.98439626213501319</v>
      </c>
      <c r="M4" s="3">
        <f t="shared" si="5"/>
        <v>1.0017269213676765</v>
      </c>
      <c r="R4">
        <f t="shared" si="6"/>
        <v>1.2387291223286028</v>
      </c>
      <c r="S4">
        <f t="shared" si="7"/>
        <v>1.5651381170223229</v>
      </c>
    </row>
    <row r="5" spans="1:19" x14ac:dyDescent="0.3">
      <c r="A5">
        <v>1.6332</v>
      </c>
      <c r="B5">
        <f t="shared" si="1"/>
        <v>-4.5817999999999994</v>
      </c>
      <c r="C5">
        <v>942.82799999999997</v>
      </c>
      <c r="D5">
        <v>139.893</v>
      </c>
      <c r="E5">
        <v>140.28100000000001</v>
      </c>
      <c r="I5">
        <f t="shared" si="2"/>
        <v>0.9935252068447934</v>
      </c>
      <c r="J5">
        <f t="shared" si="3"/>
        <v>0.98434399583444732</v>
      </c>
      <c r="K5" s="4">
        <f t="shared" si="0"/>
        <v>1.0139793417999667</v>
      </c>
      <c r="L5" s="3">
        <f t="shared" si="4"/>
        <v>0.97982785830837127</v>
      </c>
      <c r="M5" s="3">
        <f t="shared" si="5"/>
        <v>0.97077322511037334</v>
      </c>
      <c r="R5">
        <f t="shared" si="6"/>
        <v>1.2237083745835242</v>
      </c>
      <c r="S5">
        <f t="shared" si="7"/>
        <v>1.416184155469201</v>
      </c>
    </row>
    <row r="6" spans="1:19" x14ac:dyDescent="0.3">
      <c r="A6">
        <v>2.1934999999999998</v>
      </c>
      <c r="B6">
        <f t="shared" si="1"/>
        <v>-4.0214999999999996</v>
      </c>
      <c r="C6">
        <v>925.98299999999995</v>
      </c>
      <c r="D6">
        <v>143.214</v>
      </c>
      <c r="E6">
        <v>136.68799999999999</v>
      </c>
      <c r="I6">
        <f t="shared" si="2"/>
        <v>0.97577442715931462</v>
      </c>
      <c r="J6">
        <f t="shared" si="3"/>
        <v>1.0077119013777283</v>
      </c>
      <c r="K6" s="4">
        <f t="shared" si="0"/>
        <v>0.98800841362660541</v>
      </c>
      <c r="L6" s="3">
        <f t="shared" si="4"/>
        <v>0.98761752805081438</v>
      </c>
      <c r="M6" s="3">
        <f t="shared" si="5"/>
        <v>1.0199426315397444</v>
      </c>
      <c r="R6">
        <f t="shared" si="6"/>
        <v>1.249320528994295</v>
      </c>
      <c r="S6">
        <f t="shared" si="7"/>
        <v>1.6527949244704105</v>
      </c>
    </row>
    <row r="7" spans="1:19" x14ac:dyDescent="0.3">
      <c r="A7" s="1">
        <v>6.2149999999999999</v>
      </c>
      <c r="B7" s="1">
        <f t="shared" si="1"/>
        <v>0</v>
      </c>
      <c r="C7" s="1">
        <v>567.44799999999998</v>
      </c>
      <c r="D7" s="1">
        <v>94.606999999999999</v>
      </c>
      <c r="E7" s="1">
        <v>136.14099999999999</v>
      </c>
      <c r="F7" s="1"/>
      <c r="G7" s="1"/>
      <c r="H7" s="1"/>
      <c r="I7" s="1">
        <f t="shared" si="2"/>
        <v>0.5979604886295955</v>
      </c>
      <c r="J7" s="1">
        <f t="shared" si="3"/>
        <v>0.66569329711929515</v>
      </c>
      <c r="K7" s="1">
        <f t="shared" si="0"/>
        <v>0.98405458737811435</v>
      </c>
      <c r="L7" s="1">
        <f t="shared" si="4"/>
        <v>0.60764971404968859</v>
      </c>
      <c r="M7" s="1">
        <f t="shared" si="5"/>
        <v>0.67648005065750316</v>
      </c>
      <c r="N7" s="1">
        <f>AVERAGE(L56:L66)</f>
        <v>0.91178928846859331</v>
      </c>
      <c r="O7" s="1">
        <f>AVERAGE(M56:M66)</f>
        <v>0.88428718740333612</v>
      </c>
      <c r="P7" s="5">
        <f>(N7-L7)/(1-L7)</f>
        <v>0.77517357654588792</v>
      </c>
      <c r="Q7" s="5">
        <f>(O7-M7)/(1-M7)</f>
        <v>0.64233175471301884</v>
      </c>
      <c r="R7">
        <f t="shared" si="6"/>
        <v>0</v>
      </c>
      <c r="S7">
        <f t="shared" si="7"/>
        <v>0</v>
      </c>
    </row>
    <row r="8" spans="1:19" x14ac:dyDescent="0.3">
      <c r="A8">
        <v>6.7594000000000003</v>
      </c>
      <c r="B8">
        <f t="shared" si="1"/>
        <v>0.54440000000000044</v>
      </c>
      <c r="C8">
        <v>606.10299999999995</v>
      </c>
      <c r="D8">
        <v>92.356999999999999</v>
      </c>
      <c r="E8">
        <v>131.34399999999999</v>
      </c>
      <c r="I8">
        <f t="shared" si="2"/>
        <v>0.63869402313491941</v>
      </c>
      <c r="J8">
        <f t="shared" si="3"/>
        <v>0.64986138279457906</v>
      </c>
      <c r="K8" s="4">
        <f t="shared" si="0"/>
        <v>0.94938090453714197</v>
      </c>
      <c r="L8" s="3">
        <f t="shared" si="4"/>
        <v>0.67274791401698375</v>
      </c>
      <c r="M8" s="3">
        <f t="shared" si="5"/>
        <v>0.68451069501067152</v>
      </c>
      <c r="R8">
        <f t="shared" si="6"/>
        <v>0.21404054402217504</v>
      </c>
      <c r="S8">
        <f t="shared" si="7"/>
        <v>3.8644699498413128E-2</v>
      </c>
    </row>
    <row r="9" spans="1:19" x14ac:dyDescent="0.3">
      <c r="A9">
        <v>7.3197000000000001</v>
      </c>
      <c r="B9">
        <f t="shared" si="1"/>
        <v>1.1047000000000002</v>
      </c>
      <c r="C9">
        <v>635.43100000000004</v>
      </c>
      <c r="D9">
        <v>96.429000000000002</v>
      </c>
      <c r="E9">
        <v>138.43799999999999</v>
      </c>
      <c r="I9">
        <f t="shared" si="2"/>
        <v>0.66959903154190792</v>
      </c>
      <c r="J9">
        <f t="shared" si="3"/>
        <v>0.67851362951913186</v>
      </c>
      <c r="K9" s="4">
        <f t="shared" si="0"/>
        <v>1.0006577663411564</v>
      </c>
      <c r="L9" s="3">
        <f t="shared" si="4"/>
        <v>0.66915888135286805</v>
      </c>
      <c r="M9" s="3">
        <f t="shared" si="5"/>
        <v>0.67806761946202165</v>
      </c>
      <c r="R9">
        <f t="shared" si="6"/>
        <v>0.20223993349336444</v>
      </c>
      <c r="S9">
        <f t="shared" si="7"/>
        <v>7.6396259983131966E-3</v>
      </c>
    </row>
    <row r="10" spans="1:19" x14ac:dyDescent="0.3">
      <c r="A10">
        <v>7.8799000000000001</v>
      </c>
      <c r="B10">
        <f t="shared" si="1"/>
        <v>1.6649000000000003</v>
      </c>
      <c r="C10">
        <v>663.31</v>
      </c>
      <c r="D10">
        <v>96.75</v>
      </c>
      <c r="E10">
        <v>138.703</v>
      </c>
      <c r="I10">
        <f t="shared" si="2"/>
        <v>0.69897712515137422</v>
      </c>
      <c r="J10">
        <f t="shared" si="3"/>
        <v>0.68077231596279142</v>
      </c>
      <c r="K10" s="4">
        <f t="shared" si="0"/>
        <v>1.0025732397522171</v>
      </c>
      <c r="L10" s="3">
        <f t="shared" si="4"/>
        <v>0.69718310586877852</v>
      </c>
      <c r="M10" s="3">
        <f t="shared" si="5"/>
        <v>0.67902502178398672</v>
      </c>
      <c r="R10">
        <f t="shared" si="6"/>
        <v>0.29438257744048685</v>
      </c>
      <c r="S10">
        <f t="shared" si="7"/>
        <v>1.224679366809372E-2</v>
      </c>
    </row>
    <row r="11" spans="1:19" x14ac:dyDescent="0.3">
      <c r="A11">
        <v>8.4243000000000006</v>
      </c>
      <c r="B11">
        <f t="shared" si="1"/>
        <v>2.2093000000000007</v>
      </c>
      <c r="C11">
        <v>680.31</v>
      </c>
      <c r="D11">
        <v>96.125</v>
      </c>
      <c r="E11">
        <v>135.85900000000001</v>
      </c>
      <c r="I11">
        <f t="shared" si="2"/>
        <v>0.71689123940801647</v>
      </c>
      <c r="J11">
        <f t="shared" si="3"/>
        <v>0.6763745619837036</v>
      </c>
      <c r="K11" s="4">
        <f t="shared" si="0"/>
        <v>0.98201623454068399</v>
      </c>
      <c r="L11" s="3">
        <f t="shared" si="4"/>
        <v>0.73001974325131824</v>
      </c>
      <c r="M11" s="3">
        <f t="shared" si="5"/>
        <v>0.68876107969850686</v>
      </c>
      <c r="R11">
        <f t="shared" si="6"/>
        <v>0.40234826209457392</v>
      </c>
      <c r="S11">
        <f t="shared" si="7"/>
        <v>5.9098206314369829E-2</v>
      </c>
    </row>
    <row r="12" spans="1:19" x14ac:dyDescent="0.3">
      <c r="A12">
        <v>8.9687000000000001</v>
      </c>
      <c r="B12">
        <f t="shared" si="1"/>
        <v>2.7537000000000003</v>
      </c>
      <c r="C12">
        <v>700.39700000000005</v>
      </c>
      <c r="D12">
        <v>98.536000000000001</v>
      </c>
      <c r="E12">
        <v>137.48400000000001</v>
      </c>
      <c r="I12">
        <f t="shared" si="2"/>
        <v>0.7380583460593797</v>
      </c>
      <c r="J12">
        <f t="shared" si="3"/>
        <v>0.6933393377334327</v>
      </c>
      <c r="K12" s="4">
        <f t="shared" si="0"/>
        <v>0.99376206206133855</v>
      </c>
      <c r="L12" s="3">
        <f t="shared" si="4"/>
        <v>0.74269120772073116</v>
      </c>
      <c r="M12" s="3">
        <f t="shared" si="5"/>
        <v>0.69769149397316932</v>
      </c>
      <c r="R12">
        <f t="shared" si="6"/>
        <v>0.44401158227782622</v>
      </c>
      <c r="S12">
        <f t="shared" si="7"/>
        <v>0.10207273748066546</v>
      </c>
    </row>
    <row r="13" spans="1:19" x14ac:dyDescent="0.3">
      <c r="A13">
        <v>9.5130999999999997</v>
      </c>
      <c r="B13">
        <f t="shared" si="1"/>
        <v>3.2980999999999998</v>
      </c>
      <c r="C13">
        <v>716</v>
      </c>
      <c r="D13">
        <v>101.643</v>
      </c>
      <c r="E13">
        <v>139.81299999999999</v>
      </c>
      <c r="I13">
        <f t="shared" si="2"/>
        <v>0.75450034163269664</v>
      </c>
      <c r="J13">
        <f t="shared" si="3"/>
        <v>0.7152014523142739</v>
      </c>
      <c r="K13" s="4">
        <f t="shared" si="0"/>
        <v>1.0105965434740181</v>
      </c>
      <c r="L13" s="3">
        <f t="shared" si="4"/>
        <v>0.74658907801033303</v>
      </c>
      <c r="M13" s="3">
        <f t="shared" si="5"/>
        <v>0.70770225460667369</v>
      </c>
      <c r="R13">
        <f t="shared" si="6"/>
        <v>0.45682763982985386</v>
      </c>
      <c r="S13">
        <f t="shared" si="7"/>
        <v>0.15024606198851639</v>
      </c>
    </row>
    <row r="14" spans="1:19" x14ac:dyDescent="0.3">
      <c r="A14">
        <v>10.057499999999999</v>
      </c>
      <c r="B14">
        <f t="shared" si="1"/>
        <v>3.8424999999999994</v>
      </c>
      <c r="C14">
        <v>723.56899999999996</v>
      </c>
      <c r="D14">
        <v>102.286</v>
      </c>
      <c r="E14">
        <v>134.953</v>
      </c>
      <c r="I14">
        <f t="shared" si="2"/>
        <v>0.7624763375626098</v>
      </c>
      <c r="J14">
        <f t="shared" si="3"/>
        <v>0.71972586160795948</v>
      </c>
      <c r="K14" s="4">
        <f t="shared" si="0"/>
        <v>0.97546748393532201</v>
      </c>
      <c r="L14" s="3">
        <f t="shared" si="4"/>
        <v>0.78165223353889413</v>
      </c>
      <c r="M14" s="3">
        <f t="shared" si="5"/>
        <v>0.7378266046392179</v>
      </c>
      <c r="R14">
        <f t="shared" si="6"/>
        <v>0.57211403620084067</v>
      </c>
      <c r="S14">
        <f t="shared" si="7"/>
        <v>0.29520908156656406</v>
      </c>
    </row>
    <row r="15" spans="1:19" x14ac:dyDescent="0.3">
      <c r="A15">
        <v>10.601900000000001</v>
      </c>
      <c r="B15">
        <f t="shared" si="1"/>
        <v>4.3869000000000007</v>
      </c>
      <c r="C15">
        <v>742.82799999999997</v>
      </c>
      <c r="D15">
        <v>105.268</v>
      </c>
      <c r="E15">
        <v>135.96899999999999</v>
      </c>
      <c r="I15">
        <f t="shared" si="2"/>
        <v>0.78277092147253169</v>
      </c>
      <c r="J15">
        <f t="shared" si="3"/>
        <v>0.74070842539298321</v>
      </c>
      <c r="K15" s="4">
        <f t="shared" si="0"/>
        <v>0.98281133671131271</v>
      </c>
      <c r="L15" s="3">
        <f t="shared" si="4"/>
        <v>0.79646102179879497</v>
      </c>
      <c r="M15" s="3">
        <f t="shared" si="5"/>
        <v>0.75366288292068828</v>
      </c>
      <c r="R15">
        <f t="shared" si="6"/>
        <v>0.6208048002626857</v>
      </c>
      <c r="S15">
        <f t="shared" si="7"/>
        <v>0.37141569568703864</v>
      </c>
    </row>
    <row r="16" spans="1:19" x14ac:dyDescent="0.3">
      <c r="A16">
        <v>11.1622</v>
      </c>
      <c r="B16">
        <f t="shared" si="1"/>
        <v>4.9472000000000005</v>
      </c>
      <c r="C16">
        <v>747.19</v>
      </c>
      <c r="D16">
        <v>104.732</v>
      </c>
      <c r="E16">
        <v>135.828</v>
      </c>
      <c r="I16">
        <f t="shared" si="2"/>
        <v>0.78736747243650085</v>
      </c>
      <c r="J16">
        <f t="shared" si="3"/>
        <v>0.73693691158051744</v>
      </c>
      <c r="K16" s="4">
        <f t="shared" si="0"/>
        <v>0.98179216029259753</v>
      </c>
      <c r="L16" s="3">
        <f t="shared" si="4"/>
        <v>0.80196960648152504</v>
      </c>
      <c r="M16" s="3">
        <f t="shared" si="5"/>
        <v>0.75060378498122515</v>
      </c>
      <c r="R16">
        <f t="shared" si="6"/>
        <v>0.63891682890366375</v>
      </c>
      <c r="S16">
        <f t="shared" si="7"/>
        <v>0.35669484448160249</v>
      </c>
    </row>
    <row r="17" spans="1:19" x14ac:dyDescent="0.3">
      <c r="A17">
        <v>11.7225</v>
      </c>
      <c r="B17">
        <f t="shared" si="1"/>
        <v>5.5075000000000003</v>
      </c>
      <c r="C17">
        <v>774.34500000000003</v>
      </c>
      <c r="D17">
        <v>101.018</v>
      </c>
      <c r="E17">
        <v>134.09700000000001</v>
      </c>
      <c r="I17">
        <f t="shared" si="2"/>
        <v>0.81598263553291961</v>
      </c>
      <c r="J17">
        <f t="shared" si="3"/>
        <v>0.7108036983351862</v>
      </c>
      <c r="K17" s="4">
        <f t="shared" si="0"/>
        <v>0.96928014340751878</v>
      </c>
      <c r="L17" s="3">
        <f t="shared" si="4"/>
        <v>0.84184396129721639</v>
      </c>
      <c r="M17" s="3">
        <f t="shared" si="5"/>
        <v>0.7333315380178379</v>
      </c>
      <c r="R17">
        <f t="shared" si="6"/>
        <v>0.7700222757757984</v>
      </c>
      <c r="S17">
        <f t="shared" si="7"/>
        <v>0.27357812753981248</v>
      </c>
    </row>
    <row r="18" spans="1:19" x14ac:dyDescent="0.3">
      <c r="A18">
        <v>12.2828</v>
      </c>
      <c r="B18">
        <f t="shared" si="1"/>
        <v>6.0678000000000001</v>
      </c>
      <c r="C18">
        <v>769.81</v>
      </c>
      <c r="D18">
        <v>108.214</v>
      </c>
      <c r="E18">
        <v>135.43799999999999</v>
      </c>
      <c r="I18">
        <f t="shared" si="2"/>
        <v>0.81120378211210353</v>
      </c>
      <c r="J18">
        <f t="shared" si="3"/>
        <v>0.76143767854881139</v>
      </c>
      <c r="K18" s="4">
        <f t="shared" si="0"/>
        <v>0.97897316168764037</v>
      </c>
      <c r="L18" s="3">
        <f t="shared" si="4"/>
        <v>0.82862719210164948</v>
      </c>
      <c r="M18" s="3">
        <f t="shared" si="5"/>
        <v>0.77779218915069936</v>
      </c>
      <c r="R18">
        <f t="shared" si="6"/>
        <v>0.72656601323311831</v>
      </c>
      <c r="S18">
        <f t="shared" si="7"/>
        <v>0.48752963964423496</v>
      </c>
    </row>
    <row r="19" spans="1:19" x14ac:dyDescent="0.3">
      <c r="A19">
        <v>12.827199999999999</v>
      </c>
      <c r="B19">
        <f t="shared" si="1"/>
        <v>6.6121999999999996</v>
      </c>
      <c r="C19">
        <v>779.08600000000001</v>
      </c>
      <c r="D19">
        <v>106.911</v>
      </c>
      <c r="E19">
        <v>134.18799999999999</v>
      </c>
      <c r="I19">
        <f t="shared" si="2"/>
        <v>0.82097856586766904</v>
      </c>
      <c r="J19">
        <f t="shared" si="3"/>
        <v>0.75226924105320914</v>
      </c>
      <c r="K19" s="4">
        <f t="shared" si="0"/>
        <v>0.96993790974867533</v>
      </c>
      <c r="L19" s="3">
        <f t="shared" si="4"/>
        <v>0.84642383560448342</v>
      </c>
      <c r="M19" s="3">
        <f t="shared" si="5"/>
        <v>0.77558494568805214</v>
      </c>
      <c r="R19">
        <f t="shared" si="6"/>
        <v>0.78508073804930367</v>
      </c>
      <c r="S19">
        <f t="shared" si="7"/>
        <v>0.47690804359507288</v>
      </c>
    </row>
    <row r="20" spans="1:19" x14ac:dyDescent="0.3">
      <c r="A20">
        <v>13.371600000000001</v>
      </c>
      <c r="B20">
        <f t="shared" si="1"/>
        <v>7.156600000000001</v>
      </c>
      <c r="C20">
        <v>785.55200000000002</v>
      </c>
      <c r="D20">
        <v>107.839</v>
      </c>
      <c r="E20">
        <v>136.203</v>
      </c>
      <c r="I20">
        <f t="shared" si="2"/>
        <v>0.82779225191375427</v>
      </c>
      <c r="J20">
        <f t="shared" si="3"/>
        <v>0.75879902616135875</v>
      </c>
      <c r="K20" s="4">
        <f t="shared" si="0"/>
        <v>0.98450273587428705</v>
      </c>
      <c r="L20" s="3">
        <f t="shared" si="4"/>
        <v>0.84082270343173182</v>
      </c>
      <c r="M20" s="3">
        <f t="shared" si="5"/>
        <v>0.77074344083717328</v>
      </c>
      <c r="R20">
        <f t="shared" si="6"/>
        <v>0.76666441658422224</v>
      </c>
      <c r="S20">
        <f t="shared" si="7"/>
        <v>0.45360997536366049</v>
      </c>
    </row>
    <row r="21" spans="1:19" x14ac:dyDescent="0.3">
      <c r="A21">
        <v>13.916</v>
      </c>
      <c r="B21">
        <f t="shared" si="1"/>
        <v>7.7010000000000005</v>
      </c>
      <c r="C21">
        <v>808.87900000000002</v>
      </c>
      <c r="D21">
        <v>109.679</v>
      </c>
      <c r="E21">
        <v>139.078</v>
      </c>
      <c r="I21">
        <f t="shared" si="2"/>
        <v>0.85237357798814806</v>
      </c>
      <c r="J21">
        <f t="shared" si="3"/>
        <v>0.77174601387579322</v>
      </c>
      <c r="K21" s="4">
        <f t="shared" si="0"/>
        <v>1.0052838153339068</v>
      </c>
      <c r="L21" s="3">
        <f t="shared" si="4"/>
        <v>0.8478934654936533</v>
      </c>
      <c r="M21" s="3">
        <f t="shared" si="5"/>
        <v>0.76768968335519905</v>
      </c>
      <c r="R21">
        <f t="shared" si="6"/>
        <v>0.78991282835513699</v>
      </c>
      <c r="S21">
        <f t="shared" si="7"/>
        <v>0.43891482326352232</v>
      </c>
    </row>
    <row r="22" spans="1:19" x14ac:dyDescent="0.3">
      <c r="A22">
        <v>14.4604</v>
      </c>
      <c r="B22">
        <f t="shared" si="1"/>
        <v>8.2454000000000001</v>
      </c>
      <c r="C22">
        <v>789.55200000000002</v>
      </c>
      <c r="D22">
        <v>108.607</v>
      </c>
      <c r="E22">
        <v>133.10900000000001</v>
      </c>
      <c r="I22">
        <f t="shared" si="2"/>
        <v>0.83200733762119949</v>
      </c>
      <c r="J22">
        <f t="shared" si="3"/>
        <v>0.7642029862508618</v>
      </c>
      <c r="K22" s="4">
        <f t="shared" si="0"/>
        <v>0.96213868027496074</v>
      </c>
      <c r="L22" s="3">
        <f t="shared" si="4"/>
        <v>0.86474783176103864</v>
      </c>
      <c r="M22" s="3">
        <f t="shared" si="5"/>
        <v>0.79427529722894763</v>
      </c>
      <c r="R22">
        <f t="shared" si="6"/>
        <v>0.84532937945536013</v>
      </c>
      <c r="S22">
        <f t="shared" si="7"/>
        <v>0.56684889853190545</v>
      </c>
    </row>
    <row r="23" spans="1:19" x14ac:dyDescent="0.3">
      <c r="A23">
        <v>15.004799999999999</v>
      </c>
      <c r="B23">
        <f t="shared" si="1"/>
        <v>8.7897999999999996</v>
      </c>
      <c r="C23">
        <v>803.89700000000005</v>
      </c>
      <c r="D23">
        <v>109.071</v>
      </c>
      <c r="E23">
        <v>137.203</v>
      </c>
      <c r="I23">
        <f t="shared" si="2"/>
        <v>0.84712368873952504</v>
      </c>
      <c r="J23">
        <f t="shared" si="3"/>
        <v>0.76746787880493661</v>
      </c>
      <c r="K23" s="4">
        <f t="shared" si="0"/>
        <v>0.99173093742545915</v>
      </c>
      <c r="L23" s="3">
        <f t="shared" si="4"/>
        <v>0.85418701461372615</v>
      </c>
      <c r="M23" s="3">
        <f t="shared" si="5"/>
        <v>0.77386703373123455</v>
      </c>
      <c r="R23">
        <f t="shared" si="6"/>
        <v>0.81060579188050996</v>
      </c>
      <c r="S23">
        <f t="shared" si="7"/>
        <v>0.46864118624012679</v>
      </c>
    </row>
    <row r="24" spans="1:19" x14ac:dyDescent="0.3">
      <c r="A24">
        <v>15.565099999999999</v>
      </c>
      <c r="B24">
        <f t="shared" si="1"/>
        <v>9.3500999999999994</v>
      </c>
      <c r="C24">
        <v>801.41399999999999</v>
      </c>
      <c r="D24">
        <v>110.589</v>
      </c>
      <c r="E24">
        <v>135.64099999999999</v>
      </c>
      <c r="I24">
        <f t="shared" si="2"/>
        <v>0.84450717428662836</v>
      </c>
      <c r="J24">
        <f t="shared" si="3"/>
        <v>0.77814914366934507</v>
      </c>
      <c r="K24" s="4">
        <f t="shared" si="0"/>
        <v>0.98044048660252825</v>
      </c>
      <c r="L24" s="3">
        <f t="shared" si="4"/>
        <v>0.86135485613518181</v>
      </c>
      <c r="M24" s="3">
        <f t="shared" si="5"/>
        <v>0.79367300137291008</v>
      </c>
      <c r="R24">
        <f t="shared" si="6"/>
        <v>0.83417339742855712</v>
      </c>
      <c r="S24">
        <f t="shared" si="7"/>
        <v>0.56395055795771132</v>
      </c>
    </row>
    <row r="25" spans="1:19" x14ac:dyDescent="0.3">
      <c r="A25">
        <v>16.125399999999999</v>
      </c>
      <c r="B25">
        <f t="shared" si="1"/>
        <v>9.9103999999999992</v>
      </c>
      <c r="C25">
        <v>818</v>
      </c>
      <c r="D25">
        <v>112.393</v>
      </c>
      <c r="E25">
        <v>135.953</v>
      </c>
      <c r="I25">
        <f t="shared" si="2"/>
        <v>0.86198502717254999</v>
      </c>
      <c r="J25">
        <f t="shared" si="3"/>
        <v>0.79084282075458412</v>
      </c>
      <c r="K25" s="4">
        <f t="shared" si="0"/>
        <v>0.98269568548649411</v>
      </c>
      <c r="L25" s="3">
        <f t="shared" si="4"/>
        <v>0.87716374448699752</v>
      </c>
      <c r="M25" s="3">
        <f t="shared" si="5"/>
        <v>0.80476879306035509</v>
      </c>
      <c r="R25">
        <f t="shared" si="6"/>
        <v>0.88615245468218973</v>
      </c>
      <c r="S25">
        <f t="shared" si="7"/>
        <v>0.61734521928263097</v>
      </c>
    </row>
    <row r="26" spans="1:19" x14ac:dyDescent="0.3">
      <c r="A26">
        <v>16.685600000000001</v>
      </c>
      <c r="B26">
        <f t="shared" si="1"/>
        <v>10.470600000000001</v>
      </c>
      <c r="C26">
        <v>814.93100000000004</v>
      </c>
      <c r="D26">
        <v>111.518</v>
      </c>
      <c r="E26">
        <v>133.547</v>
      </c>
      <c r="I26">
        <f t="shared" si="2"/>
        <v>0.85875100266351267</v>
      </c>
      <c r="J26">
        <f t="shared" si="3"/>
        <v>0.78468596518386113</v>
      </c>
      <c r="K26" s="4">
        <f t="shared" si="0"/>
        <v>0.96530463255437404</v>
      </c>
      <c r="L26" s="3">
        <f t="shared" si="4"/>
        <v>0.88961657667704253</v>
      </c>
      <c r="M26" s="3">
        <f t="shared" si="5"/>
        <v>0.81288946382390959</v>
      </c>
      <c r="R26">
        <f t="shared" si="6"/>
        <v>0.9270969197812734</v>
      </c>
      <c r="S26">
        <f t="shared" si="7"/>
        <v>0.65642313975601119</v>
      </c>
    </row>
    <row r="27" spans="1:19" x14ac:dyDescent="0.3">
      <c r="A27">
        <v>17.245899999999999</v>
      </c>
      <c r="B27">
        <f t="shared" si="1"/>
        <v>11.030899999999999</v>
      </c>
      <c r="C27">
        <v>815.70699999999999</v>
      </c>
      <c r="D27">
        <v>112.518</v>
      </c>
      <c r="E27">
        <v>135.09399999999999</v>
      </c>
      <c r="I27">
        <f t="shared" si="2"/>
        <v>0.85956872929075701</v>
      </c>
      <c r="J27">
        <f t="shared" si="3"/>
        <v>0.7917223715504017</v>
      </c>
      <c r="K27" s="4">
        <f t="shared" si="0"/>
        <v>0.97648666035403719</v>
      </c>
      <c r="L27" s="3">
        <f t="shared" si="4"/>
        <v>0.88026674013048967</v>
      </c>
      <c r="M27" s="3">
        <f t="shared" si="5"/>
        <v>0.81078667399650195</v>
      </c>
      <c r="R27">
        <f t="shared" si="6"/>
        <v>0.89635499293924092</v>
      </c>
      <c r="S27">
        <f t="shared" si="7"/>
        <v>0.64630419071346912</v>
      </c>
    </row>
    <row r="28" spans="1:19" x14ac:dyDescent="0.3">
      <c r="A28">
        <v>17.8062</v>
      </c>
      <c r="B28">
        <f t="shared" si="1"/>
        <v>11.591200000000001</v>
      </c>
      <c r="C28">
        <v>834.08600000000001</v>
      </c>
      <c r="D28">
        <v>115.286</v>
      </c>
      <c r="E28">
        <v>136.53100000000001</v>
      </c>
      <c r="I28">
        <f t="shared" si="2"/>
        <v>0.87893599434504099</v>
      </c>
      <c r="J28">
        <f t="shared" si="3"/>
        <v>0.81119914437298568</v>
      </c>
      <c r="K28" s="4">
        <f t="shared" si="0"/>
        <v>0.98687358598307151</v>
      </c>
      <c r="L28" s="3">
        <f t="shared" si="4"/>
        <v>0.89062672953141331</v>
      </c>
      <c r="M28" s="3">
        <f t="shared" si="5"/>
        <v>0.82198891113790606</v>
      </c>
      <c r="R28">
        <f t="shared" si="6"/>
        <v>0.93041826609505318</v>
      </c>
      <c r="S28">
        <f t="shared" si="7"/>
        <v>0.70021108398396092</v>
      </c>
    </row>
    <row r="29" spans="1:19" x14ac:dyDescent="0.3">
      <c r="A29">
        <v>18.366499999999998</v>
      </c>
      <c r="B29">
        <f t="shared" si="1"/>
        <v>12.151499999999999</v>
      </c>
      <c r="C29">
        <v>824.72400000000005</v>
      </c>
      <c r="D29">
        <v>115.536</v>
      </c>
      <c r="E29">
        <v>137.23400000000001</v>
      </c>
      <c r="I29">
        <f t="shared" si="2"/>
        <v>0.86907058624676548</v>
      </c>
      <c r="J29">
        <f t="shared" si="3"/>
        <v>0.81295824596462085</v>
      </c>
      <c r="K29" s="4">
        <f t="shared" si="0"/>
        <v>0.99195501167354549</v>
      </c>
      <c r="L29" s="3">
        <f t="shared" si="4"/>
        <v>0.87611895299620546</v>
      </c>
      <c r="M29" s="3">
        <f t="shared" si="5"/>
        <v>0.8195515284438798</v>
      </c>
      <c r="R29">
        <f t="shared" si="6"/>
        <v>0.88271721777562051</v>
      </c>
      <c r="S29">
        <f t="shared" si="7"/>
        <v>0.68848202245029766</v>
      </c>
    </row>
    <row r="30" spans="1:19" x14ac:dyDescent="0.3">
      <c r="A30">
        <v>18.910900000000002</v>
      </c>
      <c r="B30">
        <f t="shared" si="1"/>
        <v>12.695900000000002</v>
      </c>
      <c r="C30">
        <v>841.20699999999999</v>
      </c>
      <c r="D30">
        <v>113.714</v>
      </c>
      <c r="E30">
        <v>139.28100000000001</v>
      </c>
      <c r="I30">
        <f t="shared" si="2"/>
        <v>0.88643990067572043</v>
      </c>
      <c r="J30">
        <f t="shared" si="3"/>
        <v>0.80013791356478403</v>
      </c>
      <c r="K30" s="4">
        <f t="shared" si="0"/>
        <v>1.0067511402487948</v>
      </c>
      <c r="L30" s="3">
        <f t="shared" si="4"/>
        <v>0.88049555171763472</v>
      </c>
      <c r="M30" s="3">
        <f t="shared" si="5"/>
        <v>0.79477229433983942</v>
      </c>
      <c r="R30">
        <f t="shared" si="6"/>
        <v>0.89710731722187409</v>
      </c>
      <c r="S30">
        <f t="shared" si="7"/>
        <v>0.56924052530023761</v>
      </c>
    </row>
    <row r="31" spans="1:19" x14ac:dyDescent="0.3">
      <c r="A31">
        <v>19.455300000000001</v>
      </c>
      <c r="B31">
        <f t="shared" si="1"/>
        <v>13.240300000000001</v>
      </c>
      <c r="C31">
        <v>841.05200000000002</v>
      </c>
      <c r="D31">
        <v>117.286</v>
      </c>
      <c r="E31">
        <v>138.828</v>
      </c>
      <c r="I31">
        <f t="shared" si="2"/>
        <v>0.88627656610455696</v>
      </c>
      <c r="J31">
        <f t="shared" si="3"/>
        <v>0.82527195710606671</v>
      </c>
      <c r="K31" s="4">
        <f t="shared" si="0"/>
        <v>1.0034767649461138</v>
      </c>
      <c r="L31" s="3">
        <f t="shared" si="4"/>
        <v>0.8832058669062951</v>
      </c>
      <c r="M31" s="3">
        <f t="shared" si="5"/>
        <v>0.8224126217315888</v>
      </c>
      <c r="R31">
        <f t="shared" si="6"/>
        <v>0.9060187362433505</v>
      </c>
      <c r="S31">
        <f t="shared" si="7"/>
        <v>0.70225004472572305</v>
      </c>
    </row>
    <row r="32" spans="1:19" x14ac:dyDescent="0.3">
      <c r="A32">
        <v>19.999700000000001</v>
      </c>
      <c r="B32">
        <f t="shared" si="1"/>
        <v>13.784700000000001</v>
      </c>
      <c r="C32">
        <v>845.25900000000001</v>
      </c>
      <c r="D32">
        <v>110.929</v>
      </c>
      <c r="E32">
        <v>136.78100000000001</v>
      </c>
      <c r="I32">
        <f t="shared" si="2"/>
        <v>0.89070978249736243</v>
      </c>
      <c r="J32">
        <f t="shared" si="3"/>
        <v>0.78054152183396885</v>
      </c>
      <c r="K32" s="4">
        <f t="shared" si="0"/>
        <v>0.98868063637086456</v>
      </c>
      <c r="L32" s="3">
        <f t="shared" si="4"/>
        <v>0.90090748188098202</v>
      </c>
      <c r="M32" s="3">
        <f t="shared" si="5"/>
        <v>0.78947790936726658</v>
      </c>
      <c r="R32">
        <f t="shared" si="6"/>
        <v>0.96422101067116217</v>
      </c>
      <c r="S32">
        <f t="shared" si="7"/>
        <v>0.54376312805835003</v>
      </c>
    </row>
    <row r="33" spans="1:19" x14ac:dyDescent="0.3">
      <c r="A33">
        <v>20.5441</v>
      </c>
      <c r="B33">
        <f t="shared" si="1"/>
        <v>14.3291</v>
      </c>
      <c r="C33">
        <v>827.98299999999995</v>
      </c>
      <c r="D33">
        <v>112.018</v>
      </c>
      <c r="E33">
        <v>134.84399999999999</v>
      </c>
      <c r="I33">
        <f t="shared" si="2"/>
        <v>0.87250482732690637</v>
      </c>
      <c r="J33">
        <f t="shared" si="3"/>
        <v>0.78820416836713136</v>
      </c>
      <c r="K33" s="4">
        <f t="shared" si="0"/>
        <v>0.97467960996624414</v>
      </c>
      <c r="L33" s="3">
        <f t="shared" si="4"/>
        <v>0.89517090375690078</v>
      </c>
      <c r="M33" s="3">
        <f t="shared" si="5"/>
        <v>0.80868026816979277</v>
      </c>
      <c r="R33">
        <f t="shared" si="6"/>
        <v>0.94535934778154418</v>
      </c>
      <c r="S33">
        <f t="shared" si="7"/>
        <v>0.63616784092445544</v>
      </c>
    </row>
    <row r="34" spans="1:19" x14ac:dyDescent="0.3">
      <c r="A34">
        <v>21.104399999999998</v>
      </c>
      <c r="B34">
        <f t="shared" si="1"/>
        <v>14.889399999999998</v>
      </c>
      <c r="C34">
        <v>845.36199999999997</v>
      </c>
      <c r="D34">
        <v>116.643</v>
      </c>
      <c r="E34">
        <v>135.48400000000001</v>
      </c>
      <c r="I34">
        <f t="shared" si="2"/>
        <v>0.89081832095432911</v>
      </c>
      <c r="J34">
        <f t="shared" si="3"/>
        <v>0.82074754781238113</v>
      </c>
      <c r="K34" s="4">
        <f t="shared" si="0"/>
        <v>0.97930565895899446</v>
      </c>
      <c r="L34" s="3">
        <f t="shared" si="4"/>
        <v>0.90964277884524047</v>
      </c>
      <c r="M34" s="3">
        <f t="shared" si="5"/>
        <v>0.83809129489238199</v>
      </c>
      <c r="R34">
        <f t="shared" si="6"/>
        <v>0.9929423534327817</v>
      </c>
      <c r="S34">
        <f t="shared" si="7"/>
        <v>0.77769823869208154</v>
      </c>
    </row>
    <row r="35" spans="1:19" x14ac:dyDescent="0.3">
      <c r="A35">
        <v>21.6647</v>
      </c>
      <c r="B35">
        <f t="shared" si="1"/>
        <v>15.4497</v>
      </c>
      <c r="C35">
        <v>837.75900000000001</v>
      </c>
      <c r="D35">
        <v>114.839</v>
      </c>
      <c r="E35">
        <v>134.96899999999999</v>
      </c>
      <c r="I35">
        <f t="shared" si="2"/>
        <v>0.88280649679590262</v>
      </c>
      <c r="J35">
        <f t="shared" si="3"/>
        <v>0.80805387072714208</v>
      </c>
      <c r="K35" s="4">
        <f t="shared" si="0"/>
        <v>0.97558313516014072</v>
      </c>
      <c r="L35" s="3">
        <f t="shared" si="4"/>
        <v>0.90490135077108635</v>
      </c>
      <c r="M35" s="3">
        <f t="shared" si="5"/>
        <v>0.82827781826558644</v>
      </c>
      <c r="R35">
        <f t="shared" si="6"/>
        <v>0.97735270817463593</v>
      </c>
      <c r="S35">
        <f t="shared" si="7"/>
        <v>0.73047427525911091</v>
      </c>
    </row>
    <row r="36" spans="1:19" x14ac:dyDescent="0.3">
      <c r="A36">
        <v>22.225000000000001</v>
      </c>
      <c r="B36">
        <f t="shared" si="1"/>
        <v>16.010000000000002</v>
      </c>
      <c r="C36">
        <v>839.93100000000004</v>
      </c>
      <c r="D36">
        <v>116.393</v>
      </c>
      <c r="E36">
        <v>135.203</v>
      </c>
      <c r="I36">
        <f t="shared" si="2"/>
        <v>0.88509528833504536</v>
      </c>
      <c r="J36">
        <f t="shared" si="3"/>
        <v>0.81898844622074596</v>
      </c>
      <c r="K36" s="4">
        <f t="shared" si="0"/>
        <v>0.97727453432311506</v>
      </c>
      <c r="L36" s="3">
        <f t="shared" si="4"/>
        <v>0.90567722502672665</v>
      </c>
      <c r="M36" s="3">
        <f t="shared" si="5"/>
        <v>0.83803313957013925</v>
      </c>
      <c r="R36">
        <f t="shared" si="6"/>
        <v>0.97990375486799275</v>
      </c>
      <c r="S36">
        <f t="shared" si="7"/>
        <v>0.77741838630994764</v>
      </c>
    </row>
    <row r="37" spans="1:19" x14ac:dyDescent="0.3">
      <c r="A37">
        <v>22.769300000000001</v>
      </c>
      <c r="B37">
        <f t="shared" si="1"/>
        <v>16.554300000000001</v>
      </c>
      <c r="C37">
        <v>841.15499999999997</v>
      </c>
      <c r="D37">
        <v>115.839</v>
      </c>
      <c r="E37">
        <v>135.64099999999999</v>
      </c>
      <c r="I37">
        <f t="shared" si="2"/>
        <v>0.88638510456152353</v>
      </c>
      <c r="J37">
        <f t="shared" si="3"/>
        <v>0.81509027709368254</v>
      </c>
      <c r="K37" s="4">
        <f t="shared" si="0"/>
        <v>0.98044048660252825</v>
      </c>
      <c r="L37" s="3">
        <f t="shared" si="4"/>
        <v>0.90406823940234238</v>
      </c>
      <c r="M37" s="3">
        <f t="shared" si="5"/>
        <v>0.83135110007357449</v>
      </c>
      <c r="R37">
        <f t="shared" si="6"/>
        <v>0.97461346790859782</v>
      </c>
      <c r="S37">
        <f t="shared" si="7"/>
        <v>0.74526338142800519</v>
      </c>
    </row>
    <row r="38" spans="1:19" x14ac:dyDescent="0.3">
      <c r="A38">
        <v>23.313700000000001</v>
      </c>
      <c r="B38">
        <f t="shared" si="1"/>
        <v>17.098700000000001</v>
      </c>
      <c r="C38">
        <v>855.34500000000003</v>
      </c>
      <c r="D38">
        <v>117.393</v>
      </c>
      <c r="E38">
        <v>136.328</v>
      </c>
      <c r="I38">
        <f t="shared" si="2"/>
        <v>0.90133812110868561</v>
      </c>
      <c r="J38">
        <f t="shared" si="3"/>
        <v>0.82602485258728653</v>
      </c>
      <c r="K38" s="4">
        <f t="shared" si="0"/>
        <v>0.98540626106818363</v>
      </c>
      <c r="L38" s="3">
        <f t="shared" si="4"/>
        <v>0.91468682179026561</v>
      </c>
      <c r="M38" s="3">
        <f t="shared" si="5"/>
        <v>0.83825817352923337</v>
      </c>
      <c r="R38">
        <f t="shared" si="6"/>
        <v>1.0095269855204092</v>
      </c>
      <c r="S38">
        <f t="shared" si="7"/>
        <v>0.77850128443663402</v>
      </c>
    </row>
    <row r="39" spans="1:19" x14ac:dyDescent="0.3">
      <c r="A39">
        <v>23.8581</v>
      </c>
      <c r="B39">
        <f t="shared" si="1"/>
        <v>17.6431</v>
      </c>
      <c r="C39">
        <v>841.81</v>
      </c>
      <c r="D39">
        <v>119.893</v>
      </c>
      <c r="E39">
        <v>134.71899999999999</v>
      </c>
      <c r="I39">
        <f t="shared" si="2"/>
        <v>0.88707532484611773</v>
      </c>
      <c r="J39">
        <f t="shared" si="3"/>
        <v>0.84361586850363768</v>
      </c>
      <c r="K39" s="4">
        <f t="shared" si="0"/>
        <v>0.97377608477234767</v>
      </c>
      <c r="L39" s="3">
        <f t="shared" si="4"/>
        <v>0.91096437745593317</v>
      </c>
      <c r="M39" s="3">
        <f t="shared" si="5"/>
        <v>0.86633455236360701</v>
      </c>
      <c r="R39">
        <f t="shared" si="6"/>
        <v>0.9972877222103167</v>
      </c>
      <c r="S39">
        <f t="shared" si="7"/>
        <v>0.91360915067278559</v>
      </c>
    </row>
    <row r="40" spans="1:19" x14ac:dyDescent="0.3">
      <c r="A40">
        <v>24.4025</v>
      </c>
      <c r="B40">
        <f t="shared" si="1"/>
        <v>18.1875</v>
      </c>
      <c r="C40">
        <v>854.06899999999996</v>
      </c>
      <c r="D40">
        <v>118.946</v>
      </c>
      <c r="E40">
        <v>136.828</v>
      </c>
      <c r="I40">
        <f t="shared" si="2"/>
        <v>0.89999350876801054</v>
      </c>
      <c r="J40">
        <f t="shared" si="3"/>
        <v>0.83695239167452384</v>
      </c>
      <c r="K40" s="4">
        <f t="shared" si="0"/>
        <v>0.98902036184376962</v>
      </c>
      <c r="L40" s="3">
        <f t="shared" si="4"/>
        <v>0.90998481273955589</v>
      </c>
      <c r="M40" s="3">
        <f t="shared" si="5"/>
        <v>0.84624384286107635</v>
      </c>
      <c r="R40">
        <f t="shared" si="6"/>
        <v>0.99406694859593636</v>
      </c>
      <c r="S40">
        <f t="shared" si="7"/>
        <v>0.81692955719422555</v>
      </c>
    </row>
    <row r="41" spans="1:19" x14ac:dyDescent="0.3">
      <c r="A41">
        <v>24.946899999999999</v>
      </c>
      <c r="B41">
        <f t="shared" si="1"/>
        <v>18.7319</v>
      </c>
      <c r="C41">
        <v>847.63800000000003</v>
      </c>
      <c r="D41">
        <v>118.196</v>
      </c>
      <c r="E41">
        <v>136.81299999999999</v>
      </c>
      <c r="I41">
        <f t="shared" si="2"/>
        <v>0.89321670472186554</v>
      </c>
      <c r="J41">
        <f t="shared" si="3"/>
        <v>0.83167508689961844</v>
      </c>
      <c r="K41" s="4">
        <f t="shared" si="0"/>
        <v>0.98891193882050188</v>
      </c>
      <c r="L41" s="3">
        <f t="shared" si="4"/>
        <v>0.90323179411427246</v>
      </c>
      <c r="M41" s="3">
        <f t="shared" si="5"/>
        <v>0.84100014799252654</v>
      </c>
      <c r="R41">
        <f t="shared" si="6"/>
        <v>0.9718632658355264</v>
      </c>
      <c r="S41">
        <f t="shared" si="7"/>
        <v>0.79169608855275475</v>
      </c>
    </row>
    <row r="42" spans="1:19" x14ac:dyDescent="0.3">
      <c r="A42">
        <v>25.507200000000001</v>
      </c>
      <c r="B42">
        <f t="shared" si="1"/>
        <v>19.292200000000001</v>
      </c>
      <c r="C42">
        <v>840.24099999999999</v>
      </c>
      <c r="D42">
        <v>121.089</v>
      </c>
      <c r="E42">
        <v>136.76599999999999</v>
      </c>
      <c r="I42">
        <f t="shared" si="2"/>
        <v>0.8854219574773724</v>
      </c>
      <c r="J42">
        <f t="shared" si="3"/>
        <v>0.85203141051802012</v>
      </c>
      <c r="K42" s="4">
        <f t="shared" si="0"/>
        <v>0.98857221334759682</v>
      </c>
      <c r="L42" s="3">
        <f t="shared" si="4"/>
        <v>0.89565733845489415</v>
      </c>
      <c r="M42" s="3">
        <f t="shared" si="5"/>
        <v>0.86188080042508042</v>
      </c>
      <c r="R42">
        <f t="shared" si="6"/>
        <v>0.94695872760221622</v>
      </c>
      <c r="S42">
        <f t="shared" si="7"/>
        <v>0.89217700927345556</v>
      </c>
    </row>
    <row r="43" spans="1:19" x14ac:dyDescent="0.3">
      <c r="A43">
        <v>26.067499999999999</v>
      </c>
      <c r="B43">
        <f t="shared" si="1"/>
        <v>19.852499999999999</v>
      </c>
      <c r="C43">
        <v>852.01700000000005</v>
      </c>
      <c r="D43">
        <v>123.143</v>
      </c>
      <c r="E43">
        <v>137.047</v>
      </c>
      <c r="I43">
        <f t="shared" si="2"/>
        <v>0.89783116980009114</v>
      </c>
      <c r="J43">
        <f t="shared" si="3"/>
        <v>0.86648418919489423</v>
      </c>
      <c r="K43" s="4">
        <f t="shared" si="0"/>
        <v>0.99060333798347622</v>
      </c>
      <c r="L43" s="3">
        <f t="shared" si="4"/>
        <v>0.90634781387650387</v>
      </c>
      <c r="M43" s="3">
        <f t="shared" si="5"/>
        <v>0.87470348218163141</v>
      </c>
      <c r="R43">
        <f t="shared" si="6"/>
        <v>0.98210862692733747</v>
      </c>
      <c r="S43">
        <f t="shared" si="7"/>
        <v>0.95388173201468796</v>
      </c>
    </row>
    <row r="44" spans="1:19" x14ac:dyDescent="0.3">
      <c r="A44">
        <v>26.627800000000001</v>
      </c>
      <c r="B44">
        <f t="shared" si="1"/>
        <v>20.412800000000001</v>
      </c>
      <c r="C44">
        <v>852.03399999999999</v>
      </c>
      <c r="D44">
        <v>120.357</v>
      </c>
      <c r="E44">
        <v>134.98400000000001</v>
      </c>
      <c r="I44">
        <f t="shared" si="2"/>
        <v>0.89784908391434781</v>
      </c>
      <c r="J44">
        <f t="shared" si="3"/>
        <v>0.84688076105771248</v>
      </c>
      <c r="K44" s="4">
        <f t="shared" si="0"/>
        <v>0.97569155818340836</v>
      </c>
      <c r="L44" s="3">
        <f t="shared" si="4"/>
        <v>0.92021815335371804</v>
      </c>
      <c r="M44" s="3">
        <f t="shared" si="5"/>
        <v>0.86798000244511464</v>
      </c>
      <c r="R44">
        <f t="shared" si="6"/>
        <v>1.0277138050884338</v>
      </c>
      <c r="S44">
        <f t="shared" si="7"/>
        <v>0.92152731030519586</v>
      </c>
    </row>
    <row r="45" spans="1:19" x14ac:dyDescent="0.3">
      <c r="A45">
        <v>27.1722</v>
      </c>
      <c r="B45">
        <f t="shared" si="1"/>
        <v>20.9572</v>
      </c>
      <c r="C45">
        <v>849.96600000000001</v>
      </c>
      <c r="D45">
        <v>117.589</v>
      </c>
      <c r="E45">
        <v>135.48400000000001</v>
      </c>
      <c r="I45">
        <f t="shared" si="2"/>
        <v>0.89566988460359864</v>
      </c>
      <c r="J45">
        <f t="shared" si="3"/>
        <v>0.8274039882351284</v>
      </c>
      <c r="K45" s="4">
        <f t="shared" si="0"/>
        <v>0.97930565895899446</v>
      </c>
      <c r="L45" s="3">
        <f t="shared" si="4"/>
        <v>0.914596864022719</v>
      </c>
      <c r="M45" s="3">
        <f t="shared" si="5"/>
        <v>0.84488839686136596</v>
      </c>
      <c r="R45">
        <f t="shared" si="6"/>
        <v>1.0092312076108145</v>
      </c>
      <c r="S45">
        <f t="shared" si="7"/>
        <v>0.810406941941756</v>
      </c>
    </row>
    <row r="46" spans="1:19" x14ac:dyDescent="0.3">
      <c r="A46">
        <v>27.7166</v>
      </c>
      <c r="B46">
        <f t="shared" si="1"/>
        <v>21.5016</v>
      </c>
      <c r="C46">
        <v>849.08600000000001</v>
      </c>
      <c r="D46">
        <v>121.179</v>
      </c>
      <c r="E46">
        <v>138.03100000000001</v>
      </c>
      <c r="I46">
        <f t="shared" si="2"/>
        <v>0.89474256574796063</v>
      </c>
      <c r="J46">
        <f t="shared" si="3"/>
        <v>0.85266468709100873</v>
      </c>
      <c r="K46" s="4">
        <f t="shared" si="0"/>
        <v>0.9977158883098296</v>
      </c>
      <c r="L46" s="3">
        <f t="shared" si="4"/>
        <v>0.89679093640945229</v>
      </c>
      <c r="M46" s="3">
        <f t="shared" si="5"/>
        <v>0.85461672714810288</v>
      </c>
      <c r="R46">
        <f t="shared" si="6"/>
        <v>0.95068595697288927</v>
      </c>
      <c r="S46">
        <f t="shared" si="7"/>
        <v>0.857221168051014</v>
      </c>
    </row>
    <row r="47" spans="1:19" x14ac:dyDescent="0.3">
      <c r="A47">
        <v>28.260999999999999</v>
      </c>
      <c r="B47">
        <f t="shared" si="1"/>
        <v>22.045999999999999</v>
      </c>
      <c r="C47">
        <v>850.89700000000005</v>
      </c>
      <c r="D47">
        <v>118.911</v>
      </c>
      <c r="E47">
        <v>135.68799999999999</v>
      </c>
      <c r="I47">
        <f t="shared" si="2"/>
        <v>0.89665094580200655</v>
      </c>
      <c r="J47">
        <f t="shared" si="3"/>
        <v>0.83670611745169499</v>
      </c>
      <c r="K47" s="4">
        <f t="shared" si="0"/>
        <v>0.98078021207543331</v>
      </c>
      <c r="L47" s="3">
        <f t="shared" si="4"/>
        <v>0.91422210069328336</v>
      </c>
      <c r="M47" s="3">
        <f t="shared" si="5"/>
        <v>0.85310256788433514</v>
      </c>
      <c r="R47">
        <f t="shared" si="6"/>
        <v>1.007998999240195</v>
      </c>
      <c r="S47">
        <f t="shared" si="7"/>
        <v>0.84993480008753208</v>
      </c>
    </row>
    <row r="48" spans="1:19" x14ac:dyDescent="0.3">
      <c r="A48">
        <v>28.7895</v>
      </c>
      <c r="B48">
        <f t="shared" si="1"/>
        <v>22.5745</v>
      </c>
      <c r="C48">
        <v>841.05200000000002</v>
      </c>
      <c r="D48">
        <v>119.929</v>
      </c>
      <c r="E48">
        <v>134.03100000000001</v>
      </c>
      <c r="I48">
        <f t="shared" si="2"/>
        <v>0.88627656610455696</v>
      </c>
      <c r="J48">
        <f t="shared" si="3"/>
        <v>0.8438691791328331</v>
      </c>
      <c r="K48" s="4">
        <f t="shared" si="0"/>
        <v>0.96880308210514143</v>
      </c>
      <c r="L48" s="3">
        <f t="shared" si="4"/>
        <v>0.91481600593047241</v>
      </c>
      <c r="M48" s="3">
        <f t="shared" si="5"/>
        <v>0.8710430372487713</v>
      </c>
      <c r="R48">
        <f t="shared" si="6"/>
        <v>1.0099517383348156</v>
      </c>
      <c r="S48">
        <f t="shared" si="7"/>
        <v>0.93626710630846322</v>
      </c>
    </row>
    <row r="49" spans="1:19" x14ac:dyDescent="0.3">
      <c r="A49">
        <v>29.3339</v>
      </c>
      <c r="B49">
        <f t="shared" si="1"/>
        <v>23.1189</v>
      </c>
      <c r="C49">
        <v>851.20699999999999</v>
      </c>
      <c r="D49">
        <v>124.875</v>
      </c>
      <c r="E49">
        <v>137.40600000000001</v>
      </c>
      <c r="I49">
        <f t="shared" si="2"/>
        <v>0.89697761494433348</v>
      </c>
      <c r="J49">
        <f t="shared" si="3"/>
        <v>0.87867124502174232</v>
      </c>
      <c r="K49" s="4">
        <f t="shared" si="0"/>
        <v>0.99319826234034703</v>
      </c>
      <c r="L49" s="3">
        <f t="shared" si="4"/>
        <v>0.90312040300062379</v>
      </c>
      <c r="M49" s="3">
        <f t="shared" si="5"/>
        <v>0.88468866523312661</v>
      </c>
      <c r="R49">
        <f t="shared" si="6"/>
        <v>0.97149701585355186</v>
      </c>
      <c r="S49">
        <f t="shared" si="7"/>
        <v>1.0019319732521099</v>
      </c>
    </row>
    <row r="50" spans="1:19" x14ac:dyDescent="0.3">
      <c r="A50">
        <v>29.878299999999999</v>
      </c>
      <c r="B50">
        <f t="shared" si="1"/>
        <v>23.6633</v>
      </c>
      <c r="C50">
        <v>855.46600000000001</v>
      </c>
      <c r="D50">
        <v>126.643</v>
      </c>
      <c r="E50">
        <v>137.48400000000001</v>
      </c>
      <c r="I50">
        <f t="shared" si="2"/>
        <v>0.90146562745133585</v>
      </c>
      <c r="J50">
        <f t="shared" si="3"/>
        <v>0.89111161147778595</v>
      </c>
      <c r="K50" s="4">
        <f t="shared" si="0"/>
        <v>0.99376206206133855</v>
      </c>
      <c r="L50" s="3">
        <f t="shared" si="4"/>
        <v>0.90712421198837656</v>
      </c>
      <c r="M50" s="3">
        <f t="shared" si="5"/>
        <v>0.89670520288264266</v>
      </c>
      <c r="R50">
        <f t="shared" si="6"/>
        <v>0.98466139604117642</v>
      </c>
      <c r="S50">
        <f t="shared" si="7"/>
        <v>1.0597574061880988</v>
      </c>
    </row>
    <row r="51" spans="1:19" x14ac:dyDescent="0.3">
      <c r="A51">
        <v>30.438600000000001</v>
      </c>
      <c r="B51">
        <f t="shared" si="1"/>
        <v>24.223600000000001</v>
      </c>
      <c r="C51">
        <v>851.82799999999997</v>
      </c>
      <c r="D51">
        <v>125.321</v>
      </c>
      <c r="E51">
        <v>136.172</v>
      </c>
      <c r="I51">
        <f t="shared" si="2"/>
        <v>0.89763200700041434</v>
      </c>
      <c r="J51">
        <f t="shared" si="3"/>
        <v>0.88180948226121936</v>
      </c>
      <c r="K51" s="4">
        <f t="shared" si="0"/>
        <v>0.9842786616262007</v>
      </c>
      <c r="L51" s="3">
        <f t="shared" si="4"/>
        <v>0.91196938630912616</v>
      </c>
      <c r="M51" s="3">
        <f t="shared" si="5"/>
        <v>0.89589413713827315</v>
      </c>
      <c r="R51">
        <f t="shared" si="6"/>
        <v>1.0005921552329287</v>
      </c>
      <c r="S51">
        <f t="shared" si="7"/>
        <v>1.0558544327047505</v>
      </c>
    </row>
    <row r="52" spans="1:19" x14ac:dyDescent="0.3">
      <c r="A52">
        <v>30.998899999999999</v>
      </c>
      <c r="B52">
        <f t="shared" si="1"/>
        <v>24.783899999999999</v>
      </c>
      <c r="C52">
        <v>851.55200000000002</v>
      </c>
      <c r="D52">
        <v>124.839</v>
      </c>
      <c r="E52">
        <v>136.172</v>
      </c>
      <c r="I52">
        <f t="shared" si="2"/>
        <v>0.89734116608660064</v>
      </c>
      <c r="J52">
        <f t="shared" si="3"/>
        <v>0.8784179343925469</v>
      </c>
      <c r="K52" s="4">
        <f t="shared" si="0"/>
        <v>0.9842786616262007</v>
      </c>
      <c r="L52" s="3">
        <f t="shared" si="4"/>
        <v>0.91167389995434411</v>
      </c>
      <c r="M52" s="3">
        <f t="shared" si="5"/>
        <v>0.89244841795233742</v>
      </c>
      <c r="R52">
        <f t="shared" si="6"/>
        <v>0.99962060670838493</v>
      </c>
      <c r="S52">
        <f t="shared" si="7"/>
        <v>1.0392731004180249</v>
      </c>
    </row>
    <row r="53" spans="1:19" x14ac:dyDescent="0.3">
      <c r="A53">
        <v>31.559200000000001</v>
      </c>
      <c r="B53">
        <f t="shared" si="1"/>
        <v>25.344200000000001</v>
      </c>
      <c r="C53">
        <v>852.13800000000003</v>
      </c>
      <c r="D53">
        <v>122.982</v>
      </c>
      <c r="E53">
        <v>135.25</v>
      </c>
      <c r="I53">
        <f t="shared" si="2"/>
        <v>0.89795867614274139</v>
      </c>
      <c r="J53">
        <f t="shared" si="3"/>
        <v>0.86535132776988122</v>
      </c>
      <c r="K53" s="4">
        <f t="shared" si="0"/>
        <v>0.97761425979602012</v>
      </c>
      <c r="L53" s="3">
        <f t="shared" si="4"/>
        <v>0.91852043599497113</v>
      </c>
      <c r="M53" s="3">
        <f t="shared" si="5"/>
        <v>0.8851664335894992</v>
      </c>
      <c r="R53">
        <f t="shared" si="6"/>
        <v>1.0221317713725302</v>
      </c>
      <c r="S53">
        <f t="shared" si="7"/>
        <v>1.0042310682873152</v>
      </c>
    </row>
    <row r="54" spans="1:19" x14ac:dyDescent="0.3">
      <c r="A54">
        <v>32.1036</v>
      </c>
      <c r="B54">
        <f t="shared" si="1"/>
        <v>25.8886</v>
      </c>
      <c r="C54">
        <v>852.32799999999997</v>
      </c>
      <c r="D54">
        <v>124.929</v>
      </c>
      <c r="E54">
        <v>137.73400000000001</v>
      </c>
      <c r="I54">
        <f t="shared" si="2"/>
        <v>0.89815889271384497</v>
      </c>
      <c r="J54">
        <f t="shared" si="3"/>
        <v>0.87905121096553551</v>
      </c>
      <c r="K54" s="4">
        <f t="shared" si="0"/>
        <v>0.99556911244913149</v>
      </c>
      <c r="L54" s="3">
        <f t="shared" si="4"/>
        <v>0.90215624559137408</v>
      </c>
      <c r="M54" s="3">
        <f t="shared" si="5"/>
        <v>0.88296352304767844</v>
      </c>
      <c r="R54">
        <f t="shared" si="6"/>
        <v>0.96832690091177942</v>
      </c>
      <c r="S54">
        <f t="shared" si="7"/>
        <v>0.99363032292160092</v>
      </c>
    </row>
    <row r="55" spans="1:19" x14ac:dyDescent="0.3">
      <c r="A55">
        <v>32.648000000000003</v>
      </c>
      <c r="B55">
        <f t="shared" si="1"/>
        <v>26.433000000000003</v>
      </c>
      <c r="C55">
        <v>855.37900000000002</v>
      </c>
      <c r="D55">
        <v>127.661</v>
      </c>
      <c r="E55">
        <v>138.822</v>
      </c>
      <c r="I55">
        <f t="shared" si="2"/>
        <v>0.90137394933719883</v>
      </c>
      <c r="J55">
        <f t="shared" si="3"/>
        <v>0.89827467315892418</v>
      </c>
      <c r="K55" s="4">
        <f t="shared" si="0"/>
        <v>1.0034333957368067</v>
      </c>
      <c r="L55" s="3">
        <f t="shared" si="4"/>
        <v>0.89828976508733094</v>
      </c>
      <c r="M55" s="3">
        <f t="shared" si="5"/>
        <v>0.89520109354077659</v>
      </c>
      <c r="R55">
        <f t="shared" si="6"/>
        <v>0.95561405184756099</v>
      </c>
      <c r="S55">
        <f t="shared" si="7"/>
        <v>1.0525193999991886</v>
      </c>
    </row>
    <row r="56" spans="1:19" x14ac:dyDescent="0.3">
      <c r="A56">
        <v>33.192399999999999</v>
      </c>
      <c r="B56">
        <f t="shared" si="1"/>
        <v>26.977399999999999</v>
      </c>
      <c r="C56">
        <v>870.69</v>
      </c>
      <c r="D56">
        <v>124.446</v>
      </c>
      <c r="E56">
        <v>136.875</v>
      </c>
      <c r="I56">
        <f t="shared" si="2"/>
        <v>0.9175082436538724</v>
      </c>
      <c r="J56">
        <f t="shared" si="3"/>
        <v>0.87565262669049648</v>
      </c>
      <c r="K56" s="4">
        <f t="shared" si="0"/>
        <v>0.98936008731667469</v>
      </c>
      <c r="L56" s="3">
        <f t="shared" si="4"/>
        <v>0.92737543733174277</v>
      </c>
      <c r="M56" s="3">
        <f t="shared" si="5"/>
        <v>0.88506969092054888</v>
      </c>
      <c r="R56">
        <f t="shared" si="6"/>
        <v>1.0512466978127679</v>
      </c>
      <c r="S56">
        <f t="shared" si="7"/>
        <v>1.0037655276400341</v>
      </c>
    </row>
    <row r="57" spans="1:19" x14ac:dyDescent="0.3">
      <c r="A57">
        <v>33.736800000000002</v>
      </c>
      <c r="B57">
        <f t="shared" si="1"/>
        <v>27.521800000000002</v>
      </c>
      <c r="C57">
        <v>865.58600000000001</v>
      </c>
      <c r="D57">
        <v>122.536</v>
      </c>
      <c r="E57">
        <v>136.047</v>
      </c>
      <c r="I57">
        <f t="shared" si="2"/>
        <v>0.91212979429117225</v>
      </c>
      <c r="J57">
        <f t="shared" si="3"/>
        <v>0.86221309053040418</v>
      </c>
      <c r="K57" s="4">
        <f t="shared" si="0"/>
        <v>0.98337513643230423</v>
      </c>
      <c r="L57" s="3">
        <f t="shared" si="4"/>
        <v>0.92755018964623115</v>
      </c>
      <c r="M57" s="3">
        <f t="shared" si="5"/>
        <v>0.87678959797430178</v>
      </c>
      <c r="R57">
        <f t="shared" si="6"/>
        <v>1.0518212771480033</v>
      </c>
      <c r="S57">
        <f t="shared" si="7"/>
        <v>0.96392044302980529</v>
      </c>
    </row>
    <row r="58" spans="1:19" x14ac:dyDescent="0.3">
      <c r="A58">
        <v>34.281199999999998</v>
      </c>
      <c r="B58">
        <f t="shared" si="1"/>
        <v>28.066199999999998</v>
      </c>
      <c r="C58">
        <v>856.20699999999999</v>
      </c>
      <c r="D58">
        <v>121.375</v>
      </c>
      <c r="E58">
        <v>134.14099999999999</v>
      </c>
      <c r="I58">
        <f t="shared" si="2"/>
        <v>0.90224647207864006</v>
      </c>
      <c r="J58">
        <f t="shared" si="3"/>
        <v>0.85404382273885071</v>
      </c>
      <c r="K58" s="4">
        <f t="shared" si="0"/>
        <v>0.96959818427577027</v>
      </c>
      <c r="L58" s="3">
        <f t="shared" si="4"/>
        <v>0.93053647037567655</v>
      </c>
      <c r="M58" s="3">
        <f t="shared" si="5"/>
        <v>0.88082242375151365</v>
      </c>
      <c r="R58">
        <f t="shared" si="6"/>
        <v>1.0616400609585319</v>
      </c>
      <c r="S58">
        <f t="shared" si="7"/>
        <v>0.98332702280547668</v>
      </c>
    </row>
    <row r="59" spans="1:19" x14ac:dyDescent="0.3">
      <c r="A59">
        <v>34.8414</v>
      </c>
      <c r="B59">
        <f t="shared" si="1"/>
        <v>28.6264</v>
      </c>
      <c r="C59">
        <v>861.60299999999995</v>
      </c>
      <c r="D59">
        <v>126.571</v>
      </c>
      <c r="E59">
        <v>138.047</v>
      </c>
      <c r="I59">
        <f t="shared" si="2"/>
        <v>0.90793262269798358</v>
      </c>
      <c r="J59">
        <f t="shared" si="3"/>
        <v>0.89060499021939499</v>
      </c>
      <c r="K59" s="4">
        <f t="shared" si="0"/>
        <v>0.99783153953464832</v>
      </c>
      <c r="L59" s="3">
        <f t="shared" si="4"/>
        <v>0.90990571727308778</v>
      </c>
      <c r="M59" s="3">
        <f t="shared" si="5"/>
        <v>0.89254042885309093</v>
      </c>
      <c r="R59">
        <f t="shared" si="6"/>
        <v>0.99380688554225693</v>
      </c>
      <c r="S59">
        <f t="shared" si="7"/>
        <v>1.0397158710667829</v>
      </c>
    </row>
    <row r="60" spans="1:19" x14ac:dyDescent="0.3">
      <c r="A60">
        <v>35.401699999999998</v>
      </c>
      <c r="B60">
        <f t="shared" si="1"/>
        <v>29.186699999999998</v>
      </c>
      <c r="C60">
        <v>852.58600000000001</v>
      </c>
      <c r="D60">
        <v>122.839</v>
      </c>
      <c r="E60">
        <v>135.75</v>
      </c>
      <c r="I60">
        <f t="shared" si="2"/>
        <v>0.89843076574197522</v>
      </c>
      <c r="J60">
        <f t="shared" si="3"/>
        <v>0.86434512165946598</v>
      </c>
      <c r="K60" s="4">
        <f t="shared" si="0"/>
        <v>0.98122836057160612</v>
      </c>
      <c r="L60" s="3">
        <f t="shared" si="4"/>
        <v>0.91561842466375731</v>
      </c>
      <c r="M60" s="3">
        <f t="shared" si="5"/>
        <v>0.88088069647309131</v>
      </c>
      <c r="R60">
        <f t="shared" si="6"/>
        <v>1.0125900623175397</v>
      </c>
      <c r="S60">
        <f t="shared" si="7"/>
        <v>0.98360744013132106</v>
      </c>
    </row>
    <row r="61" spans="1:19" x14ac:dyDescent="0.3">
      <c r="A61">
        <v>35.962000000000003</v>
      </c>
      <c r="B61">
        <f t="shared" si="1"/>
        <v>29.747000000000003</v>
      </c>
      <c r="C61">
        <v>862.77599999999995</v>
      </c>
      <c r="D61">
        <v>123.839</v>
      </c>
      <c r="E61">
        <v>137.125</v>
      </c>
      <c r="I61">
        <f t="shared" si="2"/>
        <v>0.90916869658169186</v>
      </c>
      <c r="J61">
        <f t="shared" si="3"/>
        <v>0.87138152802600644</v>
      </c>
      <c r="K61" s="4">
        <f t="shared" si="0"/>
        <v>0.99116713770446774</v>
      </c>
      <c r="L61" s="3">
        <f t="shared" si="4"/>
        <v>0.9172708234529614</v>
      </c>
      <c r="M61" s="3">
        <f t="shared" si="5"/>
        <v>0.87914691163401215</v>
      </c>
      <c r="R61">
        <f t="shared" si="6"/>
        <v>1.0180230902040328</v>
      </c>
      <c r="S61">
        <f t="shared" si="7"/>
        <v>0.97526420001825542</v>
      </c>
    </row>
    <row r="62" spans="1:19" x14ac:dyDescent="0.3">
      <c r="A62">
        <v>36.522300000000001</v>
      </c>
      <c r="B62">
        <f t="shared" si="1"/>
        <v>30.307300000000001</v>
      </c>
      <c r="C62">
        <v>844.86199999999997</v>
      </c>
      <c r="D62">
        <v>126.429</v>
      </c>
      <c r="E62">
        <v>138.46899999999999</v>
      </c>
      <c r="I62">
        <f t="shared" si="2"/>
        <v>0.89029143524089849</v>
      </c>
      <c r="J62">
        <f t="shared" si="3"/>
        <v>0.88960582051534631</v>
      </c>
      <c r="K62" s="4">
        <f t="shared" si="0"/>
        <v>1.0008818405892428</v>
      </c>
      <c r="L62" s="3">
        <f t="shared" si="4"/>
        <v>0.88950703183580881</v>
      </c>
      <c r="M62" s="3">
        <f t="shared" si="5"/>
        <v>0.88882202118045661</v>
      </c>
      <c r="R62">
        <f t="shared" si="6"/>
        <v>0.92673674027670538</v>
      </c>
      <c r="S62">
        <f t="shared" si="7"/>
        <v>1.0218223197149721</v>
      </c>
    </row>
    <row r="63" spans="1:19" x14ac:dyDescent="0.3">
      <c r="A63">
        <v>37.066699999999997</v>
      </c>
      <c r="B63">
        <f t="shared" si="1"/>
        <v>30.851699999999997</v>
      </c>
      <c r="C63">
        <v>852.13800000000003</v>
      </c>
      <c r="D63">
        <v>126.375</v>
      </c>
      <c r="E63">
        <v>138.48400000000001</v>
      </c>
      <c r="I63">
        <f t="shared" si="2"/>
        <v>0.89795867614274139</v>
      </c>
      <c r="J63">
        <f t="shared" si="3"/>
        <v>0.88922585457155312</v>
      </c>
      <c r="K63" s="4">
        <f t="shared" si="0"/>
        <v>1.0009902636125105</v>
      </c>
      <c r="L63" s="3">
        <f t="shared" si="4"/>
        <v>0.89707034002715003</v>
      </c>
      <c r="M63" s="3">
        <f t="shared" si="5"/>
        <v>0.88834615769627301</v>
      </c>
      <c r="R63">
        <f t="shared" si="6"/>
        <v>0.95160462603537999</v>
      </c>
      <c r="S63">
        <f t="shared" si="7"/>
        <v>1.019532391218601</v>
      </c>
    </row>
    <row r="64" spans="1:19" x14ac:dyDescent="0.3">
      <c r="A64">
        <v>37.6111</v>
      </c>
      <c r="B64">
        <f t="shared" si="1"/>
        <v>31.396100000000001</v>
      </c>
      <c r="C64">
        <v>855.25900000000001</v>
      </c>
      <c r="D64">
        <v>123.071</v>
      </c>
      <c r="E64">
        <v>135.703</v>
      </c>
      <c r="I64">
        <f t="shared" si="2"/>
        <v>0.90124749676597549</v>
      </c>
      <c r="J64">
        <f t="shared" si="3"/>
        <v>0.86597756793650327</v>
      </c>
      <c r="K64" s="4">
        <f t="shared" si="0"/>
        <v>0.98088863509870106</v>
      </c>
      <c r="L64" s="3">
        <f t="shared" si="4"/>
        <v>0.91880715559038795</v>
      </c>
      <c r="M64" s="3">
        <f t="shared" si="5"/>
        <v>0.88285003714959454</v>
      </c>
      <c r="R64">
        <f t="shared" si="6"/>
        <v>1.0230744951070676</v>
      </c>
      <c r="S64">
        <f t="shared" si="7"/>
        <v>0.99308421127278534</v>
      </c>
    </row>
    <row r="65" spans="1:19" x14ac:dyDescent="0.3">
      <c r="A65">
        <v>38.155500000000004</v>
      </c>
      <c r="B65">
        <f t="shared" si="1"/>
        <v>31.940500000000004</v>
      </c>
      <c r="C65">
        <v>863.58600000000001</v>
      </c>
      <c r="D65">
        <v>130.089</v>
      </c>
      <c r="E65">
        <v>141.53100000000001</v>
      </c>
      <c r="I65">
        <f t="shared" si="2"/>
        <v>0.91002225143744964</v>
      </c>
      <c r="J65">
        <f t="shared" si="3"/>
        <v>0.91535906781688436</v>
      </c>
      <c r="K65" s="4">
        <f t="shared" si="0"/>
        <v>1.0230145937389319</v>
      </c>
      <c r="L65" s="3">
        <f t="shared" si="4"/>
        <v>0.88954962813529781</v>
      </c>
      <c r="M65" s="3">
        <f t="shared" si="5"/>
        <v>0.894766383020416</v>
      </c>
      <c r="R65">
        <f t="shared" si="6"/>
        <v>0.92687679537992695</v>
      </c>
      <c r="S65">
        <f t="shared" si="7"/>
        <v>1.0504275059133166</v>
      </c>
    </row>
    <row r="66" spans="1:19" x14ac:dyDescent="0.3">
      <c r="A66">
        <v>38.6999</v>
      </c>
      <c r="B66">
        <f t="shared" si="1"/>
        <v>32.484899999999996</v>
      </c>
      <c r="C66">
        <v>861.37900000000002</v>
      </c>
      <c r="D66">
        <v>124.821</v>
      </c>
      <c r="E66">
        <v>138.53100000000001</v>
      </c>
      <c r="I66">
        <f t="shared" si="2"/>
        <v>0.90769657789836677</v>
      </c>
      <c r="J66">
        <f t="shared" si="3"/>
        <v>0.87829127907794913</v>
      </c>
      <c r="K66" s="4">
        <f t="shared" ref="K66" si="8">E66/$H$2</f>
        <v>1.0013299890854157</v>
      </c>
      <c r="L66" s="3">
        <f t="shared" si="4"/>
        <v>0.90649095482242492</v>
      </c>
      <c r="M66" s="3">
        <f t="shared" si="5"/>
        <v>0.87712471278339887</v>
      </c>
      <c r="R66">
        <f t="shared" si="6"/>
        <v>0.9825792692177876</v>
      </c>
      <c r="S66">
        <f t="shared" si="7"/>
        <v>0.96553306718865195</v>
      </c>
    </row>
    <row r="67" spans="1:19" x14ac:dyDescent="0.3">
      <c r="K67" s="4"/>
      <c r="L67" s="3"/>
      <c r="M67" s="3"/>
    </row>
    <row r="68" spans="1:19" x14ac:dyDescent="0.3">
      <c r="K68" s="4"/>
      <c r="L68" s="3"/>
      <c r="M68" s="3"/>
    </row>
    <row r="69" spans="1:19" x14ac:dyDescent="0.3">
      <c r="K69" s="4"/>
      <c r="L69" s="3"/>
      <c r="M69" s="3"/>
    </row>
    <row r="70" spans="1:19" x14ac:dyDescent="0.3">
      <c r="K70" s="4"/>
      <c r="L70" s="3"/>
      <c r="M70" s="3"/>
    </row>
    <row r="71" spans="1:19" x14ac:dyDescent="0.3">
      <c r="K71" s="4"/>
      <c r="L71" s="3"/>
      <c r="M71" s="3"/>
    </row>
    <row r="72" spans="1:19" x14ac:dyDescent="0.3">
      <c r="K72" s="4"/>
      <c r="L72" s="3"/>
      <c r="M72" s="3"/>
    </row>
    <row r="73" spans="1:19" x14ac:dyDescent="0.3">
      <c r="K73" s="4"/>
      <c r="L73" s="3"/>
      <c r="M73" s="3"/>
    </row>
    <row r="74" spans="1:19" x14ac:dyDescent="0.3">
      <c r="K74" s="4"/>
      <c r="L74" s="3"/>
      <c r="M74" s="3"/>
    </row>
    <row r="75" spans="1:19" x14ac:dyDescent="0.3">
      <c r="K75" s="4"/>
      <c r="L75" s="3"/>
      <c r="M75" s="3"/>
    </row>
    <row r="76" spans="1:19" x14ac:dyDescent="0.3">
      <c r="K76" s="4"/>
      <c r="L76" s="3"/>
      <c r="M76" s="3"/>
    </row>
    <row r="77" spans="1:19" x14ac:dyDescent="0.3">
      <c r="K77" s="4"/>
      <c r="L77" s="3"/>
      <c r="M77" s="3"/>
    </row>
    <row r="78" spans="1:19" x14ac:dyDescent="0.3">
      <c r="K78" s="4"/>
      <c r="L78" s="3"/>
      <c r="M78" s="3"/>
    </row>
    <row r="79" spans="1:19" x14ac:dyDescent="0.3">
      <c r="K79" s="4"/>
      <c r="L79" s="3"/>
      <c r="M79" s="3"/>
    </row>
    <row r="80" spans="1:19" x14ac:dyDescent="0.3">
      <c r="K80" s="4"/>
      <c r="L80" s="3"/>
      <c r="M80" s="3"/>
    </row>
    <row r="81" spans="11:13" x14ac:dyDescent="0.3">
      <c r="K81" s="4"/>
      <c r="L81" s="3"/>
      <c r="M81" s="3"/>
    </row>
    <row r="82" spans="11:13" x14ac:dyDescent="0.3">
      <c r="K82" s="4"/>
      <c r="L82" s="3"/>
      <c r="M82" s="3"/>
    </row>
    <row r="83" spans="11:13" x14ac:dyDescent="0.3">
      <c r="K83" s="4"/>
      <c r="L83" s="3"/>
      <c r="M83" s="3"/>
    </row>
    <row r="84" spans="11:13" x14ac:dyDescent="0.3">
      <c r="K84" s="4"/>
      <c r="L84" s="3"/>
      <c r="M84" s="3"/>
    </row>
    <row r="85" spans="11:13" x14ac:dyDescent="0.3">
      <c r="K85" s="4"/>
      <c r="L85" s="3"/>
      <c r="M85" s="3"/>
    </row>
    <row r="86" spans="11:13" x14ac:dyDescent="0.3">
      <c r="K86" s="4"/>
      <c r="L86" s="3"/>
      <c r="M86" s="3"/>
    </row>
    <row r="87" spans="11:13" x14ac:dyDescent="0.3">
      <c r="K87" s="4"/>
      <c r="L87" s="3"/>
      <c r="M87" s="3"/>
    </row>
    <row r="88" spans="11:13" x14ac:dyDescent="0.3">
      <c r="K88" s="4"/>
      <c r="L88" s="3"/>
      <c r="M88" s="3"/>
    </row>
    <row r="89" spans="11:13" x14ac:dyDescent="0.3">
      <c r="K89" s="4"/>
      <c r="L89" s="3"/>
      <c r="M89" s="3"/>
    </row>
    <row r="90" spans="11:13" x14ac:dyDescent="0.3">
      <c r="K90" s="4"/>
      <c r="L90" s="3"/>
      <c r="M90" s="3"/>
    </row>
    <row r="91" spans="11:13" x14ac:dyDescent="0.3">
      <c r="K91" s="4"/>
      <c r="L91" s="3"/>
      <c r="M91" s="3"/>
    </row>
    <row r="92" spans="11:13" x14ac:dyDescent="0.3">
      <c r="K92" s="4"/>
      <c r="L92" s="3"/>
      <c r="M92" s="3"/>
    </row>
    <row r="93" spans="11:13" x14ac:dyDescent="0.3">
      <c r="K93" s="4"/>
      <c r="L93" s="3"/>
      <c r="M93" s="3"/>
    </row>
    <row r="94" spans="11:13" x14ac:dyDescent="0.3">
      <c r="K94" s="4"/>
      <c r="L94" s="3"/>
      <c r="M94" s="3"/>
    </row>
    <row r="95" spans="11:13" x14ac:dyDescent="0.3">
      <c r="K95" s="4"/>
      <c r="L95" s="3"/>
      <c r="M95" s="3"/>
    </row>
    <row r="96" spans="11:13" x14ac:dyDescent="0.3">
      <c r="K96" s="4"/>
      <c r="L96" s="3"/>
      <c r="M96" s="3"/>
    </row>
    <row r="97" spans="11:13" x14ac:dyDescent="0.3">
      <c r="K97" s="4"/>
      <c r="L97" s="3"/>
      <c r="M97" s="3"/>
    </row>
    <row r="98" spans="11:13" x14ac:dyDescent="0.3">
      <c r="K98" s="4"/>
      <c r="L98" s="3"/>
      <c r="M98" s="3"/>
    </row>
    <row r="99" spans="11:13" x14ac:dyDescent="0.3">
      <c r="K99" s="4"/>
      <c r="L99" s="3"/>
      <c r="M99" s="3"/>
    </row>
    <row r="100" spans="11:13" x14ac:dyDescent="0.3">
      <c r="K100" s="4"/>
      <c r="L100" s="3"/>
      <c r="M100" s="3"/>
    </row>
    <row r="101" spans="11:13" x14ac:dyDescent="0.3">
      <c r="K101" s="4"/>
      <c r="L101" s="3"/>
      <c r="M101" s="3"/>
    </row>
    <row r="102" spans="11:13" x14ac:dyDescent="0.3">
      <c r="K102" s="4"/>
      <c r="L102" s="3"/>
      <c r="M102" s="3"/>
    </row>
    <row r="103" spans="11:13" x14ac:dyDescent="0.3">
      <c r="K103" s="4"/>
      <c r="L103" s="3"/>
      <c r="M103" s="3"/>
    </row>
    <row r="104" spans="11:13" x14ac:dyDescent="0.3">
      <c r="K104" s="4"/>
      <c r="L104" s="3"/>
      <c r="M104" s="3"/>
    </row>
    <row r="105" spans="11:13" x14ac:dyDescent="0.3">
      <c r="K105" s="4"/>
      <c r="L105" s="3"/>
      <c r="M105" s="3"/>
    </row>
    <row r="106" spans="11:13" x14ac:dyDescent="0.3">
      <c r="K106" s="4"/>
      <c r="L106" s="3"/>
      <c r="M106" s="3"/>
    </row>
    <row r="107" spans="11:13" x14ac:dyDescent="0.3">
      <c r="K107" s="4"/>
      <c r="L107" s="3"/>
      <c r="M107" s="3"/>
    </row>
    <row r="108" spans="11:13" x14ac:dyDescent="0.3">
      <c r="K108" s="4"/>
      <c r="L108" s="3"/>
      <c r="M108" s="3"/>
    </row>
    <row r="109" spans="11:13" x14ac:dyDescent="0.3">
      <c r="K109" s="4"/>
      <c r="L109" s="3"/>
      <c r="M109" s="3"/>
    </row>
    <row r="110" spans="11:13" x14ac:dyDescent="0.3">
      <c r="K110" s="4"/>
      <c r="L110" s="3"/>
      <c r="M110" s="3"/>
    </row>
    <row r="111" spans="11:13" x14ac:dyDescent="0.3">
      <c r="K111" s="4"/>
      <c r="L111" s="3"/>
      <c r="M111" s="3"/>
    </row>
    <row r="112" spans="11:13" x14ac:dyDescent="0.3">
      <c r="K112" s="4"/>
      <c r="L112" s="3"/>
      <c r="M112" s="3"/>
    </row>
    <row r="113" spans="11:13" x14ac:dyDescent="0.3">
      <c r="K113" s="4"/>
      <c r="L113" s="3"/>
      <c r="M113" s="3"/>
    </row>
    <row r="114" spans="11:13" x14ac:dyDescent="0.3">
      <c r="K114" s="4"/>
      <c r="L114" s="3"/>
      <c r="M114" s="3"/>
    </row>
    <row r="115" spans="11:13" x14ac:dyDescent="0.3">
      <c r="K115" s="4"/>
      <c r="L115" s="3"/>
      <c r="M115" s="3"/>
    </row>
    <row r="116" spans="11:13" x14ac:dyDescent="0.3">
      <c r="K116" s="4"/>
      <c r="L116" s="3"/>
      <c r="M116" s="3"/>
    </row>
    <row r="117" spans="11:13" x14ac:dyDescent="0.3">
      <c r="K117" s="4"/>
      <c r="L117" s="3"/>
      <c r="M117" s="3"/>
    </row>
    <row r="118" spans="11:13" x14ac:dyDescent="0.3">
      <c r="K118" s="4"/>
      <c r="L118" s="3"/>
      <c r="M118" s="3"/>
    </row>
    <row r="119" spans="11:13" x14ac:dyDescent="0.3">
      <c r="K119" s="4"/>
      <c r="L119" s="3"/>
      <c r="M119" s="3"/>
    </row>
    <row r="120" spans="11:13" x14ac:dyDescent="0.3">
      <c r="K120" s="4"/>
      <c r="L120" s="3"/>
      <c r="M120" s="3"/>
    </row>
    <row r="121" spans="11:13" x14ac:dyDescent="0.3">
      <c r="K121" s="4"/>
      <c r="L121" s="3"/>
      <c r="M121" s="3"/>
    </row>
    <row r="122" spans="11:13" x14ac:dyDescent="0.3">
      <c r="K122" s="4"/>
      <c r="L122" s="3"/>
      <c r="M122" s="3"/>
    </row>
    <row r="123" spans="11:13" x14ac:dyDescent="0.3">
      <c r="K123" s="4"/>
      <c r="L123" s="3"/>
      <c r="M123" s="3"/>
    </row>
    <row r="124" spans="11:13" x14ac:dyDescent="0.3">
      <c r="K124" s="4"/>
      <c r="L124" s="3"/>
      <c r="M124" s="3"/>
    </row>
    <row r="125" spans="11:13" x14ac:dyDescent="0.3">
      <c r="K125" s="4"/>
      <c r="L125" s="3"/>
      <c r="M125" s="3"/>
    </row>
    <row r="126" spans="11:13" x14ac:dyDescent="0.3">
      <c r="K126" s="4"/>
      <c r="L126" s="3"/>
      <c r="M126" s="3"/>
    </row>
    <row r="127" spans="11:13" x14ac:dyDescent="0.3">
      <c r="K127" s="4"/>
      <c r="L127" s="3"/>
      <c r="M127" s="3"/>
    </row>
    <row r="128" spans="11:13" x14ac:dyDescent="0.3">
      <c r="K128" s="4"/>
      <c r="L128" s="3"/>
      <c r="M128" s="3"/>
    </row>
    <row r="129" spans="11:13" x14ac:dyDescent="0.3">
      <c r="K129" s="4"/>
      <c r="L129" s="3"/>
      <c r="M129" s="3"/>
    </row>
    <row r="130" spans="11:13" x14ac:dyDescent="0.3">
      <c r="K130" s="4"/>
      <c r="L130" s="3"/>
      <c r="M130" s="3"/>
    </row>
    <row r="131" spans="11:13" x14ac:dyDescent="0.3">
      <c r="K131" s="4"/>
      <c r="L131" s="3"/>
      <c r="M131" s="3"/>
    </row>
    <row r="132" spans="11:13" x14ac:dyDescent="0.3">
      <c r="K132" s="4"/>
      <c r="L132" s="3"/>
      <c r="M132" s="3"/>
    </row>
    <row r="133" spans="11:13" x14ac:dyDescent="0.3">
      <c r="K133" s="4"/>
      <c r="L133" s="3"/>
      <c r="M133" s="3"/>
    </row>
    <row r="134" spans="11:13" x14ac:dyDescent="0.3">
      <c r="K134" s="4"/>
      <c r="L134" s="3"/>
      <c r="M134" s="3"/>
    </row>
    <row r="135" spans="11:13" x14ac:dyDescent="0.3">
      <c r="K135" s="4"/>
      <c r="L135" s="3"/>
      <c r="M135" s="3"/>
    </row>
    <row r="136" spans="11:13" x14ac:dyDescent="0.3">
      <c r="K136" s="4"/>
      <c r="L136" s="3"/>
      <c r="M136" s="3"/>
    </row>
    <row r="137" spans="11:13" x14ac:dyDescent="0.3">
      <c r="K137" s="4"/>
      <c r="L137" s="3"/>
      <c r="M137" s="3"/>
    </row>
    <row r="138" spans="11:13" x14ac:dyDescent="0.3">
      <c r="K138" s="4"/>
      <c r="L138" s="3"/>
      <c r="M138" s="3"/>
    </row>
    <row r="139" spans="11:13" x14ac:dyDescent="0.3">
      <c r="K139" s="4"/>
      <c r="L139" s="3"/>
      <c r="M139" s="3"/>
    </row>
    <row r="140" spans="11:13" x14ac:dyDescent="0.3">
      <c r="K140" s="4"/>
      <c r="L140" s="3"/>
      <c r="M140" s="3"/>
    </row>
    <row r="141" spans="11:13" x14ac:dyDescent="0.3">
      <c r="K141" s="4"/>
      <c r="L141" s="3"/>
      <c r="M141" s="3"/>
    </row>
    <row r="142" spans="11:13" x14ac:dyDescent="0.3">
      <c r="K142" s="4"/>
      <c r="L142" s="3"/>
      <c r="M142" s="3"/>
    </row>
    <row r="143" spans="11:13" x14ac:dyDescent="0.3">
      <c r="K143" s="4"/>
      <c r="L143" s="3"/>
      <c r="M143" s="3"/>
    </row>
    <row r="144" spans="11:13" x14ac:dyDescent="0.3">
      <c r="K144" s="4"/>
      <c r="L144" s="3"/>
      <c r="M144" s="3"/>
    </row>
    <row r="145" spans="11:13" x14ac:dyDescent="0.3">
      <c r="K145" s="4"/>
      <c r="L145" s="3"/>
      <c r="M145" s="3"/>
    </row>
    <row r="146" spans="11:13" x14ac:dyDescent="0.3">
      <c r="K146" s="4"/>
      <c r="L146" s="3"/>
      <c r="M146" s="3"/>
    </row>
    <row r="147" spans="11:13" x14ac:dyDescent="0.3">
      <c r="K147" s="4"/>
      <c r="L147" s="3"/>
      <c r="M147" s="3"/>
    </row>
    <row r="148" spans="11:13" x14ac:dyDescent="0.3">
      <c r="K148" s="4"/>
      <c r="L148" s="3"/>
      <c r="M148" s="3"/>
    </row>
    <row r="149" spans="11:13" x14ac:dyDescent="0.3">
      <c r="K149" s="4"/>
      <c r="L149" s="3"/>
      <c r="M149" s="3"/>
    </row>
    <row r="150" spans="11:13" x14ac:dyDescent="0.3">
      <c r="K150" s="4"/>
      <c r="L150" s="3"/>
      <c r="M150" s="3"/>
    </row>
    <row r="151" spans="11:13" x14ac:dyDescent="0.3">
      <c r="K151" s="4"/>
      <c r="L151" s="3"/>
      <c r="M151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6336-6360-487F-B000-D865EC2E13C7}">
  <dimension ref="A1:S176"/>
  <sheetViews>
    <sheetView topLeftCell="C1" workbookViewId="0">
      <selection activeCell="N7" sqref="N7:Q7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A2-$A$7</f>
        <v>-6.2149000000000001</v>
      </c>
      <c r="C2">
        <v>1085.9659999999999</v>
      </c>
      <c r="D2">
        <v>124.268</v>
      </c>
      <c r="E2">
        <v>207.36500000000001</v>
      </c>
      <c r="F2">
        <f>AVERAGE(C2:C6)</f>
        <v>1084.345</v>
      </c>
      <c r="G2">
        <f>AVERAGE(D2:D6)</f>
        <v>123.29259999999999</v>
      </c>
      <c r="H2">
        <f>AVERAGE(E2:E6)</f>
        <v>205.21539999999999</v>
      </c>
      <c r="I2">
        <f>C2/$F$2</f>
        <v>1.0014949116747898</v>
      </c>
      <c r="J2">
        <f>D2/$G$2</f>
        <v>1.0079112615031236</v>
      </c>
      <c r="K2" s="4">
        <f t="shared" ref="K2:K65" si="0">E2/$H$2</f>
        <v>1.0104748474042398</v>
      </c>
      <c r="L2" s="3">
        <f>I2/K2</f>
        <v>0.99111315264054511</v>
      </c>
      <c r="M2" s="3">
        <f>J2/K2</f>
        <v>0.9974629889029879</v>
      </c>
      <c r="R2">
        <f>(L2-$L$7)/($N$7-$L$7)</f>
        <v>1.3024898917301595</v>
      </c>
      <c r="S2">
        <f>(M2-$M$7)/($O$7-$M$7)</f>
        <v>1.2093232212945673</v>
      </c>
    </row>
    <row r="3" spans="1:19" x14ac:dyDescent="0.3">
      <c r="A3">
        <v>0.5444</v>
      </c>
      <c r="B3">
        <f t="shared" ref="B3:B66" si="1">A3-$A$7</f>
        <v>-5.6705000000000005</v>
      </c>
      <c r="C3">
        <v>1090.1210000000001</v>
      </c>
      <c r="D3">
        <v>124.571</v>
      </c>
      <c r="E3">
        <v>208.38499999999999</v>
      </c>
      <c r="I3">
        <f t="shared" ref="I3:I66" si="2">C3/$F$2</f>
        <v>1.0053267179726011</v>
      </c>
      <c r="J3">
        <f t="shared" ref="J3:J66" si="3">D3/$G$2</f>
        <v>1.010368829921666</v>
      </c>
      <c r="K3" s="4">
        <f t="shared" si="0"/>
        <v>1.0154452346168952</v>
      </c>
      <c r="L3" s="3">
        <f t="shared" ref="L3:L66" si="4">I3/K3</f>
        <v>0.99003538910878675</v>
      </c>
      <c r="M3" s="3">
        <f t="shared" ref="M3:M66" si="5">J3/K3</f>
        <v>0.9950008089829242</v>
      </c>
      <c r="R3">
        <f t="shared" ref="R3:R66" si="6">(L3-$L$7)/($N$7-$L$7)</f>
        <v>1.2944190827640043</v>
      </c>
      <c r="S3">
        <f t="shared" ref="S3:S66" si="7">(M3-$M$7)/($O$7-$M$7)</f>
        <v>1.2007701496806376</v>
      </c>
    </row>
    <row r="4" spans="1:19" x14ac:dyDescent="0.3">
      <c r="A4">
        <v>1.1047</v>
      </c>
      <c r="B4">
        <f t="shared" si="1"/>
        <v>-5.1101999999999999</v>
      </c>
      <c r="C4">
        <v>1089.672</v>
      </c>
      <c r="D4">
        <v>124.464</v>
      </c>
      <c r="E4">
        <v>209.61500000000001</v>
      </c>
      <c r="I4">
        <f t="shared" si="2"/>
        <v>1.0049126431163513</v>
      </c>
      <c r="J4">
        <f t="shared" si="3"/>
        <v>1.0095009757276592</v>
      </c>
      <c r="K4" s="4">
        <f t="shared" si="0"/>
        <v>1.0214389368439212</v>
      </c>
      <c r="L4" s="3">
        <f t="shared" si="4"/>
        <v>0.98382057592337979</v>
      </c>
      <c r="M4" s="3">
        <f t="shared" si="5"/>
        <v>0.98831260422365697</v>
      </c>
      <c r="R4">
        <f t="shared" si="6"/>
        <v>1.2478795882443408</v>
      </c>
      <c r="S4">
        <f t="shared" si="7"/>
        <v>1.1775367970696073</v>
      </c>
    </row>
    <row r="5" spans="1:19" x14ac:dyDescent="0.3">
      <c r="A5">
        <v>1.665</v>
      </c>
      <c r="B5">
        <f t="shared" si="1"/>
        <v>-4.5499000000000001</v>
      </c>
      <c r="C5">
        <v>1079.7760000000001</v>
      </c>
      <c r="D5">
        <v>122.214</v>
      </c>
      <c r="E5">
        <v>194.71199999999999</v>
      </c>
      <c r="I5">
        <f t="shared" si="2"/>
        <v>0.99578639639598099</v>
      </c>
      <c r="J5">
        <f t="shared" si="3"/>
        <v>0.99125170529293738</v>
      </c>
      <c r="K5" s="4">
        <f t="shared" si="0"/>
        <v>0.94881768132411115</v>
      </c>
      <c r="L5" s="3">
        <f t="shared" si="4"/>
        <v>1.0495023606709386</v>
      </c>
      <c r="M5" s="3">
        <f t="shared" si="5"/>
        <v>1.0447230535476615</v>
      </c>
      <c r="R5">
        <f t="shared" si="6"/>
        <v>1.7397362169324595</v>
      </c>
      <c r="S5">
        <f t="shared" si="7"/>
        <v>1.3734942934777827</v>
      </c>
    </row>
    <row r="6" spans="1:19" x14ac:dyDescent="0.3">
      <c r="A6">
        <v>2.2094</v>
      </c>
      <c r="B6">
        <f t="shared" si="1"/>
        <v>-4.0054999999999996</v>
      </c>
      <c r="C6">
        <v>1076.19</v>
      </c>
      <c r="D6">
        <v>120.946</v>
      </c>
      <c r="E6">
        <v>206</v>
      </c>
      <c r="I6">
        <f t="shared" si="2"/>
        <v>0.99247933084027684</v>
      </c>
      <c r="J6">
        <f t="shared" si="3"/>
        <v>0.98096722755461407</v>
      </c>
      <c r="K6" s="4">
        <f t="shared" si="0"/>
        <v>1.003823299810833</v>
      </c>
      <c r="L6" s="3">
        <f t="shared" si="4"/>
        <v>0.98869923723359099</v>
      </c>
      <c r="M6" s="3">
        <f t="shared" si="5"/>
        <v>0.97723098053160751</v>
      </c>
      <c r="R6">
        <f t="shared" si="6"/>
        <v>1.2844133382600302</v>
      </c>
      <c r="S6">
        <f t="shared" si="7"/>
        <v>1.1390416731900059</v>
      </c>
    </row>
    <row r="7" spans="1:19" x14ac:dyDescent="0.3">
      <c r="A7" s="1">
        <v>6.2149000000000001</v>
      </c>
      <c r="B7" s="1">
        <f t="shared" si="1"/>
        <v>0</v>
      </c>
      <c r="C7" s="1">
        <v>861.34500000000003</v>
      </c>
      <c r="D7" s="1">
        <v>77.820999999999998</v>
      </c>
      <c r="E7" s="1">
        <v>199.48099999999999</v>
      </c>
      <c r="F7" s="1"/>
      <c r="G7" s="1"/>
      <c r="H7" s="1"/>
      <c r="I7" s="1">
        <f t="shared" si="2"/>
        <v>0.79434589544840439</v>
      </c>
      <c r="J7" s="1">
        <f t="shared" si="3"/>
        <v>0.63118954422244322</v>
      </c>
      <c r="K7" s="1">
        <f t="shared" si="0"/>
        <v>0.97205667800759599</v>
      </c>
      <c r="L7" s="1">
        <f t="shared" si="4"/>
        <v>0.81718063711733191</v>
      </c>
      <c r="M7" s="1">
        <f t="shared" si="5"/>
        <v>0.64933409594611202</v>
      </c>
      <c r="N7" s="1">
        <f>AVERAGE(L56:L66)</f>
        <v>0.95071911340613469</v>
      </c>
      <c r="O7" s="1">
        <f>AVERAGE(M56:M66)</f>
        <v>0.9372049371131308</v>
      </c>
      <c r="P7" s="5">
        <f>(N7-L7)/(1-L7)</f>
        <v>0.73043945774226682</v>
      </c>
      <c r="Q7" s="5">
        <f>(O7-M7)/(1-M7)</f>
        <v>0.82092623730757897</v>
      </c>
      <c r="R7">
        <f t="shared" si="6"/>
        <v>0</v>
      </c>
      <c r="S7">
        <f t="shared" si="7"/>
        <v>0</v>
      </c>
    </row>
    <row r="8" spans="1:19" x14ac:dyDescent="0.3">
      <c r="A8">
        <v>6.7592999999999996</v>
      </c>
      <c r="B8">
        <f t="shared" si="1"/>
        <v>0.54439999999999955</v>
      </c>
      <c r="C8">
        <v>869.41399999999999</v>
      </c>
      <c r="D8">
        <v>79.981999999999999</v>
      </c>
      <c r="E8">
        <v>196</v>
      </c>
      <c r="I8">
        <f t="shared" si="2"/>
        <v>0.80178725405659634</v>
      </c>
      <c r="J8">
        <f t="shared" si="3"/>
        <v>0.64871695462663614</v>
      </c>
      <c r="K8" s="4">
        <f t="shared" si="0"/>
        <v>0.95509401341224887</v>
      </c>
      <c r="L8" s="3">
        <f t="shared" si="4"/>
        <v>0.83948516355166336</v>
      </c>
      <c r="M8" s="3">
        <f t="shared" si="5"/>
        <v>0.67921790474738253</v>
      </c>
      <c r="R8">
        <f t="shared" si="6"/>
        <v>0.16702696521782681</v>
      </c>
      <c r="S8">
        <f t="shared" si="7"/>
        <v>0.10380978038665724</v>
      </c>
    </row>
    <row r="9" spans="1:19" x14ac:dyDescent="0.3">
      <c r="A9">
        <v>7.3037000000000001</v>
      </c>
      <c r="B9">
        <f t="shared" si="1"/>
        <v>1.0888</v>
      </c>
      <c r="C9">
        <v>888.94799999999998</v>
      </c>
      <c r="D9">
        <v>79.518000000000001</v>
      </c>
      <c r="E9">
        <v>195.13499999999999</v>
      </c>
      <c r="I9">
        <f t="shared" si="2"/>
        <v>0.8198018158427437</v>
      </c>
      <c r="J9">
        <f t="shared" si="3"/>
        <v>0.64495354952365358</v>
      </c>
      <c r="K9" s="4">
        <f t="shared" si="0"/>
        <v>0.95087893013877123</v>
      </c>
      <c r="L9" s="3">
        <f t="shared" si="4"/>
        <v>0.86215162609934148</v>
      </c>
      <c r="M9" s="3">
        <f t="shared" si="5"/>
        <v>0.67827094394607013</v>
      </c>
      <c r="R9">
        <f t="shared" si="6"/>
        <v>0.33676428121548363</v>
      </c>
      <c r="S9">
        <f t="shared" si="7"/>
        <v>0.10052024679765789</v>
      </c>
    </row>
    <row r="10" spans="1:19" x14ac:dyDescent="0.3">
      <c r="A10">
        <v>7.8480999999999996</v>
      </c>
      <c r="B10">
        <f t="shared" si="1"/>
        <v>1.6331999999999995</v>
      </c>
      <c r="C10">
        <v>891.81</v>
      </c>
      <c r="D10">
        <v>81.286000000000001</v>
      </c>
      <c r="E10">
        <v>191.327</v>
      </c>
      <c r="I10">
        <f t="shared" si="2"/>
        <v>0.82244119722044173</v>
      </c>
      <c r="J10">
        <f t="shared" si="3"/>
        <v>0.6592934206919151</v>
      </c>
      <c r="K10" s="4">
        <f t="shared" si="0"/>
        <v>0.93232281787819049</v>
      </c>
      <c r="L10" s="3">
        <f t="shared" si="4"/>
        <v>0.88214208796495963</v>
      </c>
      <c r="M10" s="3">
        <f t="shared" si="5"/>
        <v>0.70715143730189478</v>
      </c>
      <c r="R10">
        <f t="shared" si="6"/>
        <v>0.48646242381211557</v>
      </c>
      <c r="S10">
        <f t="shared" si="7"/>
        <v>0.20084472995386815</v>
      </c>
    </row>
    <row r="11" spans="1:19" x14ac:dyDescent="0.3">
      <c r="A11">
        <v>8.3925000000000001</v>
      </c>
      <c r="B11">
        <f t="shared" si="1"/>
        <v>2.1776</v>
      </c>
      <c r="C11">
        <v>893.98299999999995</v>
      </c>
      <c r="D11">
        <v>84.481999999999999</v>
      </c>
      <c r="E11">
        <v>194.077</v>
      </c>
      <c r="I11">
        <f t="shared" si="2"/>
        <v>0.82444517197017553</v>
      </c>
      <c r="J11">
        <f t="shared" si="3"/>
        <v>0.68521549549608007</v>
      </c>
      <c r="K11" s="4">
        <f t="shared" si="0"/>
        <v>0.94572337163780107</v>
      </c>
      <c r="L11" s="3">
        <f t="shared" si="4"/>
        <v>0.87176144388015253</v>
      </c>
      <c r="M11" s="3">
        <f t="shared" si="5"/>
        <v>0.72454114601125463</v>
      </c>
      <c r="R11">
        <f t="shared" si="6"/>
        <v>0.40872719443629918</v>
      </c>
      <c r="S11">
        <f t="shared" si="7"/>
        <v>0.26125275404850223</v>
      </c>
    </row>
    <row r="12" spans="1:19" x14ac:dyDescent="0.3">
      <c r="A12">
        <v>8.9368999999999996</v>
      </c>
      <c r="B12">
        <f t="shared" si="1"/>
        <v>2.7219999999999995</v>
      </c>
      <c r="C12">
        <v>906.25900000000001</v>
      </c>
      <c r="D12">
        <v>85.893000000000001</v>
      </c>
      <c r="E12">
        <v>190.44200000000001</v>
      </c>
      <c r="I12">
        <f t="shared" si="2"/>
        <v>0.8357662920933836</v>
      </c>
      <c r="J12">
        <f t="shared" si="3"/>
        <v>0.69665981575536573</v>
      </c>
      <c r="K12" s="4">
        <f t="shared" si="0"/>
        <v>0.92801027603191577</v>
      </c>
      <c r="L12" s="3">
        <f t="shared" si="4"/>
        <v>0.90060025592285597</v>
      </c>
      <c r="M12" s="3">
        <f t="shared" si="5"/>
        <v>0.75070269559321823</v>
      </c>
      <c r="R12">
        <f t="shared" si="6"/>
        <v>0.62468601652390443</v>
      </c>
      <c r="S12">
        <f t="shared" si="7"/>
        <v>0.35213222442454151</v>
      </c>
    </row>
    <row r="13" spans="1:19" x14ac:dyDescent="0.3">
      <c r="A13">
        <v>9.4971999999999994</v>
      </c>
      <c r="B13">
        <f t="shared" si="1"/>
        <v>3.2822999999999993</v>
      </c>
      <c r="C13">
        <v>915.70699999999999</v>
      </c>
      <c r="D13">
        <v>85.161000000000001</v>
      </c>
      <c r="E13">
        <v>190.28800000000001</v>
      </c>
      <c r="I13">
        <f t="shared" si="2"/>
        <v>0.84447938617321971</v>
      </c>
      <c r="J13">
        <f t="shared" si="3"/>
        <v>0.69072271977393618</v>
      </c>
      <c r="K13" s="4">
        <f t="shared" si="0"/>
        <v>0.92725984502137759</v>
      </c>
      <c r="L13" s="3">
        <f t="shared" si="4"/>
        <v>0.910725715890081</v>
      </c>
      <c r="M13" s="3">
        <f t="shared" si="5"/>
        <v>0.74490739945501672</v>
      </c>
      <c r="R13">
        <f t="shared" si="6"/>
        <v>0.70051030513812196</v>
      </c>
      <c r="S13">
        <f t="shared" si="7"/>
        <v>0.33200064001429846</v>
      </c>
    </row>
    <row r="14" spans="1:19" x14ac:dyDescent="0.3">
      <c r="A14">
        <v>10.057499999999999</v>
      </c>
      <c r="B14">
        <f t="shared" si="1"/>
        <v>3.8425999999999991</v>
      </c>
      <c r="C14">
        <v>914.17200000000003</v>
      </c>
      <c r="D14">
        <v>88.625</v>
      </c>
      <c r="E14">
        <v>191.96199999999999</v>
      </c>
      <c r="I14">
        <f t="shared" si="2"/>
        <v>0.84306378504996105</v>
      </c>
      <c r="J14">
        <f t="shared" si="3"/>
        <v>0.71881848545654814</v>
      </c>
      <c r="K14" s="4">
        <f t="shared" si="0"/>
        <v>0.93541712756450057</v>
      </c>
      <c r="L14" s="3">
        <f t="shared" si="4"/>
        <v>0.90127041745002534</v>
      </c>
      <c r="M14" s="3">
        <f t="shared" si="5"/>
        <v>0.76844700003313005</v>
      </c>
      <c r="R14">
        <f t="shared" si="6"/>
        <v>0.62970450666842281</v>
      </c>
      <c r="S14">
        <f t="shared" si="7"/>
        <v>0.41377203611223107</v>
      </c>
    </row>
    <row r="15" spans="1:19" x14ac:dyDescent="0.3">
      <c r="A15">
        <v>10.586</v>
      </c>
      <c r="B15">
        <f t="shared" si="1"/>
        <v>4.3711000000000002</v>
      </c>
      <c r="C15">
        <v>916.94799999999998</v>
      </c>
      <c r="D15">
        <v>85.375</v>
      </c>
      <c r="E15">
        <v>190.03649999999999</v>
      </c>
      <c r="I15">
        <f t="shared" si="2"/>
        <v>0.84562385587612798</v>
      </c>
      <c r="J15">
        <f t="shared" si="3"/>
        <v>0.69245842816194969</v>
      </c>
      <c r="K15" s="4">
        <f t="shared" si="0"/>
        <v>0.92603430346845317</v>
      </c>
      <c r="L15" s="3">
        <f t="shared" si="4"/>
        <v>0.91316688022123094</v>
      </c>
      <c r="M15" s="3">
        <f t="shared" si="5"/>
        <v>0.74776757790543269</v>
      </c>
      <c r="R15">
        <f t="shared" si="6"/>
        <v>0.71879091158948238</v>
      </c>
      <c r="S15">
        <f t="shared" si="7"/>
        <v>0.34193627100360224</v>
      </c>
    </row>
    <row r="16" spans="1:19" x14ac:dyDescent="0.3">
      <c r="A16">
        <v>11.1304</v>
      </c>
      <c r="B16">
        <f t="shared" si="1"/>
        <v>4.9154999999999998</v>
      </c>
      <c r="C16">
        <v>907.24099999999999</v>
      </c>
      <c r="D16">
        <v>87.820999999999998</v>
      </c>
      <c r="E16">
        <v>190.71199999999999</v>
      </c>
      <c r="I16">
        <f t="shared" si="2"/>
        <v>0.83667190792598289</v>
      </c>
      <c r="J16">
        <f t="shared" si="3"/>
        <v>0.71229741282120751</v>
      </c>
      <c r="K16" s="4">
        <f t="shared" si="0"/>
        <v>0.92932596676467749</v>
      </c>
      <c r="L16" s="3">
        <f t="shared" si="4"/>
        <v>0.90029972027871219</v>
      </c>
      <c r="M16" s="3">
        <f t="shared" si="5"/>
        <v>0.76646670629571934</v>
      </c>
      <c r="R16">
        <f t="shared" si="6"/>
        <v>0.62243546183363052</v>
      </c>
      <c r="S16">
        <f t="shared" si="7"/>
        <v>0.40689293113104341</v>
      </c>
    </row>
    <row r="17" spans="1:19" x14ac:dyDescent="0.3">
      <c r="A17">
        <v>11.674799999999999</v>
      </c>
      <c r="B17">
        <f t="shared" si="1"/>
        <v>5.4598999999999993</v>
      </c>
      <c r="C17">
        <v>923.48299999999995</v>
      </c>
      <c r="D17">
        <v>88.570999999999998</v>
      </c>
      <c r="E17">
        <v>192.53800000000001</v>
      </c>
      <c r="I17">
        <f t="shared" si="2"/>
        <v>0.85165053557677672</v>
      </c>
      <c r="J17">
        <f t="shared" si="3"/>
        <v>0.71838050296611478</v>
      </c>
      <c r="K17" s="4">
        <f t="shared" si="0"/>
        <v>0.93822393446105912</v>
      </c>
      <c r="L17" s="3">
        <f t="shared" si="4"/>
        <v>0.90772629464626431</v>
      </c>
      <c r="M17" s="3">
        <f t="shared" si="5"/>
        <v>0.76568127989483847</v>
      </c>
      <c r="R17">
        <f t="shared" si="6"/>
        <v>0.67804920383478018</v>
      </c>
      <c r="S17">
        <f t="shared" si="7"/>
        <v>0.40416453252805618</v>
      </c>
    </row>
    <row r="18" spans="1:19" x14ac:dyDescent="0.3">
      <c r="A18">
        <v>12.219200000000001</v>
      </c>
      <c r="B18">
        <f t="shared" si="1"/>
        <v>6.0043000000000006</v>
      </c>
      <c r="C18">
        <v>923.01700000000005</v>
      </c>
      <c r="D18">
        <v>89.375</v>
      </c>
      <c r="E18">
        <v>189.846</v>
      </c>
      <c r="I18">
        <f t="shared" si="2"/>
        <v>0.85122078305336402</v>
      </c>
      <c r="J18">
        <f t="shared" si="3"/>
        <v>0.72490157560145541</v>
      </c>
      <c r="K18" s="4">
        <f t="shared" si="0"/>
        <v>0.92510601056256014</v>
      </c>
      <c r="L18" s="3">
        <f t="shared" si="4"/>
        <v>0.92013323158038263</v>
      </c>
      <c r="M18" s="3">
        <f t="shared" si="5"/>
        <v>0.78358757518031941</v>
      </c>
      <c r="R18">
        <f t="shared" si="6"/>
        <v>0.77095828351669837</v>
      </c>
      <c r="S18">
        <f t="shared" si="7"/>
        <v>0.46636706479179435</v>
      </c>
    </row>
    <row r="19" spans="1:19" x14ac:dyDescent="0.3">
      <c r="A19">
        <v>12.7636</v>
      </c>
      <c r="B19">
        <f t="shared" si="1"/>
        <v>6.5487000000000002</v>
      </c>
      <c r="C19">
        <v>929.36199999999997</v>
      </c>
      <c r="D19">
        <v>89.411000000000001</v>
      </c>
      <c r="E19">
        <v>192.327</v>
      </c>
      <c r="I19">
        <f t="shared" si="2"/>
        <v>0.85707224176807195</v>
      </c>
      <c r="J19">
        <f t="shared" si="3"/>
        <v>0.72519356392841106</v>
      </c>
      <c r="K19" s="4">
        <f t="shared" si="0"/>
        <v>0.93719574651804893</v>
      </c>
      <c r="L19" s="3">
        <f t="shared" si="4"/>
        <v>0.91450718268018305</v>
      </c>
      <c r="M19" s="3">
        <f t="shared" si="5"/>
        <v>0.77379092534586635</v>
      </c>
      <c r="R19">
        <f t="shared" si="6"/>
        <v>0.72882773765041076</v>
      </c>
      <c r="S19">
        <f t="shared" si="7"/>
        <v>0.4323356575303372</v>
      </c>
    </row>
    <row r="20" spans="1:19" x14ac:dyDescent="0.3">
      <c r="A20">
        <v>13.308</v>
      </c>
      <c r="B20">
        <f t="shared" si="1"/>
        <v>7.0930999999999997</v>
      </c>
      <c r="C20">
        <v>935.72400000000005</v>
      </c>
      <c r="D20">
        <v>89.356999999999999</v>
      </c>
      <c r="E20">
        <v>193.80799999999999</v>
      </c>
      <c r="I20">
        <f t="shared" si="2"/>
        <v>0.86293937814994304</v>
      </c>
      <c r="J20">
        <f t="shared" si="3"/>
        <v>0.72475558143797769</v>
      </c>
      <c r="K20" s="4">
        <f t="shared" si="0"/>
        <v>0.94441255383367917</v>
      </c>
      <c r="L20" s="3">
        <f t="shared" si="4"/>
        <v>0.91373137157801443</v>
      </c>
      <c r="M20" s="3">
        <f t="shared" si="5"/>
        <v>0.76741417561208602</v>
      </c>
      <c r="R20">
        <f t="shared" si="6"/>
        <v>0.7230180929417892</v>
      </c>
      <c r="S20">
        <f t="shared" si="7"/>
        <v>0.41018423118951991</v>
      </c>
    </row>
    <row r="21" spans="1:19" x14ac:dyDescent="0.3">
      <c r="A21">
        <v>13.852399999999999</v>
      </c>
      <c r="B21">
        <f t="shared" si="1"/>
        <v>7.6374999999999993</v>
      </c>
      <c r="C21">
        <v>935.55200000000002</v>
      </c>
      <c r="D21">
        <v>90</v>
      </c>
      <c r="E21">
        <v>193.44200000000001</v>
      </c>
      <c r="I21">
        <f t="shared" si="2"/>
        <v>0.86278075704688084</v>
      </c>
      <c r="J21">
        <f t="shared" si="3"/>
        <v>0.72997081738887826</v>
      </c>
      <c r="K21" s="4">
        <f t="shared" si="0"/>
        <v>0.9426290619514911</v>
      </c>
      <c r="L21" s="3">
        <f t="shared" si="4"/>
        <v>0.9152919126646667</v>
      </c>
      <c r="M21" s="3">
        <f t="shared" si="5"/>
        <v>0.77439880314918985</v>
      </c>
      <c r="R21">
        <f t="shared" si="6"/>
        <v>0.73470417121691711</v>
      </c>
      <c r="S21">
        <f t="shared" si="7"/>
        <v>0.43444729134798676</v>
      </c>
    </row>
    <row r="22" spans="1:19" x14ac:dyDescent="0.3">
      <c r="A22">
        <v>14.412699999999999</v>
      </c>
      <c r="B22">
        <f t="shared" si="1"/>
        <v>8.1977999999999991</v>
      </c>
      <c r="C22">
        <v>931.74099999999999</v>
      </c>
      <c r="D22">
        <v>94.036000000000001</v>
      </c>
      <c r="E22">
        <v>192.61500000000001</v>
      </c>
      <c r="I22">
        <f t="shared" si="2"/>
        <v>0.85926619295519413</v>
      </c>
      <c r="J22">
        <f t="shared" si="3"/>
        <v>0.76270595315533951</v>
      </c>
      <c r="K22" s="4">
        <f t="shared" si="0"/>
        <v>0.93859914996632821</v>
      </c>
      <c r="L22" s="3">
        <f t="shared" si="4"/>
        <v>0.91547727588078454</v>
      </c>
      <c r="M22" s="3">
        <f t="shared" si="5"/>
        <v>0.81260030246426418</v>
      </c>
      <c r="R22">
        <f t="shared" si="6"/>
        <v>0.73609225966355296</v>
      </c>
      <c r="S22">
        <f t="shared" si="7"/>
        <v>0.56715089953632125</v>
      </c>
    </row>
    <row r="23" spans="1:19" x14ac:dyDescent="0.3">
      <c r="A23">
        <v>14.957100000000001</v>
      </c>
      <c r="B23">
        <f t="shared" si="1"/>
        <v>8.7422000000000004</v>
      </c>
      <c r="C23">
        <v>945.5</v>
      </c>
      <c r="D23">
        <v>91.570999999999998</v>
      </c>
      <c r="E23">
        <v>193.78800000000001</v>
      </c>
      <c r="I23">
        <f t="shared" si="2"/>
        <v>0.87195495898445607</v>
      </c>
      <c r="J23">
        <f t="shared" si="3"/>
        <v>0.74271286354574406</v>
      </c>
      <c r="K23" s="4">
        <f t="shared" si="0"/>
        <v>0.94431509526088209</v>
      </c>
      <c r="L23" s="3">
        <f t="shared" si="4"/>
        <v>0.92337289042654203</v>
      </c>
      <c r="M23" s="3">
        <f t="shared" si="5"/>
        <v>0.78650957426510038</v>
      </c>
      <c r="R23">
        <f t="shared" si="6"/>
        <v>0.7952183989245829</v>
      </c>
      <c r="S23">
        <f t="shared" si="7"/>
        <v>0.47651744707064997</v>
      </c>
    </row>
    <row r="24" spans="1:19" x14ac:dyDescent="0.3">
      <c r="A24">
        <v>15.517300000000001</v>
      </c>
      <c r="B24">
        <f t="shared" si="1"/>
        <v>9.3024000000000004</v>
      </c>
      <c r="C24">
        <v>939.72400000000005</v>
      </c>
      <c r="D24">
        <v>89.695999999999998</v>
      </c>
      <c r="E24">
        <v>192.96199999999999</v>
      </c>
      <c r="I24">
        <f t="shared" si="2"/>
        <v>0.86662824101185509</v>
      </c>
      <c r="J24">
        <f t="shared" si="3"/>
        <v>0.72750513818347573</v>
      </c>
      <c r="K24" s="4">
        <f t="shared" si="0"/>
        <v>0.9402900562043589</v>
      </c>
      <c r="L24" s="3">
        <f t="shared" si="4"/>
        <v>0.921660540057339</v>
      </c>
      <c r="M24" s="3">
        <f t="shared" si="5"/>
        <v>0.77370289453041141</v>
      </c>
      <c r="R24">
        <f t="shared" si="6"/>
        <v>0.78239550011076275</v>
      </c>
      <c r="S24">
        <f t="shared" si="7"/>
        <v>0.43202985783524456</v>
      </c>
    </row>
    <row r="25" spans="1:19" x14ac:dyDescent="0.3">
      <c r="A25">
        <v>16.0459</v>
      </c>
      <c r="B25">
        <f t="shared" si="1"/>
        <v>9.8309999999999995</v>
      </c>
      <c r="C25">
        <v>937.43100000000004</v>
      </c>
      <c r="D25">
        <v>91.338999999999999</v>
      </c>
      <c r="E25">
        <v>192.077</v>
      </c>
      <c r="I25">
        <f t="shared" si="2"/>
        <v>0.86451360037626401</v>
      </c>
      <c r="J25">
        <f t="shared" si="3"/>
        <v>0.74083116099425272</v>
      </c>
      <c r="K25" s="4">
        <f t="shared" si="0"/>
        <v>0.93597751435808429</v>
      </c>
      <c r="L25" s="3">
        <f t="shared" si="4"/>
        <v>0.92364783033187292</v>
      </c>
      <c r="M25" s="3">
        <f t="shared" si="5"/>
        <v>0.7915052975416107</v>
      </c>
      <c r="R25">
        <f t="shared" si="6"/>
        <v>0.79727728047671531</v>
      </c>
      <c r="S25">
        <f t="shared" si="7"/>
        <v>0.49387149118382873</v>
      </c>
    </row>
    <row r="26" spans="1:19" x14ac:dyDescent="0.3">
      <c r="A26">
        <v>16.590199999999999</v>
      </c>
      <c r="B26">
        <f t="shared" si="1"/>
        <v>10.375299999999999</v>
      </c>
      <c r="C26">
        <v>934.96600000000001</v>
      </c>
      <c r="D26">
        <v>93.856999999999999</v>
      </c>
      <c r="E26">
        <v>192.11500000000001</v>
      </c>
      <c r="I26">
        <f t="shared" si="2"/>
        <v>0.86224033863761074</v>
      </c>
      <c r="J26">
        <f t="shared" si="3"/>
        <v>0.76125412230742162</v>
      </c>
      <c r="K26" s="4">
        <f t="shared" si="0"/>
        <v>0.93616268564639893</v>
      </c>
      <c r="L26" s="3">
        <f t="shared" si="4"/>
        <v>0.9210368580779883</v>
      </c>
      <c r="M26" s="3">
        <f t="shared" si="5"/>
        <v>0.81316435057630299</v>
      </c>
      <c r="R26">
        <f t="shared" si="6"/>
        <v>0.77772507105777688</v>
      </c>
      <c r="S26">
        <f t="shared" si="7"/>
        <v>0.56911027864450803</v>
      </c>
    </row>
    <row r="27" spans="1:19" x14ac:dyDescent="0.3">
      <c r="A27">
        <v>17.134599999999999</v>
      </c>
      <c r="B27">
        <f t="shared" si="1"/>
        <v>10.919699999999999</v>
      </c>
      <c r="C27">
        <v>937.86199999999997</v>
      </c>
      <c r="D27">
        <v>94.911000000000001</v>
      </c>
      <c r="E27">
        <v>192.46199999999999</v>
      </c>
      <c r="I27">
        <f t="shared" si="2"/>
        <v>0.86491107534963496</v>
      </c>
      <c r="J27">
        <f t="shared" si="3"/>
        <v>0.7698028916577313</v>
      </c>
      <c r="K27" s="4">
        <f t="shared" si="0"/>
        <v>0.93785359188442974</v>
      </c>
      <c r="L27" s="3">
        <f t="shared" si="4"/>
        <v>0.92222398339571177</v>
      </c>
      <c r="M27" s="3">
        <f t="shared" si="5"/>
        <v>0.82081350257556296</v>
      </c>
      <c r="R27">
        <f t="shared" si="6"/>
        <v>0.78661483339980087</v>
      </c>
      <c r="S27">
        <f t="shared" si="7"/>
        <v>0.59568175065692364</v>
      </c>
    </row>
    <row r="28" spans="1:19" x14ac:dyDescent="0.3">
      <c r="A28">
        <v>17.678999999999998</v>
      </c>
      <c r="B28">
        <f t="shared" si="1"/>
        <v>11.464099999999998</v>
      </c>
      <c r="C28">
        <v>934.70699999999999</v>
      </c>
      <c r="D28">
        <v>95.018000000000001</v>
      </c>
      <c r="E28">
        <v>191.75</v>
      </c>
      <c r="I28">
        <f t="shared" si="2"/>
        <v>0.86200148476730187</v>
      </c>
      <c r="J28">
        <f t="shared" si="3"/>
        <v>0.77067074585173811</v>
      </c>
      <c r="K28" s="4">
        <f t="shared" si="0"/>
        <v>0.93438406669285057</v>
      </c>
      <c r="L28" s="3">
        <f t="shared" si="4"/>
        <v>0.92253444327048628</v>
      </c>
      <c r="M28" s="3">
        <f t="shared" si="5"/>
        <v>0.82479011931297408</v>
      </c>
      <c r="R28">
        <f t="shared" si="6"/>
        <v>0.78893970547714198</v>
      </c>
      <c r="S28">
        <f t="shared" si="7"/>
        <v>0.60949564275273316</v>
      </c>
    </row>
    <row r="29" spans="1:19" x14ac:dyDescent="0.3">
      <c r="A29">
        <v>18.2393</v>
      </c>
      <c r="B29">
        <f t="shared" si="1"/>
        <v>12.0244</v>
      </c>
      <c r="C29">
        <v>941.67200000000003</v>
      </c>
      <c r="D29">
        <v>96.625</v>
      </c>
      <c r="E29">
        <v>192.327</v>
      </c>
      <c r="I29">
        <f t="shared" si="2"/>
        <v>0.86842471722560621</v>
      </c>
      <c r="J29">
        <f t="shared" si="3"/>
        <v>0.78370478033555957</v>
      </c>
      <c r="K29" s="4">
        <f t="shared" si="0"/>
        <v>0.93719574651804893</v>
      </c>
      <c r="L29" s="3">
        <f t="shared" si="4"/>
        <v>0.92662042102949482</v>
      </c>
      <c r="M29" s="3">
        <f t="shared" si="5"/>
        <v>0.83622315108369583</v>
      </c>
      <c r="R29">
        <f t="shared" si="6"/>
        <v>0.81953746181346432</v>
      </c>
      <c r="S29">
        <f t="shared" si="7"/>
        <v>0.64921148102371817</v>
      </c>
    </row>
    <row r="30" spans="1:19" x14ac:dyDescent="0.3">
      <c r="A30">
        <v>18.7837</v>
      </c>
      <c r="B30">
        <f t="shared" si="1"/>
        <v>12.5688</v>
      </c>
      <c r="C30">
        <v>955.05200000000002</v>
      </c>
      <c r="D30">
        <v>96.481999999999999</v>
      </c>
      <c r="E30">
        <v>194.654</v>
      </c>
      <c r="I30">
        <f t="shared" si="2"/>
        <v>0.88076396349870201</v>
      </c>
      <c r="J30">
        <f t="shared" si="3"/>
        <v>0.78254493781459722</v>
      </c>
      <c r="K30" s="4">
        <f t="shared" si="0"/>
        <v>0.94853505146299943</v>
      </c>
      <c r="L30" s="3">
        <f t="shared" si="4"/>
        <v>0.92855183594979562</v>
      </c>
      <c r="M30" s="3">
        <f t="shared" si="5"/>
        <v>0.82500371136271378</v>
      </c>
      <c r="R30">
        <f t="shared" si="6"/>
        <v>0.83400082079416538</v>
      </c>
      <c r="S30">
        <f t="shared" si="7"/>
        <v>0.6102376145650702</v>
      </c>
    </row>
    <row r="31" spans="1:19" x14ac:dyDescent="0.3">
      <c r="A31">
        <v>19.344000000000001</v>
      </c>
      <c r="B31">
        <f t="shared" si="1"/>
        <v>13.129100000000001</v>
      </c>
      <c r="C31">
        <v>947.48299999999995</v>
      </c>
      <c r="D31">
        <v>97.393000000000001</v>
      </c>
      <c r="E31">
        <v>192.846</v>
      </c>
      <c r="I31">
        <f t="shared" si="2"/>
        <v>0.87378371274824884</v>
      </c>
      <c r="J31">
        <f t="shared" si="3"/>
        <v>0.78993386464394466</v>
      </c>
      <c r="K31" s="4">
        <f t="shared" si="0"/>
        <v>0.93972479648213547</v>
      </c>
      <c r="L31" s="3">
        <f t="shared" si="4"/>
        <v>0.92982936708626029</v>
      </c>
      <c r="M31" s="3">
        <f t="shared" si="5"/>
        <v>0.84060127773691418</v>
      </c>
      <c r="R31">
        <f t="shared" si="6"/>
        <v>0.84356758516027786</v>
      </c>
      <c r="S31">
        <f t="shared" si="7"/>
        <v>0.66442013027582569</v>
      </c>
    </row>
    <row r="32" spans="1:19" x14ac:dyDescent="0.3">
      <c r="A32">
        <v>19.904299999999999</v>
      </c>
      <c r="B32">
        <f t="shared" si="1"/>
        <v>13.689399999999999</v>
      </c>
      <c r="C32">
        <v>945.12099999999998</v>
      </c>
      <c r="D32">
        <v>94.304000000000002</v>
      </c>
      <c r="E32">
        <v>192.19200000000001</v>
      </c>
      <c r="I32">
        <f t="shared" si="2"/>
        <v>0.87160543922828981</v>
      </c>
      <c r="J32">
        <f t="shared" si="3"/>
        <v>0.76487964403378639</v>
      </c>
      <c r="K32" s="4">
        <f t="shared" si="0"/>
        <v>0.93653790115166802</v>
      </c>
      <c r="L32" s="3">
        <f t="shared" si="4"/>
        <v>0.93066755563920023</v>
      </c>
      <c r="M32" s="3">
        <f t="shared" si="5"/>
        <v>0.81670975952303471</v>
      </c>
      <c r="R32">
        <f t="shared" si="6"/>
        <v>0.84984434206386261</v>
      </c>
      <c r="S32">
        <f t="shared" si="7"/>
        <v>0.58142624969721601</v>
      </c>
    </row>
    <row r="33" spans="1:19" x14ac:dyDescent="0.3">
      <c r="A33">
        <v>20.448699999999999</v>
      </c>
      <c r="B33">
        <f t="shared" si="1"/>
        <v>14.233799999999999</v>
      </c>
      <c r="C33">
        <v>931.19</v>
      </c>
      <c r="D33">
        <v>95.429000000000002</v>
      </c>
      <c r="E33">
        <v>190.01900000000001</v>
      </c>
      <c r="I33">
        <f t="shared" si="2"/>
        <v>0.85875805209596578</v>
      </c>
      <c r="J33">
        <f t="shared" si="3"/>
        <v>0.77400427925114734</v>
      </c>
      <c r="K33" s="4">
        <f t="shared" si="0"/>
        <v>0.92594902721725569</v>
      </c>
      <c r="L33" s="3">
        <f t="shared" si="4"/>
        <v>0.92743555730792415</v>
      </c>
      <c r="M33" s="3">
        <f t="shared" si="5"/>
        <v>0.83590376629829588</v>
      </c>
      <c r="R33">
        <f t="shared" si="6"/>
        <v>0.82564159225648692</v>
      </c>
      <c r="S33">
        <f t="shared" si="7"/>
        <v>0.64810200851130539</v>
      </c>
    </row>
    <row r="34" spans="1:19" x14ac:dyDescent="0.3">
      <c r="A34">
        <v>20.993099999999998</v>
      </c>
      <c r="B34">
        <f t="shared" si="1"/>
        <v>14.778199999999998</v>
      </c>
      <c r="C34">
        <v>940.65499999999997</v>
      </c>
      <c r="D34">
        <v>97.286000000000001</v>
      </c>
      <c r="E34">
        <v>191.46199999999999</v>
      </c>
      <c r="I34">
        <f t="shared" si="2"/>
        <v>0.86748682384296505</v>
      </c>
      <c r="J34">
        <f t="shared" si="3"/>
        <v>0.78906601044993785</v>
      </c>
      <c r="K34" s="4">
        <f t="shared" si="0"/>
        <v>0.9329806632445713</v>
      </c>
      <c r="L34" s="3">
        <f t="shared" si="4"/>
        <v>0.92980150395203021</v>
      </c>
      <c r="M34" s="3">
        <f t="shared" si="5"/>
        <v>0.84574744315262651</v>
      </c>
      <c r="R34">
        <f t="shared" si="6"/>
        <v>0.84335893268045004</v>
      </c>
      <c r="S34">
        <f t="shared" si="7"/>
        <v>0.682296777298671</v>
      </c>
    </row>
    <row r="35" spans="1:19" x14ac:dyDescent="0.3">
      <c r="A35">
        <v>21.537500000000001</v>
      </c>
      <c r="B35">
        <f t="shared" si="1"/>
        <v>15.322600000000001</v>
      </c>
      <c r="C35">
        <v>950.43100000000004</v>
      </c>
      <c r="D35">
        <v>95.875</v>
      </c>
      <c r="E35">
        <v>194.923</v>
      </c>
      <c r="I35">
        <f t="shared" si="2"/>
        <v>0.87650240467747809</v>
      </c>
      <c r="J35">
        <f t="shared" si="3"/>
        <v>0.77762169019065219</v>
      </c>
      <c r="K35" s="4">
        <f t="shared" si="0"/>
        <v>0.94984586926712133</v>
      </c>
      <c r="L35" s="3">
        <f t="shared" si="4"/>
        <v>0.92278382528921943</v>
      </c>
      <c r="M35" s="3">
        <f t="shared" si="5"/>
        <v>0.818681972887503</v>
      </c>
      <c r="R35">
        <f t="shared" si="6"/>
        <v>0.79080719734662996</v>
      </c>
      <c r="S35">
        <f t="shared" si="7"/>
        <v>0.58827728523965939</v>
      </c>
    </row>
    <row r="36" spans="1:19" x14ac:dyDescent="0.3">
      <c r="A36">
        <v>22.081900000000001</v>
      </c>
      <c r="B36">
        <f t="shared" si="1"/>
        <v>15.867000000000001</v>
      </c>
      <c r="C36">
        <v>942.74099999999999</v>
      </c>
      <c r="D36">
        <v>98.213999999999999</v>
      </c>
      <c r="E36">
        <v>194.11500000000001</v>
      </c>
      <c r="I36">
        <f t="shared" si="2"/>
        <v>0.86941056582545218</v>
      </c>
      <c r="J36">
        <f t="shared" si="3"/>
        <v>0.7965928206559032</v>
      </c>
      <c r="K36" s="4">
        <f t="shared" si="0"/>
        <v>0.94590854292611581</v>
      </c>
      <c r="L36" s="3">
        <f t="shared" si="4"/>
        <v>0.91912751219687538</v>
      </c>
      <c r="M36" s="3">
        <f t="shared" si="5"/>
        <v>0.84214570913133668</v>
      </c>
      <c r="R36">
        <f t="shared" si="6"/>
        <v>0.76342697560112671</v>
      </c>
      <c r="S36">
        <f t="shared" si="7"/>
        <v>0.66978514532271771</v>
      </c>
    </row>
    <row r="37" spans="1:19" x14ac:dyDescent="0.3">
      <c r="A37">
        <v>22.626300000000001</v>
      </c>
      <c r="B37">
        <f t="shared" si="1"/>
        <v>16.4114</v>
      </c>
      <c r="C37">
        <v>929.10299999999995</v>
      </c>
      <c r="D37">
        <v>99.320999999999998</v>
      </c>
      <c r="E37">
        <v>190.30799999999999</v>
      </c>
      <c r="I37">
        <f t="shared" si="2"/>
        <v>0.85683338789776309</v>
      </c>
      <c r="J37">
        <f t="shared" si="3"/>
        <v>0.80557146170978633</v>
      </c>
      <c r="K37" s="4">
        <f t="shared" si="0"/>
        <v>0.92735730359417468</v>
      </c>
      <c r="L37" s="3">
        <f t="shared" si="4"/>
        <v>0.92395173314203616</v>
      </c>
      <c r="M37" s="3">
        <f t="shared" si="5"/>
        <v>0.86867430556444547</v>
      </c>
      <c r="R37">
        <f t="shared" si="6"/>
        <v>0.79955305011711464</v>
      </c>
      <c r="S37">
        <f t="shared" si="7"/>
        <v>0.76193965574677713</v>
      </c>
    </row>
    <row r="38" spans="1:19" x14ac:dyDescent="0.3">
      <c r="A38">
        <v>23.186599999999999</v>
      </c>
      <c r="B38">
        <f t="shared" si="1"/>
        <v>16.971699999999998</v>
      </c>
      <c r="C38">
        <v>935.96600000000001</v>
      </c>
      <c r="D38">
        <v>97.875</v>
      </c>
      <c r="E38">
        <v>190.096</v>
      </c>
      <c r="I38">
        <f t="shared" si="2"/>
        <v>0.86316255435308875</v>
      </c>
      <c r="J38">
        <f t="shared" si="3"/>
        <v>0.79384326391040505</v>
      </c>
      <c r="K38" s="4">
        <f t="shared" si="0"/>
        <v>0.92632424272252478</v>
      </c>
      <c r="L38" s="3">
        <f t="shared" si="4"/>
        <v>0.93181470865557847</v>
      </c>
      <c r="M38" s="3">
        <f t="shared" si="5"/>
        <v>0.85698206664358711</v>
      </c>
      <c r="R38">
        <f t="shared" si="6"/>
        <v>0.85843477268924517</v>
      </c>
      <c r="S38">
        <f t="shared" si="7"/>
        <v>0.72132338883534419</v>
      </c>
    </row>
    <row r="39" spans="1:19" x14ac:dyDescent="0.3">
      <c r="A39">
        <v>23.7469</v>
      </c>
      <c r="B39">
        <f t="shared" si="1"/>
        <v>17.532</v>
      </c>
      <c r="C39">
        <v>939.96600000000001</v>
      </c>
      <c r="D39">
        <v>103.071</v>
      </c>
      <c r="E39">
        <v>190.94200000000001</v>
      </c>
      <c r="I39">
        <f t="shared" si="2"/>
        <v>0.8668514172150007</v>
      </c>
      <c r="J39">
        <f t="shared" si="3"/>
        <v>0.83598691243432288</v>
      </c>
      <c r="K39" s="4">
        <f t="shared" si="0"/>
        <v>0.93044674035184505</v>
      </c>
      <c r="L39" s="3">
        <f t="shared" si="4"/>
        <v>0.93165076475758735</v>
      </c>
      <c r="M39" s="3">
        <f t="shared" si="5"/>
        <v>0.89847905976670672</v>
      </c>
      <c r="R39">
        <f t="shared" si="6"/>
        <v>0.8572070823445046</v>
      </c>
      <c r="S39">
        <f t="shared" si="7"/>
        <v>0.86547481784042224</v>
      </c>
    </row>
    <row r="40" spans="1:19" x14ac:dyDescent="0.3">
      <c r="A40">
        <v>24.307200000000002</v>
      </c>
      <c r="B40">
        <f t="shared" si="1"/>
        <v>18.092300000000002</v>
      </c>
      <c r="C40">
        <v>947.05200000000002</v>
      </c>
      <c r="D40">
        <v>97.804000000000002</v>
      </c>
      <c r="E40">
        <v>190.53800000000001</v>
      </c>
      <c r="I40">
        <f t="shared" si="2"/>
        <v>0.87338623777487789</v>
      </c>
      <c r="J40">
        <f t="shared" si="3"/>
        <v>0.79326739804335389</v>
      </c>
      <c r="K40" s="4">
        <f t="shared" si="0"/>
        <v>0.92847807718134223</v>
      </c>
      <c r="L40" s="3">
        <f t="shared" si="4"/>
        <v>0.94066436164684553</v>
      </c>
      <c r="M40" s="3">
        <f t="shared" si="5"/>
        <v>0.85437385926390574</v>
      </c>
      <c r="R40">
        <f t="shared" si="6"/>
        <v>0.92470520827612401</v>
      </c>
      <c r="S40">
        <f t="shared" si="7"/>
        <v>0.71226304993784495</v>
      </c>
    </row>
    <row r="41" spans="1:19" x14ac:dyDescent="0.3">
      <c r="A41">
        <v>24.8674</v>
      </c>
      <c r="B41">
        <f t="shared" si="1"/>
        <v>18.6525</v>
      </c>
      <c r="C41">
        <v>950.22400000000005</v>
      </c>
      <c r="D41">
        <v>99.161000000000001</v>
      </c>
      <c r="E41">
        <v>191.154</v>
      </c>
      <c r="I41">
        <f t="shared" si="2"/>
        <v>0.87631150602437413</v>
      </c>
      <c r="J41">
        <f t="shared" si="3"/>
        <v>0.80427373581220618</v>
      </c>
      <c r="K41" s="4">
        <f t="shared" si="0"/>
        <v>0.93147980122349494</v>
      </c>
      <c r="L41" s="3">
        <f t="shared" si="4"/>
        <v>0.94077349275136457</v>
      </c>
      <c r="M41" s="3">
        <f t="shared" si="5"/>
        <v>0.86343658204482365</v>
      </c>
      <c r="R41">
        <f t="shared" si="6"/>
        <v>0.92552243419895863</v>
      </c>
      <c r="S41">
        <f t="shared" si="7"/>
        <v>0.74374495600439172</v>
      </c>
    </row>
    <row r="42" spans="1:19" x14ac:dyDescent="0.3">
      <c r="A42">
        <v>25.411799999999999</v>
      </c>
      <c r="B42">
        <f t="shared" si="1"/>
        <v>19.196899999999999</v>
      </c>
      <c r="C42">
        <v>939.41399999999999</v>
      </c>
      <c r="D42">
        <v>100.643</v>
      </c>
      <c r="E42">
        <v>190.077</v>
      </c>
      <c r="I42">
        <f t="shared" si="2"/>
        <v>0.86634235414005689</v>
      </c>
      <c r="J42">
        <f t="shared" si="3"/>
        <v>0.816293921938543</v>
      </c>
      <c r="K42" s="4">
        <f t="shared" si="0"/>
        <v>0.92623165707836741</v>
      </c>
      <c r="L42" s="3">
        <f t="shared" si="4"/>
        <v>0.93534090259102065</v>
      </c>
      <c r="M42" s="3">
        <f t="shared" si="5"/>
        <v>0.88130643743423387</v>
      </c>
      <c r="R42">
        <f t="shared" si="6"/>
        <v>0.88484059993424158</v>
      </c>
      <c r="S42">
        <f t="shared" si="7"/>
        <v>0.8058209040822395</v>
      </c>
    </row>
    <row r="43" spans="1:19" x14ac:dyDescent="0.3">
      <c r="A43">
        <v>25.956199999999999</v>
      </c>
      <c r="B43">
        <f t="shared" si="1"/>
        <v>19.741299999999999</v>
      </c>
      <c r="C43">
        <v>944.91399999999999</v>
      </c>
      <c r="D43">
        <v>100.929</v>
      </c>
      <c r="E43">
        <v>190.73099999999999</v>
      </c>
      <c r="I43">
        <f t="shared" si="2"/>
        <v>0.87141454057518586</v>
      </c>
      <c r="J43">
        <f t="shared" si="3"/>
        <v>0.8186136069804677</v>
      </c>
      <c r="K43" s="4">
        <f t="shared" si="0"/>
        <v>0.92941855240883486</v>
      </c>
      <c r="L43" s="3">
        <f t="shared" si="4"/>
        <v>0.93759107596538049</v>
      </c>
      <c r="M43" s="3">
        <f t="shared" si="5"/>
        <v>0.88078035978388125</v>
      </c>
      <c r="R43">
        <f t="shared" si="6"/>
        <v>0.90169097472430138</v>
      </c>
      <c r="S43">
        <f t="shared" si="7"/>
        <v>0.80399342600832302</v>
      </c>
    </row>
    <row r="44" spans="1:19" x14ac:dyDescent="0.3">
      <c r="A44">
        <v>26.500599999999999</v>
      </c>
      <c r="B44">
        <f t="shared" si="1"/>
        <v>20.285699999999999</v>
      </c>
      <c r="C44">
        <v>946.19</v>
      </c>
      <c r="D44">
        <v>101.929</v>
      </c>
      <c r="E44">
        <v>189.173</v>
      </c>
      <c r="I44">
        <f t="shared" si="2"/>
        <v>0.87259128782813589</v>
      </c>
      <c r="J44">
        <f t="shared" si="3"/>
        <v>0.82672439384034413</v>
      </c>
      <c r="K44" s="4">
        <f t="shared" si="0"/>
        <v>0.92182652958793543</v>
      </c>
      <c r="L44" s="3">
        <f t="shared" si="4"/>
        <v>0.94658947190225895</v>
      </c>
      <c r="M44" s="3">
        <f t="shared" si="5"/>
        <v>0.89683293689746291</v>
      </c>
      <c r="R44">
        <f t="shared" si="6"/>
        <v>0.96907526865182592</v>
      </c>
      <c r="S44">
        <f t="shared" si="7"/>
        <v>0.85975654897175013</v>
      </c>
    </row>
    <row r="45" spans="1:19" x14ac:dyDescent="0.3">
      <c r="A45">
        <v>27.045000000000002</v>
      </c>
      <c r="B45">
        <f t="shared" si="1"/>
        <v>20.830100000000002</v>
      </c>
      <c r="C45">
        <v>946.53399999999999</v>
      </c>
      <c r="D45">
        <v>106.107</v>
      </c>
      <c r="E45">
        <v>188.86500000000001</v>
      </c>
      <c r="I45">
        <f t="shared" si="2"/>
        <v>0.87290853003426028</v>
      </c>
      <c r="J45">
        <f t="shared" si="3"/>
        <v>0.86061126134090782</v>
      </c>
      <c r="K45" s="4">
        <f t="shared" si="0"/>
        <v>0.92032566756685907</v>
      </c>
      <c r="L45" s="3">
        <f t="shared" si="4"/>
        <v>0.94847787125403182</v>
      </c>
      <c r="M45" s="3">
        <f t="shared" si="5"/>
        <v>0.93511600476837387</v>
      </c>
      <c r="R45">
        <f t="shared" si="6"/>
        <v>0.9832165064752143</v>
      </c>
      <c r="S45">
        <f t="shared" si="7"/>
        <v>0.9927435083863011</v>
      </c>
    </row>
    <row r="46" spans="1:19" x14ac:dyDescent="0.3">
      <c r="A46">
        <v>27.589400000000001</v>
      </c>
      <c r="B46">
        <f t="shared" si="1"/>
        <v>21.374500000000001</v>
      </c>
      <c r="C46">
        <v>947.46600000000001</v>
      </c>
      <c r="D46">
        <v>99.054000000000002</v>
      </c>
      <c r="E46">
        <v>190.21199999999999</v>
      </c>
      <c r="I46">
        <f t="shared" si="2"/>
        <v>0.8737680350810858</v>
      </c>
      <c r="J46">
        <f t="shared" si="3"/>
        <v>0.80340588161819937</v>
      </c>
      <c r="K46" s="4">
        <f t="shared" si="0"/>
        <v>0.92688950244474833</v>
      </c>
      <c r="L46" s="3">
        <f t="shared" si="4"/>
        <v>0.94268845722866612</v>
      </c>
      <c r="M46" s="3">
        <f t="shared" si="5"/>
        <v>0.86677633040308411</v>
      </c>
      <c r="R46">
        <f t="shared" si="6"/>
        <v>0.9398626043920052</v>
      </c>
      <c r="S46">
        <f t="shared" si="7"/>
        <v>0.75534650739709697</v>
      </c>
    </row>
    <row r="47" spans="1:19" x14ac:dyDescent="0.3">
      <c r="A47">
        <v>28.149699999999999</v>
      </c>
      <c r="B47">
        <f t="shared" si="1"/>
        <v>21.934799999999999</v>
      </c>
      <c r="C47">
        <v>947.91399999999999</v>
      </c>
      <c r="D47">
        <v>100.125</v>
      </c>
      <c r="E47">
        <v>188.21199999999999</v>
      </c>
      <c r="I47">
        <f t="shared" si="2"/>
        <v>0.8741811877216199</v>
      </c>
      <c r="J47">
        <f t="shared" si="3"/>
        <v>0.81209253434512696</v>
      </c>
      <c r="K47" s="4">
        <f t="shared" si="0"/>
        <v>0.91714364516503144</v>
      </c>
      <c r="L47" s="3">
        <f t="shared" si="4"/>
        <v>0.95315623929806459</v>
      </c>
      <c r="M47" s="3">
        <f t="shared" si="5"/>
        <v>0.88545838879906158</v>
      </c>
      <c r="R47">
        <f t="shared" si="6"/>
        <v>1.0182503646863481</v>
      </c>
      <c r="S47">
        <f t="shared" si="7"/>
        <v>0.82024387011796529</v>
      </c>
    </row>
    <row r="48" spans="1:19" x14ac:dyDescent="0.3">
      <c r="A48">
        <v>28.71</v>
      </c>
      <c r="B48">
        <f t="shared" si="1"/>
        <v>22.495100000000001</v>
      </c>
      <c r="C48">
        <v>953.63800000000003</v>
      </c>
      <c r="D48">
        <v>100.304</v>
      </c>
      <c r="E48">
        <v>189.05799999999999</v>
      </c>
      <c r="I48">
        <f t="shared" si="2"/>
        <v>0.87945995047701608</v>
      </c>
      <c r="J48">
        <f t="shared" si="3"/>
        <v>0.81354436519304485</v>
      </c>
      <c r="K48" s="4">
        <f t="shared" si="0"/>
        <v>0.92126614279435171</v>
      </c>
      <c r="L48" s="3">
        <f t="shared" si="4"/>
        <v>0.95462093918861435</v>
      </c>
      <c r="M48" s="3">
        <f t="shared" si="5"/>
        <v>0.88307203250238964</v>
      </c>
      <c r="R48">
        <f t="shared" si="6"/>
        <v>1.0292187382312286</v>
      </c>
      <c r="S48">
        <f t="shared" si="7"/>
        <v>0.81195419309823746</v>
      </c>
    </row>
    <row r="49" spans="1:19" x14ac:dyDescent="0.3">
      <c r="A49">
        <v>29.270299999999999</v>
      </c>
      <c r="B49">
        <f t="shared" si="1"/>
        <v>23.055399999999999</v>
      </c>
      <c r="C49">
        <v>946.22400000000005</v>
      </c>
      <c r="D49">
        <v>103.661</v>
      </c>
      <c r="E49">
        <v>188.21199999999999</v>
      </c>
      <c r="I49">
        <f t="shared" si="2"/>
        <v>0.87262264316246219</v>
      </c>
      <c r="J49">
        <f t="shared" si="3"/>
        <v>0.84077227668165</v>
      </c>
      <c r="K49" s="4">
        <f t="shared" si="0"/>
        <v>0.91714364516503144</v>
      </c>
      <c r="L49" s="3">
        <f t="shared" si="4"/>
        <v>0.95145689310799497</v>
      </c>
      <c r="M49" s="3">
        <f t="shared" si="5"/>
        <v>0.91672910902671179</v>
      </c>
      <c r="R49">
        <f t="shared" si="6"/>
        <v>1.0055248473875402</v>
      </c>
      <c r="S49">
        <f t="shared" si="7"/>
        <v>0.92887147582085527</v>
      </c>
    </row>
    <row r="50" spans="1:19" x14ac:dyDescent="0.3">
      <c r="A50">
        <v>29.814699999999998</v>
      </c>
      <c r="B50">
        <f t="shared" si="1"/>
        <v>23.599799999999998</v>
      </c>
      <c r="C50">
        <v>956.79300000000001</v>
      </c>
      <c r="D50">
        <v>101.089</v>
      </c>
      <c r="E50">
        <v>189.76900000000001</v>
      </c>
      <c r="I50">
        <f t="shared" si="2"/>
        <v>0.88236954105934917</v>
      </c>
      <c r="J50">
        <f t="shared" si="3"/>
        <v>0.81991133287804785</v>
      </c>
      <c r="K50" s="4">
        <f t="shared" si="0"/>
        <v>0.92473079505729106</v>
      </c>
      <c r="L50" s="3">
        <f t="shared" si="4"/>
        <v>0.95419071774795017</v>
      </c>
      <c r="M50" s="3">
        <f t="shared" si="5"/>
        <v>0.88664867360370625</v>
      </c>
      <c r="R50">
        <f t="shared" si="6"/>
        <v>1.0259970342503195</v>
      </c>
      <c r="S50">
        <f t="shared" si="7"/>
        <v>0.82437865778808594</v>
      </c>
    </row>
    <row r="51" spans="1:19" x14ac:dyDescent="0.3">
      <c r="A51">
        <v>30.359100000000002</v>
      </c>
      <c r="B51">
        <f t="shared" si="1"/>
        <v>24.144200000000001</v>
      </c>
      <c r="C51">
        <v>965.12099999999998</v>
      </c>
      <c r="D51">
        <v>101.107</v>
      </c>
      <c r="E51">
        <v>190.75</v>
      </c>
      <c r="I51">
        <f t="shared" si="2"/>
        <v>0.89004975353784999</v>
      </c>
      <c r="J51">
        <f t="shared" si="3"/>
        <v>0.82005732704152567</v>
      </c>
      <c r="K51" s="4">
        <f t="shared" si="0"/>
        <v>0.92951113805299213</v>
      </c>
      <c r="L51" s="3">
        <f t="shared" si="4"/>
        <v>0.95754608750810644</v>
      </c>
      <c r="M51" s="3">
        <f t="shared" si="5"/>
        <v>0.88224583167369597</v>
      </c>
      <c r="R51">
        <f t="shared" si="6"/>
        <v>1.0511236483424231</v>
      </c>
      <c r="S51">
        <f t="shared" si="7"/>
        <v>0.80908415309924253</v>
      </c>
    </row>
    <row r="52" spans="1:19" x14ac:dyDescent="0.3">
      <c r="A52">
        <v>30.903500000000001</v>
      </c>
      <c r="B52">
        <f t="shared" si="1"/>
        <v>24.688600000000001</v>
      </c>
      <c r="C52">
        <v>957.55200000000002</v>
      </c>
      <c r="D52">
        <v>105.732</v>
      </c>
      <c r="E52">
        <v>189.26900000000001</v>
      </c>
      <c r="I52">
        <f t="shared" si="2"/>
        <v>0.88306950278739704</v>
      </c>
      <c r="J52">
        <f t="shared" si="3"/>
        <v>0.85756971626845413</v>
      </c>
      <c r="K52" s="4">
        <f t="shared" si="0"/>
        <v>0.92229433073736189</v>
      </c>
      <c r="L52" s="3">
        <f t="shared" si="4"/>
        <v>0.957470379419328</v>
      </c>
      <c r="M52" s="3">
        <f t="shared" si="5"/>
        <v>0.92982217030743175</v>
      </c>
      <c r="R52">
        <f t="shared" si="6"/>
        <v>1.0505567099522117</v>
      </c>
      <c r="S52">
        <f t="shared" si="7"/>
        <v>0.97435389157245123</v>
      </c>
    </row>
    <row r="53" spans="1:19" x14ac:dyDescent="0.3">
      <c r="A53">
        <v>31.447900000000001</v>
      </c>
      <c r="B53">
        <f t="shared" si="1"/>
        <v>25.233000000000001</v>
      </c>
      <c r="C53">
        <v>949.25900000000001</v>
      </c>
      <c r="D53">
        <v>106.232</v>
      </c>
      <c r="E53">
        <v>188.423</v>
      </c>
      <c r="I53">
        <f t="shared" si="2"/>
        <v>0.87542156785893788</v>
      </c>
      <c r="J53">
        <f t="shared" si="3"/>
        <v>0.86162510969839234</v>
      </c>
      <c r="K53" s="4">
        <f t="shared" si="0"/>
        <v>0.91817183310804162</v>
      </c>
      <c r="L53" s="3">
        <f t="shared" si="4"/>
        <v>0.95343979883983954</v>
      </c>
      <c r="M53" s="3">
        <f t="shared" si="5"/>
        <v>0.93841378991311819</v>
      </c>
      <c r="R53">
        <f t="shared" si="6"/>
        <v>1.0203737942001139</v>
      </c>
      <c r="S53">
        <f t="shared" si="7"/>
        <v>1.0041992888028768</v>
      </c>
    </row>
    <row r="54" spans="1:19" x14ac:dyDescent="0.3">
      <c r="A54">
        <v>31.9923</v>
      </c>
      <c r="B54">
        <f t="shared" si="1"/>
        <v>25.7774</v>
      </c>
      <c r="C54">
        <v>950.22400000000005</v>
      </c>
      <c r="D54">
        <v>100.321</v>
      </c>
      <c r="E54">
        <v>188.05799999999999</v>
      </c>
      <c r="I54">
        <f t="shared" si="2"/>
        <v>0.87631150602437413</v>
      </c>
      <c r="J54">
        <f t="shared" si="3"/>
        <v>0.81368224856966276</v>
      </c>
      <c r="K54" s="4">
        <f t="shared" si="0"/>
        <v>0.91639321415449326</v>
      </c>
      <c r="L54" s="3">
        <f t="shared" si="4"/>
        <v>0.95626145249547667</v>
      </c>
      <c r="M54" s="3">
        <f t="shared" si="5"/>
        <v>0.88791823859193852</v>
      </c>
      <c r="R54">
        <f t="shared" si="6"/>
        <v>1.0415036867528398</v>
      </c>
      <c r="S54">
        <f t="shared" si="7"/>
        <v>0.82878884738243841</v>
      </c>
    </row>
    <row r="55" spans="1:19" x14ac:dyDescent="0.3">
      <c r="A55">
        <v>32.552599999999998</v>
      </c>
      <c r="B55">
        <f t="shared" si="1"/>
        <v>26.337699999999998</v>
      </c>
      <c r="C55">
        <v>953.32799999999997</v>
      </c>
      <c r="D55">
        <v>104.768</v>
      </c>
      <c r="E55">
        <v>188.76900000000001</v>
      </c>
      <c r="I55">
        <f t="shared" si="2"/>
        <v>0.87917406360521788</v>
      </c>
      <c r="J55">
        <f t="shared" si="3"/>
        <v>0.84975091773553324</v>
      </c>
      <c r="K55" s="4">
        <f t="shared" si="0"/>
        <v>0.91985786641743272</v>
      </c>
      <c r="L55" s="3">
        <f t="shared" si="4"/>
        <v>0.95577164223135269</v>
      </c>
      <c r="M55" s="3">
        <f t="shared" si="5"/>
        <v>0.92378502022823938</v>
      </c>
      <c r="R55">
        <f t="shared" si="6"/>
        <v>1.0378357531524542</v>
      </c>
      <c r="S55">
        <f t="shared" si="7"/>
        <v>0.95338215975439711</v>
      </c>
    </row>
    <row r="56" spans="1:19" x14ac:dyDescent="0.3">
      <c r="A56">
        <v>33.1128</v>
      </c>
      <c r="B56">
        <f t="shared" si="1"/>
        <v>26.8979</v>
      </c>
      <c r="C56">
        <v>945.67200000000003</v>
      </c>
      <c r="D56">
        <v>101.214</v>
      </c>
      <c r="E56">
        <v>185.98099999999999</v>
      </c>
      <c r="I56">
        <f t="shared" si="2"/>
        <v>0.87211358008751827</v>
      </c>
      <c r="J56">
        <f t="shared" si="3"/>
        <v>0.82092518123553238</v>
      </c>
      <c r="K56" s="4">
        <f t="shared" si="0"/>
        <v>0.9062721413695074</v>
      </c>
      <c r="L56" s="3">
        <f t="shared" si="4"/>
        <v>0.96230871531550044</v>
      </c>
      <c r="M56" s="3">
        <f t="shared" si="5"/>
        <v>0.90582634482727942</v>
      </c>
      <c r="R56">
        <f t="shared" si="6"/>
        <v>1.0867884839744688</v>
      </c>
      <c r="S56">
        <f t="shared" si="7"/>
        <v>0.8909976704877659</v>
      </c>
    </row>
    <row r="57" spans="1:19" x14ac:dyDescent="0.3">
      <c r="A57">
        <v>33.673099999999998</v>
      </c>
      <c r="B57">
        <f t="shared" si="1"/>
        <v>27.458199999999998</v>
      </c>
      <c r="C57">
        <v>954.48299999999995</v>
      </c>
      <c r="D57">
        <v>107.125</v>
      </c>
      <c r="E57">
        <v>189.19200000000001</v>
      </c>
      <c r="I57">
        <f t="shared" si="2"/>
        <v>0.88023922275659494</v>
      </c>
      <c r="J57">
        <f t="shared" si="3"/>
        <v>0.86886804236426196</v>
      </c>
      <c r="K57" s="4">
        <f t="shared" si="0"/>
        <v>0.9219191152320928</v>
      </c>
      <c r="L57" s="3">
        <f t="shared" si="4"/>
        <v>0.95479007671404559</v>
      </c>
      <c r="M57" s="3">
        <f t="shared" si="5"/>
        <v>0.94245582720727594</v>
      </c>
      <c r="R57">
        <f t="shared" si="6"/>
        <v>1.0304853209430567</v>
      </c>
      <c r="S57">
        <f t="shared" si="7"/>
        <v>1.0182404375269765</v>
      </c>
    </row>
    <row r="58" spans="1:19" x14ac:dyDescent="0.3">
      <c r="A58">
        <v>34.233400000000003</v>
      </c>
      <c r="B58">
        <f t="shared" si="1"/>
        <v>28.018500000000003</v>
      </c>
      <c r="C58">
        <v>948.79300000000001</v>
      </c>
      <c r="D58">
        <v>107.107</v>
      </c>
      <c r="E58">
        <v>190.13499999999999</v>
      </c>
      <c r="I58">
        <f t="shared" si="2"/>
        <v>0.87499181533552517</v>
      </c>
      <c r="J58">
        <f t="shared" si="3"/>
        <v>0.86872204820078425</v>
      </c>
      <c r="K58" s="4">
        <f t="shared" si="0"/>
        <v>0.92651428693947924</v>
      </c>
      <c r="L58" s="3">
        <f t="shared" si="4"/>
        <v>0.94439106624664537</v>
      </c>
      <c r="M58" s="3">
        <f t="shared" si="5"/>
        <v>0.93762401772605364</v>
      </c>
      <c r="R58">
        <f t="shared" si="6"/>
        <v>0.95261255530725331</v>
      </c>
      <c r="S58">
        <f t="shared" si="7"/>
        <v>1.0014557938943169</v>
      </c>
    </row>
    <row r="59" spans="1:19" x14ac:dyDescent="0.3">
      <c r="A59">
        <v>34.793700000000001</v>
      </c>
      <c r="B59">
        <f t="shared" si="1"/>
        <v>28.578800000000001</v>
      </c>
      <c r="C59">
        <v>953.5</v>
      </c>
      <c r="D59">
        <v>103.75</v>
      </c>
      <c r="E59">
        <v>189.21199999999999</v>
      </c>
      <c r="I59">
        <f t="shared" si="2"/>
        <v>0.87933268470828008</v>
      </c>
      <c r="J59">
        <f t="shared" si="3"/>
        <v>0.8414941367121791</v>
      </c>
      <c r="K59" s="4">
        <f t="shared" si="0"/>
        <v>0.92201657380488988</v>
      </c>
      <c r="L59" s="3">
        <f t="shared" si="4"/>
        <v>0.95370594161830946</v>
      </c>
      <c r="M59" s="3">
        <f t="shared" si="5"/>
        <v>0.91266703942162508</v>
      </c>
      <c r="R59">
        <f t="shared" si="6"/>
        <v>1.0223667986574534</v>
      </c>
      <c r="S59">
        <f t="shared" si="7"/>
        <v>0.91476073925365309</v>
      </c>
    </row>
    <row r="60" spans="1:19" x14ac:dyDescent="0.3">
      <c r="A60">
        <v>35.338099999999997</v>
      </c>
      <c r="B60">
        <f t="shared" si="1"/>
        <v>29.123199999999997</v>
      </c>
      <c r="C60">
        <v>943.67200000000003</v>
      </c>
      <c r="D60">
        <v>105.768</v>
      </c>
      <c r="E60">
        <v>188.55799999999999</v>
      </c>
      <c r="I60">
        <f t="shared" si="2"/>
        <v>0.87026914865656224</v>
      </c>
      <c r="J60">
        <f t="shared" si="3"/>
        <v>0.85786170459540967</v>
      </c>
      <c r="K60" s="4">
        <f t="shared" si="0"/>
        <v>0.91882967847442254</v>
      </c>
      <c r="L60" s="3">
        <f t="shared" si="4"/>
        <v>0.94714958500416779</v>
      </c>
      <c r="M60" s="3">
        <f t="shared" si="5"/>
        <v>0.9336460550771053</v>
      </c>
      <c r="R60">
        <f t="shared" si="6"/>
        <v>0.97326966353691879</v>
      </c>
      <c r="S60">
        <f t="shared" si="7"/>
        <v>0.98763722639779039</v>
      </c>
    </row>
    <row r="61" spans="1:19" x14ac:dyDescent="0.3">
      <c r="A61">
        <v>35.8825</v>
      </c>
      <c r="B61">
        <f t="shared" si="1"/>
        <v>29.6676</v>
      </c>
      <c r="C61">
        <v>936.89700000000005</v>
      </c>
      <c r="D61">
        <v>108.554</v>
      </c>
      <c r="E61">
        <v>187.88499999999999</v>
      </c>
      <c r="I61">
        <f t="shared" si="2"/>
        <v>0.86402113718419882</v>
      </c>
      <c r="J61">
        <f t="shared" si="3"/>
        <v>0.88045835678702544</v>
      </c>
      <c r="K61" s="4">
        <f t="shared" si="0"/>
        <v>0.91555019749979782</v>
      </c>
      <c r="L61" s="3">
        <f t="shared" si="4"/>
        <v>0.94371792998754678</v>
      </c>
      <c r="M61" s="3">
        <f t="shared" si="5"/>
        <v>0.9616713088931641</v>
      </c>
      <c r="R61">
        <f t="shared" si="6"/>
        <v>0.94757178894683136</v>
      </c>
      <c r="S61">
        <f t="shared" si="7"/>
        <v>1.0849907954582947</v>
      </c>
    </row>
    <row r="62" spans="1:19" x14ac:dyDescent="0.3">
      <c r="A62">
        <v>36.426900000000003</v>
      </c>
      <c r="B62">
        <f t="shared" si="1"/>
        <v>30.212000000000003</v>
      </c>
      <c r="C62">
        <v>956.58600000000001</v>
      </c>
      <c r="D62">
        <v>108.357</v>
      </c>
      <c r="E62">
        <v>189.98099999999999</v>
      </c>
      <c r="I62">
        <f t="shared" si="2"/>
        <v>0.88217864240624522</v>
      </c>
      <c r="J62">
        <f t="shared" si="3"/>
        <v>0.87886053177562973</v>
      </c>
      <c r="K62" s="4">
        <f t="shared" si="0"/>
        <v>0.92576385592894106</v>
      </c>
      <c r="L62" s="3">
        <f t="shared" si="4"/>
        <v>0.95291972867210173</v>
      </c>
      <c r="M62" s="3">
        <f t="shared" si="5"/>
        <v>0.94933554183075441</v>
      </c>
      <c r="R62">
        <f t="shared" si="6"/>
        <v>1.0164792599640555</v>
      </c>
      <c r="S62">
        <f t="shared" si="7"/>
        <v>1.0421390532936456</v>
      </c>
    </row>
    <row r="63" spans="1:19" x14ac:dyDescent="0.3">
      <c r="A63">
        <v>36.971299999999999</v>
      </c>
      <c r="B63">
        <f t="shared" si="1"/>
        <v>30.756399999999999</v>
      </c>
      <c r="C63">
        <v>945.56899999999996</v>
      </c>
      <c r="D63">
        <v>104.929</v>
      </c>
      <c r="E63">
        <v>187.827</v>
      </c>
      <c r="I63">
        <f t="shared" si="2"/>
        <v>0.87201859186882402</v>
      </c>
      <c r="J63">
        <f t="shared" si="3"/>
        <v>0.85105675441997342</v>
      </c>
      <c r="K63" s="4">
        <f t="shared" si="0"/>
        <v>0.915267567638686</v>
      </c>
      <c r="L63" s="3">
        <f t="shared" si="4"/>
        <v>0.95274717765708583</v>
      </c>
      <c r="M63" s="3">
        <f t="shared" si="5"/>
        <v>0.92984476289881968</v>
      </c>
      <c r="R63">
        <f t="shared" si="6"/>
        <v>1.015187115409083</v>
      </c>
      <c r="S63">
        <f t="shared" si="7"/>
        <v>0.97443237326686782</v>
      </c>
    </row>
    <row r="64" spans="1:19" x14ac:dyDescent="0.3">
      <c r="A64">
        <v>37.531599999999997</v>
      </c>
      <c r="B64">
        <f t="shared" si="1"/>
        <v>31.316699999999997</v>
      </c>
      <c r="C64">
        <v>954.87900000000002</v>
      </c>
      <c r="D64">
        <v>105.625</v>
      </c>
      <c r="E64">
        <v>189.077</v>
      </c>
      <c r="I64">
        <f t="shared" si="2"/>
        <v>0.88060442017992424</v>
      </c>
      <c r="J64">
        <f t="shared" si="3"/>
        <v>0.85670186207444732</v>
      </c>
      <c r="K64" s="4">
        <f t="shared" si="0"/>
        <v>0.92135872843850908</v>
      </c>
      <c r="L64" s="3">
        <f t="shared" si="4"/>
        <v>0.95576716538231099</v>
      </c>
      <c r="M64" s="3">
        <f t="shared" si="5"/>
        <v>0.92982443822544525</v>
      </c>
      <c r="R64">
        <f t="shared" si="6"/>
        <v>1.0378022283649464</v>
      </c>
      <c r="S64">
        <f t="shared" si="7"/>
        <v>0.97436176982091949</v>
      </c>
    </row>
    <row r="65" spans="1:19" x14ac:dyDescent="0.3">
      <c r="A65">
        <v>38.091900000000003</v>
      </c>
      <c r="B65">
        <f t="shared" si="1"/>
        <v>31.877000000000002</v>
      </c>
      <c r="C65">
        <v>947.27599999999995</v>
      </c>
      <c r="D65">
        <v>109.286</v>
      </c>
      <c r="E65">
        <v>189.827</v>
      </c>
      <c r="I65">
        <f t="shared" si="2"/>
        <v>0.87359281409514489</v>
      </c>
      <c r="J65">
        <f t="shared" si="3"/>
        <v>0.88639545276845499</v>
      </c>
      <c r="K65" s="4">
        <f t="shared" si="0"/>
        <v>0.92501342491840288</v>
      </c>
      <c r="L65" s="3">
        <f t="shared" si="4"/>
        <v>0.94441095724876223</v>
      </c>
      <c r="M65" s="3">
        <f t="shared" si="5"/>
        <v>0.95825144683348307</v>
      </c>
      <c r="R65">
        <f t="shared" si="6"/>
        <v>0.95276150864766607</v>
      </c>
      <c r="S65">
        <f t="shared" si="7"/>
        <v>1.0731109466836948</v>
      </c>
    </row>
    <row r="66" spans="1:19" x14ac:dyDescent="0.3">
      <c r="A66">
        <v>38.652200000000001</v>
      </c>
      <c r="B66">
        <f t="shared" si="1"/>
        <v>32.4373</v>
      </c>
      <c r="C66">
        <v>944.44799999999998</v>
      </c>
      <c r="D66">
        <v>107.625</v>
      </c>
      <c r="E66">
        <v>188.94200000000001</v>
      </c>
      <c r="I66">
        <f t="shared" si="2"/>
        <v>0.87098478805177315</v>
      </c>
      <c r="J66">
        <f t="shared" si="3"/>
        <v>0.87292343579420018</v>
      </c>
      <c r="K66" s="4">
        <f t="shared" ref="K66" si="8">E66/$H$2</f>
        <v>0.92070088307212816</v>
      </c>
      <c r="L66" s="3">
        <f t="shared" si="4"/>
        <v>0.94600190362100456</v>
      </c>
      <c r="M66" s="3">
        <f t="shared" si="5"/>
        <v>0.94810752530343223</v>
      </c>
      <c r="R66">
        <f t="shared" si="6"/>
        <v>0.96467527624826088</v>
      </c>
      <c r="S66">
        <f t="shared" si="7"/>
        <v>1.0378731939160726</v>
      </c>
    </row>
    <row r="67" spans="1:19" x14ac:dyDescent="0.3">
      <c r="K67" s="4"/>
      <c r="L67" s="3"/>
      <c r="M67" s="3"/>
    </row>
    <row r="68" spans="1:19" x14ac:dyDescent="0.3">
      <c r="K68" s="4"/>
      <c r="L68" s="3"/>
      <c r="M68" s="3"/>
    </row>
    <row r="69" spans="1:19" x14ac:dyDescent="0.3">
      <c r="K69" s="4"/>
      <c r="L69" s="3"/>
      <c r="M69" s="3"/>
    </row>
    <row r="70" spans="1:19" x14ac:dyDescent="0.3">
      <c r="K70" s="4"/>
      <c r="L70" s="3"/>
      <c r="M70" s="3"/>
    </row>
    <row r="71" spans="1:19" x14ac:dyDescent="0.3">
      <c r="K71" s="4"/>
      <c r="L71" s="3"/>
      <c r="M71" s="3"/>
    </row>
    <row r="72" spans="1:19" x14ac:dyDescent="0.3">
      <c r="K72" s="4"/>
      <c r="L72" s="3"/>
      <c r="M72" s="3"/>
    </row>
    <row r="73" spans="1:19" x14ac:dyDescent="0.3">
      <c r="K73" s="4"/>
      <c r="L73" s="3"/>
      <c r="M73" s="3"/>
    </row>
    <row r="74" spans="1:19" x14ac:dyDescent="0.3">
      <c r="K74" s="4"/>
      <c r="L74" s="3"/>
      <c r="M74" s="3"/>
    </row>
    <row r="75" spans="1:19" x14ac:dyDescent="0.3">
      <c r="K75" s="4"/>
      <c r="L75" s="3"/>
      <c r="M75" s="3"/>
    </row>
    <row r="76" spans="1:19" x14ac:dyDescent="0.3">
      <c r="K76" s="4"/>
      <c r="L76" s="3"/>
      <c r="M76" s="3"/>
    </row>
    <row r="77" spans="1:19" x14ac:dyDescent="0.3">
      <c r="K77" s="4"/>
      <c r="L77" s="3"/>
      <c r="M77" s="3"/>
    </row>
    <row r="78" spans="1:19" x14ac:dyDescent="0.3">
      <c r="K78" s="4"/>
      <c r="L78" s="3"/>
      <c r="M78" s="3"/>
    </row>
    <row r="79" spans="1:19" x14ac:dyDescent="0.3">
      <c r="K79" s="4"/>
      <c r="L79" s="3"/>
      <c r="M79" s="3"/>
    </row>
    <row r="80" spans="1:19" x14ac:dyDescent="0.3">
      <c r="K80" s="4"/>
      <c r="L80" s="3"/>
      <c r="M80" s="3"/>
    </row>
    <row r="81" spans="11:13" x14ac:dyDescent="0.3">
      <c r="K81" s="4"/>
      <c r="L81" s="3"/>
      <c r="M81" s="3"/>
    </row>
    <row r="82" spans="11:13" x14ac:dyDescent="0.3">
      <c r="K82" s="4"/>
      <c r="L82" s="3"/>
      <c r="M82" s="3"/>
    </row>
    <row r="83" spans="11:13" x14ac:dyDescent="0.3">
      <c r="K83" s="4"/>
      <c r="L83" s="3"/>
      <c r="M83" s="3"/>
    </row>
    <row r="84" spans="11:13" x14ac:dyDescent="0.3">
      <c r="K84" s="4"/>
      <c r="L84" s="3"/>
      <c r="M84" s="3"/>
    </row>
    <row r="85" spans="11:13" x14ac:dyDescent="0.3">
      <c r="K85" s="4"/>
      <c r="L85" s="3"/>
      <c r="M85" s="3"/>
    </row>
    <row r="86" spans="11:13" x14ac:dyDescent="0.3">
      <c r="K86" s="4"/>
      <c r="L86" s="3"/>
      <c r="M86" s="3"/>
    </row>
    <row r="87" spans="11:13" x14ac:dyDescent="0.3">
      <c r="K87" s="4"/>
      <c r="L87" s="3"/>
      <c r="M87" s="3"/>
    </row>
    <row r="88" spans="11:13" x14ac:dyDescent="0.3">
      <c r="K88" s="4"/>
      <c r="L88" s="3"/>
      <c r="M88" s="3"/>
    </row>
    <row r="89" spans="11:13" x14ac:dyDescent="0.3">
      <c r="K89" s="4"/>
      <c r="L89" s="3"/>
      <c r="M89" s="3"/>
    </row>
    <row r="90" spans="11:13" x14ac:dyDescent="0.3">
      <c r="K90" s="4"/>
      <c r="L90" s="3"/>
      <c r="M90" s="3"/>
    </row>
    <row r="91" spans="11:13" x14ac:dyDescent="0.3">
      <c r="K91" s="4"/>
      <c r="L91" s="3"/>
      <c r="M91" s="3"/>
    </row>
    <row r="92" spans="11:13" x14ac:dyDescent="0.3">
      <c r="K92" s="4"/>
      <c r="L92" s="3"/>
      <c r="M92" s="3"/>
    </row>
    <row r="93" spans="11:13" x14ac:dyDescent="0.3">
      <c r="K93" s="4"/>
      <c r="L93" s="3"/>
      <c r="M93" s="3"/>
    </row>
    <row r="94" spans="11:13" x14ac:dyDescent="0.3">
      <c r="K94" s="4"/>
      <c r="L94" s="3"/>
      <c r="M94" s="3"/>
    </row>
    <row r="95" spans="11:13" x14ac:dyDescent="0.3">
      <c r="K95" s="4"/>
      <c r="L95" s="3"/>
      <c r="M95" s="3"/>
    </row>
    <row r="96" spans="11:13" x14ac:dyDescent="0.3">
      <c r="K96" s="4"/>
      <c r="L96" s="3"/>
      <c r="M96" s="3"/>
    </row>
    <row r="97" spans="11:13" x14ac:dyDescent="0.3">
      <c r="K97" s="4"/>
      <c r="L97" s="3"/>
      <c r="M97" s="3"/>
    </row>
    <row r="98" spans="11:13" x14ac:dyDescent="0.3">
      <c r="K98" s="4"/>
      <c r="L98" s="3"/>
      <c r="M98" s="3"/>
    </row>
    <row r="99" spans="11:13" x14ac:dyDescent="0.3">
      <c r="K99" s="4"/>
      <c r="L99" s="3"/>
      <c r="M99" s="3"/>
    </row>
    <row r="100" spans="11:13" x14ac:dyDescent="0.3">
      <c r="K100" s="4"/>
      <c r="L100" s="3"/>
      <c r="M100" s="3"/>
    </row>
    <row r="101" spans="11:13" x14ac:dyDescent="0.3">
      <c r="K101" s="4"/>
      <c r="L101" s="3"/>
      <c r="M101" s="3"/>
    </row>
    <row r="102" spans="11:13" x14ac:dyDescent="0.3">
      <c r="K102" s="4"/>
      <c r="L102" s="3"/>
      <c r="M102" s="3"/>
    </row>
    <row r="103" spans="11:13" x14ac:dyDescent="0.3">
      <c r="K103" s="4"/>
      <c r="L103" s="3"/>
      <c r="M103" s="3"/>
    </row>
    <row r="104" spans="11:13" x14ac:dyDescent="0.3">
      <c r="K104" s="4"/>
      <c r="L104" s="3"/>
      <c r="M104" s="3"/>
    </row>
    <row r="105" spans="11:13" x14ac:dyDescent="0.3">
      <c r="K105" s="4"/>
      <c r="L105" s="3"/>
      <c r="M105" s="3"/>
    </row>
    <row r="106" spans="11:13" x14ac:dyDescent="0.3">
      <c r="K106" s="4"/>
      <c r="L106" s="3"/>
      <c r="M106" s="3"/>
    </row>
    <row r="107" spans="11:13" x14ac:dyDescent="0.3">
      <c r="K107" s="4"/>
      <c r="L107" s="3"/>
      <c r="M107" s="3"/>
    </row>
    <row r="108" spans="11:13" x14ac:dyDescent="0.3">
      <c r="K108" s="4"/>
      <c r="L108" s="3"/>
      <c r="M108" s="3"/>
    </row>
    <row r="109" spans="11:13" x14ac:dyDescent="0.3">
      <c r="K109" s="4"/>
      <c r="L109" s="3"/>
      <c r="M109" s="3"/>
    </row>
    <row r="110" spans="11:13" x14ac:dyDescent="0.3">
      <c r="K110" s="4"/>
      <c r="L110" s="3"/>
      <c r="M110" s="3"/>
    </row>
    <row r="111" spans="11:13" x14ac:dyDescent="0.3">
      <c r="K111" s="4"/>
      <c r="L111" s="3"/>
      <c r="M111" s="3"/>
    </row>
    <row r="112" spans="11:13" x14ac:dyDescent="0.3">
      <c r="K112" s="4"/>
      <c r="L112" s="3"/>
      <c r="M112" s="3"/>
    </row>
    <row r="113" spans="11:13" x14ac:dyDescent="0.3">
      <c r="K113" s="4"/>
      <c r="L113" s="3"/>
      <c r="M113" s="3"/>
    </row>
    <row r="114" spans="11:13" x14ac:dyDescent="0.3">
      <c r="K114" s="4"/>
      <c r="L114" s="3"/>
      <c r="M114" s="3"/>
    </row>
    <row r="115" spans="11:13" x14ac:dyDescent="0.3">
      <c r="K115" s="4"/>
      <c r="L115" s="3"/>
      <c r="M115" s="3"/>
    </row>
    <row r="116" spans="11:13" x14ac:dyDescent="0.3">
      <c r="K116" s="4"/>
      <c r="L116" s="3"/>
      <c r="M116" s="3"/>
    </row>
    <row r="117" spans="11:13" x14ac:dyDescent="0.3">
      <c r="K117" s="4"/>
      <c r="L117" s="3"/>
      <c r="M117" s="3"/>
    </row>
    <row r="118" spans="11:13" x14ac:dyDescent="0.3">
      <c r="K118" s="4"/>
      <c r="L118" s="3"/>
      <c r="M118" s="3"/>
    </row>
    <row r="119" spans="11:13" x14ac:dyDescent="0.3">
      <c r="K119" s="4"/>
      <c r="L119" s="3"/>
      <c r="M119" s="3"/>
    </row>
    <row r="120" spans="11:13" x14ac:dyDescent="0.3">
      <c r="K120" s="4"/>
      <c r="L120" s="3"/>
      <c r="M120" s="3"/>
    </row>
    <row r="121" spans="11:13" x14ac:dyDescent="0.3">
      <c r="K121" s="4"/>
      <c r="L121" s="3"/>
      <c r="M121" s="3"/>
    </row>
    <row r="122" spans="11:13" x14ac:dyDescent="0.3">
      <c r="K122" s="4"/>
      <c r="L122" s="3"/>
      <c r="M122" s="3"/>
    </row>
    <row r="123" spans="11:13" x14ac:dyDescent="0.3">
      <c r="K123" s="4"/>
      <c r="L123" s="3"/>
      <c r="M123" s="3"/>
    </row>
    <row r="124" spans="11:13" x14ac:dyDescent="0.3">
      <c r="K124" s="4"/>
      <c r="L124" s="3"/>
      <c r="M124" s="3"/>
    </row>
    <row r="125" spans="11:13" x14ac:dyDescent="0.3">
      <c r="K125" s="4"/>
      <c r="L125" s="3"/>
      <c r="M125" s="3"/>
    </row>
    <row r="126" spans="11:13" x14ac:dyDescent="0.3">
      <c r="K126" s="4"/>
      <c r="L126" s="3"/>
      <c r="M126" s="3"/>
    </row>
    <row r="127" spans="11:13" x14ac:dyDescent="0.3">
      <c r="K127" s="4"/>
      <c r="L127" s="3"/>
      <c r="M127" s="3"/>
    </row>
    <row r="128" spans="11:13" x14ac:dyDescent="0.3">
      <c r="K128" s="4"/>
      <c r="L128" s="3"/>
      <c r="M128" s="3"/>
    </row>
    <row r="129" spans="11:13" x14ac:dyDescent="0.3">
      <c r="K129" s="4"/>
      <c r="L129" s="3"/>
      <c r="M129" s="3"/>
    </row>
    <row r="130" spans="11:13" x14ac:dyDescent="0.3">
      <c r="K130" s="4"/>
      <c r="L130" s="3"/>
      <c r="M130" s="3"/>
    </row>
    <row r="131" spans="11:13" x14ac:dyDescent="0.3">
      <c r="K131" s="4"/>
      <c r="L131" s="3"/>
      <c r="M131" s="3"/>
    </row>
    <row r="132" spans="11:13" x14ac:dyDescent="0.3">
      <c r="K132" s="4"/>
      <c r="L132" s="3"/>
      <c r="M132" s="3"/>
    </row>
    <row r="133" spans="11:13" x14ac:dyDescent="0.3">
      <c r="K133" s="4"/>
      <c r="L133" s="3"/>
      <c r="M133" s="3"/>
    </row>
    <row r="134" spans="11:13" x14ac:dyDescent="0.3">
      <c r="K134" s="4"/>
      <c r="L134" s="3"/>
      <c r="M134" s="3"/>
    </row>
    <row r="135" spans="11:13" x14ac:dyDescent="0.3">
      <c r="K135" s="4"/>
      <c r="L135" s="3"/>
      <c r="M135" s="3"/>
    </row>
    <row r="136" spans="11:13" x14ac:dyDescent="0.3">
      <c r="K136" s="4"/>
      <c r="L136" s="3"/>
      <c r="M136" s="3"/>
    </row>
    <row r="137" spans="11:13" x14ac:dyDescent="0.3">
      <c r="K137" s="4"/>
      <c r="L137" s="3"/>
      <c r="M137" s="3"/>
    </row>
    <row r="138" spans="11:13" x14ac:dyDescent="0.3">
      <c r="K138" s="4"/>
      <c r="L138" s="3"/>
      <c r="M138" s="3"/>
    </row>
    <row r="139" spans="11:13" x14ac:dyDescent="0.3">
      <c r="K139" s="4"/>
      <c r="L139" s="3"/>
      <c r="M139" s="3"/>
    </row>
    <row r="140" spans="11:13" x14ac:dyDescent="0.3">
      <c r="K140" s="4"/>
      <c r="L140" s="3"/>
      <c r="M140" s="3"/>
    </row>
    <row r="141" spans="11:13" x14ac:dyDescent="0.3">
      <c r="K141" s="4"/>
      <c r="L141" s="3"/>
      <c r="M141" s="3"/>
    </row>
    <row r="142" spans="11:13" x14ac:dyDescent="0.3">
      <c r="K142" s="4"/>
      <c r="L142" s="3"/>
      <c r="M142" s="3"/>
    </row>
    <row r="143" spans="11:13" x14ac:dyDescent="0.3">
      <c r="K143" s="4"/>
      <c r="L143" s="3"/>
      <c r="M143" s="3"/>
    </row>
    <row r="144" spans="11:13" x14ac:dyDescent="0.3">
      <c r="K144" s="4"/>
      <c r="L144" s="3"/>
      <c r="M144" s="3"/>
    </row>
    <row r="145" spans="11:13" x14ac:dyDescent="0.3">
      <c r="K145" s="4"/>
      <c r="L145" s="3"/>
      <c r="M145" s="3"/>
    </row>
    <row r="146" spans="11:13" x14ac:dyDescent="0.3">
      <c r="K146" s="4"/>
      <c r="L146" s="3"/>
      <c r="M146" s="3"/>
    </row>
    <row r="147" spans="11:13" x14ac:dyDescent="0.3">
      <c r="K147" s="4"/>
      <c r="L147" s="3"/>
      <c r="M147" s="3"/>
    </row>
    <row r="148" spans="11:13" x14ac:dyDescent="0.3">
      <c r="K148" s="4"/>
      <c r="L148" s="3"/>
      <c r="M148" s="3"/>
    </row>
    <row r="149" spans="11:13" x14ac:dyDescent="0.3">
      <c r="K149" s="4"/>
      <c r="L149" s="3"/>
      <c r="M149" s="3"/>
    </row>
    <row r="150" spans="11:13" x14ac:dyDescent="0.3">
      <c r="K150" s="4"/>
      <c r="L150" s="3"/>
      <c r="M150" s="3"/>
    </row>
    <row r="151" spans="11:13" x14ac:dyDescent="0.3">
      <c r="K151" s="4"/>
      <c r="L151" s="3"/>
      <c r="M151" s="3"/>
    </row>
    <row r="152" spans="11:13" x14ac:dyDescent="0.3">
      <c r="K152" s="4"/>
      <c r="L152" s="3"/>
      <c r="M152" s="3"/>
    </row>
    <row r="153" spans="11:13" x14ac:dyDescent="0.3">
      <c r="K153" s="4"/>
      <c r="L153" s="3"/>
      <c r="M153" s="3"/>
    </row>
    <row r="154" spans="11:13" x14ac:dyDescent="0.3">
      <c r="K154" s="4"/>
      <c r="L154" s="3"/>
      <c r="M154" s="3"/>
    </row>
    <row r="155" spans="11:13" x14ac:dyDescent="0.3">
      <c r="K155" s="4"/>
      <c r="L155" s="3"/>
      <c r="M155" s="3"/>
    </row>
    <row r="156" spans="11:13" x14ac:dyDescent="0.3">
      <c r="K156" s="4"/>
      <c r="L156" s="3"/>
      <c r="M156" s="3"/>
    </row>
    <row r="157" spans="11:13" x14ac:dyDescent="0.3">
      <c r="K157" s="4"/>
      <c r="L157" s="3"/>
      <c r="M157" s="3"/>
    </row>
    <row r="158" spans="11:13" x14ac:dyDescent="0.3">
      <c r="K158" s="4"/>
      <c r="L158" s="3"/>
      <c r="M158" s="3"/>
    </row>
    <row r="159" spans="11:13" x14ac:dyDescent="0.3">
      <c r="K159" s="4"/>
      <c r="L159" s="3"/>
      <c r="M159" s="3"/>
    </row>
    <row r="160" spans="11:13" x14ac:dyDescent="0.3">
      <c r="K160" s="4"/>
      <c r="L160" s="3"/>
      <c r="M160" s="3"/>
    </row>
    <row r="161" spans="11:13" x14ac:dyDescent="0.3">
      <c r="K161" s="4"/>
      <c r="L161" s="3"/>
      <c r="M161" s="3"/>
    </row>
    <row r="162" spans="11:13" x14ac:dyDescent="0.3">
      <c r="K162" s="4"/>
      <c r="L162" s="3"/>
      <c r="M162" s="3"/>
    </row>
    <row r="163" spans="11:13" x14ac:dyDescent="0.3">
      <c r="K163" s="4"/>
      <c r="L163" s="3"/>
      <c r="M163" s="3"/>
    </row>
    <row r="164" spans="11:13" x14ac:dyDescent="0.3">
      <c r="K164" s="4"/>
      <c r="L164" s="3"/>
      <c r="M164" s="3"/>
    </row>
    <row r="165" spans="11:13" x14ac:dyDescent="0.3">
      <c r="K165" s="4"/>
      <c r="L165" s="3"/>
      <c r="M165" s="3"/>
    </row>
    <row r="166" spans="11:13" x14ac:dyDescent="0.3">
      <c r="K166" s="4"/>
      <c r="L166" s="3"/>
      <c r="M166" s="3"/>
    </row>
    <row r="167" spans="11:13" x14ac:dyDescent="0.3">
      <c r="K167" s="4"/>
      <c r="L167" s="3"/>
      <c r="M167" s="3"/>
    </row>
    <row r="168" spans="11:13" x14ac:dyDescent="0.3">
      <c r="K168" s="4"/>
      <c r="L168" s="3"/>
      <c r="M168" s="3"/>
    </row>
    <row r="169" spans="11:13" x14ac:dyDescent="0.3">
      <c r="K169" s="4"/>
      <c r="L169" s="3"/>
      <c r="M169" s="3"/>
    </row>
    <row r="170" spans="11:13" x14ac:dyDescent="0.3">
      <c r="K170" s="4"/>
      <c r="L170" s="3"/>
      <c r="M170" s="3"/>
    </row>
    <row r="171" spans="11:13" x14ac:dyDescent="0.3">
      <c r="K171" s="4"/>
      <c r="L171" s="3"/>
      <c r="M171" s="3"/>
    </row>
    <row r="172" spans="11:13" x14ac:dyDescent="0.3">
      <c r="K172" s="4"/>
      <c r="L172" s="3"/>
      <c r="M172" s="3"/>
    </row>
    <row r="173" spans="11:13" x14ac:dyDescent="0.3">
      <c r="K173" s="4"/>
      <c r="L173" s="3"/>
      <c r="M173" s="3"/>
    </row>
    <row r="174" spans="11:13" x14ac:dyDescent="0.3">
      <c r="K174" s="4"/>
      <c r="L174" s="3"/>
      <c r="M174" s="3"/>
    </row>
    <row r="175" spans="11:13" x14ac:dyDescent="0.3">
      <c r="K175" s="4"/>
      <c r="L175" s="3"/>
      <c r="M175" s="3"/>
    </row>
    <row r="176" spans="11:13" x14ac:dyDescent="0.3">
      <c r="K176" s="4"/>
      <c r="L176" s="3"/>
      <c r="M176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5166-8F9E-4658-A634-F691306B550E}">
  <dimension ref="A1:S76"/>
  <sheetViews>
    <sheetView topLeftCell="B1" workbookViewId="0">
      <selection activeCell="E25" sqref="E25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-7.9446000000000003</v>
      </c>
      <c r="C2">
        <v>1707.356</v>
      </c>
      <c r="D2">
        <v>252.77799999999999</v>
      </c>
      <c r="E2">
        <v>151.31200000000001</v>
      </c>
      <c r="F2">
        <f>AVERAGE(C2:C11)</f>
        <v>1664.4067000000002</v>
      </c>
      <c r="G2">
        <f>AVERAGE(D2:D11)</f>
        <v>244.48750000000001</v>
      </c>
      <c r="H2">
        <f>AVERAGE(E2:E11)</f>
        <v>146.51249999999999</v>
      </c>
      <c r="I2">
        <f>C2/$F$2</f>
        <v>1.0258045704814813</v>
      </c>
      <c r="J2">
        <f>D2/$G$2</f>
        <v>1.0339097090853315</v>
      </c>
      <c r="K2" s="4">
        <f>E2/$H$2</f>
        <v>1.0327582970736287</v>
      </c>
      <c r="L2" s="3">
        <f>I2/K2</f>
        <v>0.99326684025502288</v>
      </c>
      <c r="M2" s="3">
        <f>J2/K2</f>
        <v>1.0011148901102662</v>
      </c>
      <c r="R2">
        <f>(L2-$L$12)/($N$12-$L$12)</f>
        <v>1.1852897249043211</v>
      </c>
      <c r="S2">
        <f>(M2-$M$12)/($O$12-$M$12)</f>
        <v>3.0598259385292406</v>
      </c>
    </row>
    <row r="3" spans="1:19" x14ac:dyDescent="0.3">
      <c r="A3">
        <v>0.50309999999999999</v>
      </c>
      <c r="B3">
        <f t="shared" ref="B3:B66" si="0">A3-$A$12</f>
        <v>-7.4415000000000004</v>
      </c>
      <c r="C3">
        <v>1710.1859999999999</v>
      </c>
      <c r="D3">
        <v>243.93700000000001</v>
      </c>
      <c r="E3">
        <v>147.39099999999999</v>
      </c>
      <c r="I3">
        <f t="shared" ref="I3:I66" si="1">C3/$F$2</f>
        <v>1.0275048760618422</v>
      </c>
      <c r="J3">
        <f t="shared" ref="J3:J66" si="2">D3/$G$2</f>
        <v>0.99774835114269644</v>
      </c>
      <c r="K3" s="4">
        <f t="shared" ref="K3:K65" si="3">E3/$H$2</f>
        <v>1.005996075420186</v>
      </c>
      <c r="L3" s="3">
        <f t="shared" ref="L3:L66" si="4">I3/K3</f>
        <v>1.0213806009458559</v>
      </c>
      <c r="M3" s="3">
        <f t="shared" ref="M3:M66" si="5">J3/K3</f>
        <v>0.99180143493696571</v>
      </c>
      <c r="R3">
        <f t="shared" ref="R3:R66" si="6">(L3-$L$12)/($N$12-$L$12)</f>
        <v>1.2694040402331528</v>
      </c>
      <c r="S3">
        <f t="shared" ref="S3:S66" si="7">(M3-$M$12)/($O$12-$M$12)</f>
        <v>3.0008799653615457</v>
      </c>
    </row>
    <row r="4" spans="1:19" x14ac:dyDescent="0.3">
      <c r="A4">
        <v>1.0026999999999999</v>
      </c>
      <c r="B4">
        <f t="shared" si="0"/>
        <v>-6.9419000000000004</v>
      </c>
      <c r="C4">
        <v>1663.1690000000001</v>
      </c>
      <c r="D4">
        <v>246.30199999999999</v>
      </c>
      <c r="E4">
        <v>145.64099999999999</v>
      </c>
      <c r="I4">
        <f t="shared" si="1"/>
        <v>0.99925637165483649</v>
      </c>
      <c r="J4">
        <f t="shared" si="2"/>
        <v>1.0074216473234827</v>
      </c>
      <c r="K4" s="4">
        <f t="shared" si="3"/>
        <v>0.99405170207320193</v>
      </c>
      <c r="L4" s="3">
        <f t="shared" si="4"/>
        <v>1.005235813761779</v>
      </c>
      <c r="M4" s="3">
        <f t="shared" si="5"/>
        <v>1.0134499495573484</v>
      </c>
      <c r="R4">
        <f t="shared" si="6"/>
        <v>1.221100018047991</v>
      </c>
      <c r="S4">
        <f t="shared" si="7"/>
        <v>3.1378960070118866</v>
      </c>
    </row>
    <row r="5" spans="1:19" x14ac:dyDescent="0.3">
      <c r="A5">
        <v>1.5028999999999999</v>
      </c>
      <c r="B5">
        <f t="shared" si="0"/>
        <v>-6.4417000000000009</v>
      </c>
      <c r="C5">
        <v>1671.8140000000001</v>
      </c>
      <c r="D5">
        <v>249.429</v>
      </c>
      <c r="E5">
        <v>149.73400000000001</v>
      </c>
      <c r="I5">
        <f t="shared" si="1"/>
        <v>1.0044504146732887</v>
      </c>
      <c r="J5">
        <f t="shared" si="2"/>
        <v>1.0202116672631525</v>
      </c>
      <c r="K5" s="4">
        <f t="shared" si="3"/>
        <v>1.0219878849927482</v>
      </c>
      <c r="L5" s="3">
        <f t="shared" si="4"/>
        <v>0.98283984519093981</v>
      </c>
      <c r="M5" s="3">
        <f t="shared" si="5"/>
        <v>0.99826199727445075</v>
      </c>
      <c r="R5">
        <f t="shared" si="6"/>
        <v>1.1540929184579163</v>
      </c>
      <c r="S5">
        <f t="shared" si="7"/>
        <v>3.0417696381099955</v>
      </c>
    </row>
    <row r="6" spans="1:19" x14ac:dyDescent="0.3">
      <c r="A6">
        <v>2.0024999999999999</v>
      </c>
      <c r="B6">
        <f t="shared" si="0"/>
        <v>-5.9420999999999999</v>
      </c>
      <c r="C6">
        <v>1643.932</v>
      </c>
      <c r="D6">
        <v>238.60300000000001</v>
      </c>
      <c r="E6">
        <v>147.328</v>
      </c>
      <c r="I6">
        <f t="shared" si="1"/>
        <v>0.98769849941123156</v>
      </c>
      <c r="J6">
        <f t="shared" si="2"/>
        <v>0.97593128483051284</v>
      </c>
      <c r="K6" s="4">
        <f t="shared" si="3"/>
        <v>1.0055660779796947</v>
      </c>
      <c r="L6" s="3">
        <f t="shared" si="4"/>
        <v>0.98223132327180207</v>
      </c>
      <c r="M6" s="3">
        <f t="shared" si="5"/>
        <v>0.97052924338028412</v>
      </c>
      <c r="R6">
        <f t="shared" si="6"/>
        <v>1.1522722653921902</v>
      </c>
      <c r="S6">
        <f t="shared" si="7"/>
        <v>2.8662457174496772</v>
      </c>
    </row>
    <row r="7" spans="1:19" x14ac:dyDescent="0.3">
      <c r="A7">
        <v>2.5030000000000001</v>
      </c>
      <c r="B7">
        <f t="shared" si="0"/>
        <v>-5.4416000000000002</v>
      </c>
      <c r="C7">
        <v>1662.847</v>
      </c>
      <c r="D7">
        <v>242.27</v>
      </c>
      <c r="E7">
        <v>142.31299999999999</v>
      </c>
      <c r="I7">
        <f t="shared" si="1"/>
        <v>0.99906290932378472</v>
      </c>
      <c r="J7">
        <f t="shared" si="2"/>
        <v>0.99093000664655662</v>
      </c>
      <c r="K7" s="4">
        <f t="shared" si="3"/>
        <v>0.97133691664533739</v>
      </c>
      <c r="L7" s="3">
        <f t="shared" si="4"/>
        <v>1.0285441562071</v>
      </c>
      <c r="M7" s="3">
        <f t="shared" si="5"/>
        <v>1.0201712605229574</v>
      </c>
      <c r="R7">
        <f t="shared" si="6"/>
        <v>1.2908368735259352</v>
      </c>
      <c r="S7">
        <f t="shared" si="7"/>
        <v>3.1804359890548901</v>
      </c>
    </row>
    <row r="8" spans="1:19" x14ac:dyDescent="0.3">
      <c r="A8">
        <v>3.0024000000000002</v>
      </c>
      <c r="B8">
        <f t="shared" si="0"/>
        <v>-4.9421999999999997</v>
      </c>
      <c r="C8">
        <v>1655.2370000000001</v>
      </c>
      <c r="D8">
        <v>240.92099999999999</v>
      </c>
      <c r="E8">
        <v>145.23400000000001</v>
      </c>
      <c r="I8">
        <f t="shared" si="1"/>
        <v>0.99449070951228435</v>
      </c>
      <c r="J8">
        <f t="shared" si="2"/>
        <v>0.98541234214428131</v>
      </c>
      <c r="K8" s="4">
        <f t="shared" si="3"/>
        <v>0.99127378210050354</v>
      </c>
      <c r="L8" s="3">
        <f t="shared" si="4"/>
        <v>1.0032452461367072</v>
      </c>
      <c r="M8" s="3">
        <f t="shared" si="5"/>
        <v>0.99408696158209509</v>
      </c>
      <c r="R8">
        <f t="shared" si="6"/>
        <v>1.215144385333466</v>
      </c>
      <c r="S8">
        <f t="shared" si="7"/>
        <v>3.015345337212378</v>
      </c>
    </row>
    <row r="9" spans="1:19" x14ac:dyDescent="0.3">
      <c r="A9">
        <v>3.5028000000000001</v>
      </c>
      <c r="B9">
        <f t="shared" si="0"/>
        <v>-4.4418000000000006</v>
      </c>
      <c r="C9">
        <v>1651.492</v>
      </c>
      <c r="D9">
        <v>247.19</v>
      </c>
      <c r="E9">
        <v>146.23400000000001</v>
      </c>
      <c r="I9">
        <f t="shared" si="1"/>
        <v>0.99224065848809651</v>
      </c>
      <c r="J9">
        <f t="shared" si="2"/>
        <v>1.01105373485352</v>
      </c>
      <c r="K9" s="4">
        <f t="shared" si="3"/>
        <v>0.99809913829878005</v>
      </c>
      <c r="L9" s="3">
        <f t="shared" si="4"/>
        <v>0.99413036282080247</v>
      </c>
      <c r="M9" s="3">
        <f t="shared" si="5"/>
        <v>1.0129792683488541</v>
      </c>
      <c r="R9">
        <f t="shared" si="6"/>
        <v>1.1878733212502637</v>
      </c>
      <c r="S9">
        <f t="shared" si="7"/>
        <v>3.1349170092747225</v>
      </c>
    </row>
    <row r="10" spans="1:19" x14ac:dyDescent="0.3">
      <c r="A10">
        <v>4.0029000000000003</v>
      </c>
      <c r="B10">
        <f t="shared" si="0"/>
        <v>-3.9417</v>
      </c>
      <c r="C10">
        <v>1647.4580000000001</v>
      </c>
      <c r="D10">
        <v>241.50800000000001</v>
      </c>
      <c r="E10">
        <v>143.93799999999999</v>
      </c>
      <c r="I10">
        <f t="shared" si="1"/>
        <v>0.98981697201771646</v>
      </c>
      <c r="J10">
        <f t="shared" si="2"/>
        <v>0.98781328288767323</v>
      </c>
      <c r="K10" s="4">
        <f t="shared" si="3"/>
        <v>0.98242812046753691</v>
      </c>
      <c r="L10" s="3">
        <f t="shared" si="4"/>
        <v>1.0075210098288547</v>
      </c>
      <c r="M10" s="3">
        <f t="shared" si="5"/>
        <v>1.0054814823679654</v>
      </c>
      <c r="R10">
        <f t="shared" si="6"/>
        <v>1.2279371575074902</v>
      </c>
      <c r="S10">
        <f t="shared" si="7"/>
        <v>3.0874626238696594</v>
      </c>
    </row>
    <row r="11" spans="1:19" x14ac:dyDescent="0.3">
      <c r="A11">
        <v>4.5029000000000003</v>
      </c>
      <c r="B11">
        <f t="shared" si="0"/>
        <v>-3.4417</v>
      </c>
      <c r="C11">
        <v>1630.576</v>
      </c>
      <c r="D11">
        <v>241.93700000000001</v>
      </c>
      <c r="E11">
        <v>146</v>
      </c>
      <c r="I11">
        <f t="shared" si="1"/>
        <v>0.97967401837543655</v>
      </c>
      <c r="J11">
        <f t="shared" si="2"/>
        <v>0.9895679738227926</v>
      </c>
      <c r="K11" s="4">
        <f t="shared" si="3"/>
        <v>0.99650200494838337</v>
      </c>
      <c r="L11" s="3">
        <f t="shared" si="4"/>
        <v>0.98311294258377491</v>
      </c>
      <c r="M11" s="3">
        <f t="shared" si="5"/>
        <v>0.99304162852542388</v>
      </c>
      <c r="R11">
        <f t="shared" si="6"/>
        <v>1.1549100058788782</v>
      </c>
      <c r="S11">
        <f t="shared" si="7"/>
        <v>3.0087292991080137</v>
      </c>
    </row>
    <row r="12" spans="1:19" x14ac:dyDescent="0.3">
      <c r="A12" s="1">
        <v>7.9446000000000003</v>
      </c>
      <c r="B12" s="1">
        <f t="shared" si="0"/>
        <v>0</v>
      </c>
      <c r="C12" s="1">
        <v>1005.61</v>
      </c>
      <c r="D12" s="1">
        <v>128.06299999999999</v>
      </c>
      <c r="E12" s="1">
        <v>148.25</v>
      </c>
      <c r="F12" s="1"/>
      <c r="G12" s="1"/>
      <c r="H12" s="1"/>
      <c r="I12">
        <f t="shared" si="1"/>
        <v>0.60418526313310317</v>
      </c>
      <c r="J12" s="1">
        <f t="shared" si="2"/>
        <v>0.52380183035942529</v>
      </c>
      <c r="K12" s="1">
        <f t="shared" si="3"/>
        <v>1.0118590563945056</v>
      </c>
      <c r="L12" s="1">
        <f t="shared" si="4"/>
        <v>0.5971041710946966</v>
      </c>
      <c r="M12" s="1">
        <f t="shared" si="5"/>
        <v>0.51766283757528031</v>
      </c>
      <c r="N12" s="1">
        <f>AVERAGE(L66:L76)</f>
        <v>0.93133694206746898</v>
      </c>
      <c r="O12" s="1">
        <f>AVERAGE(M66:M76)</f>
        <v>0.67566269189619821</v>
      </c>
      <c r="P12" s="5">
        <f>(N12-L12)/(1-L12)</f>
        <v>0.82957615093932979</v>
      </c>
      <c r="Q12" s="5">
        <f>(O12-M12)/(1-M12)</f>
        <v>0.32757138912259859</v>
      </c>
      <c r="R12">
        <f t="shared" si="6"/>
        <v>0</v>
      </c>
      <c r="S12">
        <f t="shared" si="7"/>
        <v>0</v>
      </c>
    </row>
    <row r="13" spans="1:19" x14ac:dyDescent="0.3">
      <c r="A13">
        <v>8.4471000000000007</v>
      </c>
      <c r="B13">
        <f t="shared" si="0"/>
        <v>0.50250000000000039</v>
      </c>
      <c r="C13">
        <v>1137.6949999999999</v>
      </c>
      <c r="D13">
        <v>133.82499999999999</v>
      </c>
      <c r="E13">
        <v>148.18799999999999</v>
      </c>
      <c r="I13">
        <f t="shared" si="1"/>
        <v>0.68354387181930942</v>
      </c>
      <c r="J13">
        <f t="shared" si="2"/>
        <v>0.54736949741806828</v>
      </c>
      <c r="K13" s="4">
        <f t="shared" si="3"/>
        <v>1.0114358843102125</v>
      </c>
      <c r="L13" s="3">
        <f t="shared" si="4"/>
        <v>0.67581532593682736</v>
      </c>
      <c r="M13" s="3">
        <f t="shared" si="5"/>
        <v>0.54118061847426735</v>
      </c>
      <c r="R13">
        <f t="shared" si="6"/>
        <v>0.23549801718438559</v>
      </c>
      <c r="S13">
        <f t="shared" si="7"/>
        <v>0.14884685179025178</v>
      </c>
    </row>
    <row r="14" spans="1:19" x14ac:dyDescent="0.3">
      <c r="A14">
        <v>8.9478000000000009</v>
      </c>
      <c r="B14">
        <f t="shared" si="0"/>
        <v>1.0032000000000005</v>
      </c>
      <c r="C14">
        <v>1174.508</v>
      </c>
      <c r="D14">
        <v>138.84100000000001</v>
      </c>
      <c r="E14">
        <v>148.828</v>
      </c>
      <c r="I14">
        <f t="shared" si="1"/>
        <v>0.7056616631019329</v>
      </c>
      <c r="J14">
        <f t="shared" si="2"/>
        <v>0.56788588373638738</v>
      </c>
      <c r="K14" s="4">
        <f t="shared" si="3"/>
        <v>1.0158041122771095</v>
      </c>
      <c r="L14" s="3">
        <f t="shared" si="4"/>
        <v>0.694682817851627</v>
      </c>
      <c r="M14" s="3">
        <f t="shared" si="5"/>
        <v>0.55905058551433495</v>
      </c>
      <c r="R14">
        <f t="shared" si="6"/>
        <v>0.29194817274479484</v>
      </c>
      <c r="S14">
        <f t="shared" si="7"/>
        <v>0.26194801328734668</v>
      </c>
    </row>
    <row r="15" spans="1:19" x14ac:dyDescent="0.3">
      <c r="A15">
        <v>9.4472000000000005</v>
      </c>
      <c r="B15">
        <f t="shared" si="0"/>
        <v>1.5026000000000002</v>
      </c>
      <c r="C15">
        <v>1256.0340000000001</v>
      </c>
      <c r="D15">
        <v>142.762</v>
      </c>
      <c r="E15">
        <v>148.453</v>
      </c>
      <c r="I15">
        <f t="shared" si="1"/>
        <v>0.7546436817395652</v>
      </c>
      <c r="J15">
        <f t="shared" si="2"/>
        <v>0.58392351347205884</v>
      </c>
      <c r="K15" s="4">
        <f t="shared" si="3"/>
        <v>1.0132446037027558</v>
      </c>
      <c r="L15" s="3">
        <f t="shared" si="4"/>
        <v>0.74477937408383821</v>
      </c>
      <c r="M15" s="3">
        <f t="shared" si="5"/>
        <v>0.57629077059793343</v>
      </c>
      <c r="R15">
        <f t="shared" si="6"/>
        <v>0.44183340418516798</v>
      </c>
      <c r="S15">
        <f t="shared" si="7"/>
        <v>0.37106320935949916</v>
      </c>
    </row>
    <row r="16" spans="1:19" x14ac:dyDescent="0.3">
      <c r="A16">
        <v>9.9474</v>
      </c>
      <c r="B16">
        <f t="shared" si="0"/>
        <v>2.0027999999999997</v>
      </c>
      <c r="C16">
        <v>1272.559</v>
      </c>
      <c r="D16">
        <v>142.476</v>
      </c>
      <c r="E16">
        <v>148.34399999999999</v>
      </c>
      <c r="I16">
        <f t="shared" si="1"/>
        <v>0.76457214453654854</v>
      </c>
      <c r="J16">
        <f t="shared" si="2"/>
        <v>0.58275371951531263</v>
      </c>
      <c r="K16" s="4">
        <f t="shared" si="3"/>
        <v>1.0125006398771437</v>
      </c>
      <c r="L16" s="3">
        <f t="shared" si="4"/>
        <v>0.75513250503162288</v>
      </c>
      <c r="M16" s="3">
        <f t="shared" si="5"/>
        <v>0.57555886541071588</v>
      </c>
      <c r="R16">
        <f t="shared" si="6"/>
        <v>0.47280921459912661</v>
      </c>
      <c r="S16">
        <f t="shared" si="7"/>
        <v>0.36643089377691029</v>
      </c>
    </row>
    <row r="17" spans="1:19" x14ac:dyDescent="0.3">
      <c r="A17">
        <v>10.446999999999999</v>
      </c>
      <c r="B17">
        <f t="shared" si="0"/>
        <v>2.5023999999999988</v>
      </c>
      <c r="C17">
        <v>1317.424</v>
      </c>
      <c r="D17">
        <v>149</v>
      </c>
      <c r="E17">
        <v>149.83099999999999</v>
      </c>
      <c r="I17">
        <f t="shared" si="1"/>
        <v>0.79152769572484882</v>
      </c>
      <c r="J17">
        <f t="shared" si="2"/>
        <v>0.60943811033283912</v>
      </c>
      <c r="K17" s="4">
        <f t="shared" si="3"/>
        <v>1.0226499445439809</v>
      </c>
      <c r="L17" s="3">
        <f t="shared" si="4"/>
        <v>0.77399671309600082</v>
      </c>
      <c r="M17" s="3">
        <f t="shared" si="5"/>
        <v>0.59594010011372867</v>
      </c>
      <c r="R17">
        <f t="shared" si="6"/>
        <v>0.52924954511930378</v>
      </c>
      <c r="S17">
        <f t="shared" si="7"/>
        <v>0.49542616906125264</v>
      </c>
    </row>
    <row r="18" spans="1:19" x14ac:dyDescent="0.3">
      <c r="A18">
        <v>10.947800000000001</v>
      </c>
      <c r="B18">
        <f t="shared" si="0"/>
        <v>3.0032000000000005</v>
      </c>
      <c r="C18">
        <v>1342.847</v>
      </c>
      <c r="D18">
        <v>149.03200000000001</v>
      </c>
      <c r="E18">
        <v>149.21899999999999</v>
      </c>
      <c r="I18">
        <f t="shared" si="1"/>
        <v>0.80680220765753929</v>
      </c>
      <c r="J18">
        <f t="shared" si="2"/>
        <v>0.60956899636995754</v>
      </c>
      <c r="K18" s="4">
        <f t="shared" si="3"/>
        <v>1.0184728265506358</v>
      </c>
      <c r="L18" s="3">
        <f t="shared" si="4"/>
        <v>0.79216861424768437</v>
      </c>
      <c r="M18" s="3">
        <f t="shared" si="5"/>
        <v>0.59851277371282074</v>
      </c>
      <c r="R18">
        <f t="shared" si="6"/>
        <v>0.58361854400231239</v>
      </c>
      <c r="S18">
        <f t="shared" si="7"/>
        <v>0.51170892837232551</v>
      </c>
    </row>
    <row r="19" spans="1:19" x14ac:dyDescent="0.3">
      <c r="A19">
        <v>11.4472</v>
      </c>
      <c r="B19">
        <f t="shared" si="0"/>
        <v>3.5026000000000002</v>
      </c>
      <c r="C19">
        <v>1365.8140000000001</v>
      </c>
      <c r="D19">
        <v>152.06299999999999</v>
      </c>
      <c r="E19">
        <v>148.78100000000001</v>
      </c>
      <c r="I19">
        <f t="shared" si="1"/>
        <v>0.82060111870494146</v>
      </c>
      <c r="J19">
        <f t="shared" si="2"/>
        <v>0.62196635819827184</v>
      </c>
      <c r="K19" s="4">
        <f t="shared" si="3"/>
        <v>1.0154833205357905</v>
      </c>
      <c r="L19" s="3">
        <f t="shared" si="4"/>
        <v>0.80808921437722381</v>
      </c>
      <c r="M19" s="3">
        <f t="shared" si="5"/>
        <v>0.61248308625109593</v>
      </c>
      <c r="R19">
        <f t="shared" si="6"/>
        <v>0.63125181492067006</v>
      </c>
      <c r="S19">
        <f t="shared" si="7"/>
        <v>0.60012870950642505</v>
      </c>
    </row>
    <row r="20" spans="1:19" x14ac:dyDescent="0.3">
      <c r="A20">
        <v>11.9472</v>
      </c>
      <c r="B20">
        <f t="shared" si="0"/>
        <v>4.0026000000000002</v>
      </c>
      <c r="C20">
        <v>1381.4749999999999</v>
      </c>
      <c r="D20">
        <v>149.58699999999999</v>
      </c>
      <c r="E20">
        <v>146.625</v>
      </c>
      <c r="I20">
        <f t="shared" si="1"/>
        <v>0.83001047760742597</v>
      </c>
      <c r="J20">
        <f t="shared" si="2"/>
        <v>0.61183905107623082</v>
      </c>
      <c r="K20" s="4">
        <f t="shared" si="3"/>
        <v>1.0007678525723063</v>
      </c>
      <c r="L20" s="3">
        <f t="shared" si="4"/>
        <v>0.82937364092383958</v>
      </c>
      <c r="M20" s="3">
        <f t="shared" si="5"/>
        <v>0.61136960934906226</v>
      </c>
      <c r="R20">
        <f t="shared" si="6"/>
        <v>0.694933262088966</v>
      </c>
      <c r="S20">
        <f t="shared" si="7"/>
        <v>0.59308138084388051</v>
      </c>
    </row>
    <row r="21" spans="1:19" x14ac:dyDescent="0.3">
      <c r="A21">
        <v>12.4472</v>
      </c>
      <c r="B21">
        <f t="shared" si="0"/>
        <v>4.5026000000000002</v>
      </c>
      <c r="C21">
        <v>1380.932</v>
      </c>
      <c r="D21">
        <v>151.619</v>
      </c>
      <c r="E21">
        <v>143.89099999999999</v>
      </c>
      <c r="I21">
        <f t="shared" si="1"/>
        <v>0.82968423522928614</v>
      </c>
      <c r="J21">
        <f t="shared" si="2"/>
        <v>0.62015031443325319</v>
      </c>
      <c r="K21" s="4">
        <f t="shared" si="3"/>
        <v>0.98210732872621787</v>
      </c>
      <c r="L21" s="3">
        <f t="shared" si="4"/>
        <v>0.84479996326407347</v>
      </c>
      <c r="M21" s="3">
        <f t="shared" si="5"/>
        <v>0.63144861696285393</v>
      </c>
      <c r="R21">
        <f t="shared" si="6"/>
        <v>0.74108769002054242</v>
      </c>
      <c r="S21">
        <f t="shared" si="7"/>
        <v>0.7201638246859402</v>
      </c>
    </row>
    <row r="22" spans="1:19" x14ac:dyDescent="0.3">
      <c r="A22">
        <v>12.9474</v>
      </c>
      <c r="B22">
        <f t="shared" si="0"/>
        <v>5.0027999999999997</v>
      </c>
      <c r="C22">
        <v>1379.6949999999999</v>
      </c>
      <c r="D22">
        <v>150.79400000000001</v>
      </c>
      <c r="E22">
        <v>144.422</v>
      </c>
      <c r="I22">
        <f t="shared" si="1"/>
        <v>0.82894102745440745</v>
      </c>
      <c r="J22">
        <f t="shared" si="2"/>
        <v>0.61677590878879285</v>
      </c>
      <c r="K22" s="4">
        <f t="shared" si="3"/>
        <v>0.98573159286750278</v>
      </c>
      <c r="L22" s="3">
        <f t="shared" si="4"/>
        <v>0.84093990032622368</v>
      </c>
      <c r="M22" s="3">
        <f t="shared" si="5"/>
        <v>0.62570370398151254</v>
      </c>
      <c r="R22">
        <f t="shared" si="6"/>
        <v>0.72953866409284773</v>
      </c>
      <c r="S22">
        <f t="shared" si="7"/>
        <v>0.68380358241842054</v>
      </c>
    </row>
    <row r="23" spans="1:19" x14ac:dyDescent="0.3">
      <c r="A23">
        <v>13.4473</v>
      </c>
      <c r="B23">
        <f t="shared" si="0"/>
        <v>5.5026999999999999</v>
      </c>
      <c r="C23">
        <v>1411.4749999999999</v>
      </c>
      <c r="D23">
        <v>152.96799999999999</v>
      </c>
      <c r="E23">
        <v>144.547</v>
      </c>
      <c r="I23">
        <f t="shared" si="1"/>
        <v>0.84803491838863643</v>
      </c>
      <c r="J23">
        <f t="shared" si="2"/>
        <v>0.62566797893552828</v>
      </c>
      <c r="K23" s="4">
        <f t="shared" si="3"/>
        <v>0.98658476239228743</v>
      </c>
      <c r="L23" s="3">
        <f t="shared" si="4"/>
        <v>0.85956620324472377</v>
      </c>
      <c r="M23" s="3">
        <f t="shared" si="5"/>
        <v>0.63417559523055878</v>
      </c>
      <c r="R23">
        <f t="shared" si="6"/>
        <v>0.78526719982047521</v>
      </c>
      <c r="S23">
        <f t="shared" si="7"/>
        <v>0.73742319672413215</v>
      </c>
    </row>
    <row r="24" spans="1:19" x14ac:dyDescent="0.3">
      <c r="A24">
        <v>13.9475</v>
      </c>
      <c r="B24">
        <f t="shared" si="0"/>
        <v>6.0028999999999995</v>
      </c>
      <c r="C24">
        <v>1419.373</v>
      </c>
      <c r="D24">
        <v>156.11099999999999</v>
      </c>
      <c r="E24">
        <v>144.78100000000001</v>
      </c>
      <c r="I24">
        <f t="shared" si="1"/>
        <v>0.85278015283163655</v>
      </c>
      <c r="J24">
        <f t="shared" si="2"/>
        <v>0.63852344189375732</v>
      </c>
      <c r="K24" s="4">
        <f t="shared" si="3"/>
        <v>0.98818189574268422</v>
      </c>
      <c r="L24" s="3">
        <f t="shared" si="4"/>
        <v>0.86297892777191154</v>
      </c>
      <c r="M24" s="3">
        <f t="shared" si="5"/>
        <v>0.64615982608532274</v>
      </c>
      <c r="R24">
        <f t="shared" si="6"/>
        <v>0.79547782194844652</v>
      </c>
      <c r="S24">
        <f t="shared" si="7"/>
        <v>0.81327282903089659</v>
      </c>
    </row>
    <row r="25" spans="1:19" x14ac:dyDescent="0.3">
      <c r="A25">
        <v>14.447100000000001</v>
      </c>
      <c r="B25">
        <f t="shared" si="0"/>
        <v>6.5025000000000004</v>
      </c>
      <c r="C25">
        <v>1447.644</v>
      </c>
      <c r="D25">
        <v>152.762</v>
      </c>
      <c r="E25">
        <v>142.93799999999999</v>
      </c>
      <c r="I25">
        <f t="shared" si="1"/>
        <v>0.86976578500915658</v>
      </c>
      <c r="J25">
        <f t="shared" si="2"/>
        <v>0.62482540007157827</v>
      </c>
      <c r="K25" s="4">
        <f t="shared" si="3"/>
        <v>0.97560276426926029</v>
      </c>
      <c r="L25" s="3">
        <f t="shared" si="4"/>
        <v>0.89151631879663951</v>
      </c>
      <c r="M25" s="3">
        <f t="shared" si="5"/>
        <v>0.64045062494219251</v>
      </c>
      <c r="R25">
        <f t="shared" si="6"/>
        <v>0.88085960824567566</v>
      </c>
      <c r="S25">
        <f t="shared" si="7"/>
        <v>0.77713861126425166</v>
      </c>
    </row>
    <row r="26" spans="1:19" x14ac:dyDescent="0.3">
      <c r="A26">
        <v>14.9473</v>
      </c>
      <c r="B26">
        <f t="shared" si="0"/>
        <v>7.0026999999999999</v>
      </c>
      <c r="C26">
        <v>1461.78</v>
      </c>
      <c r="D26">
        <v>154.11099999999999</v>
      </c>
      <c r="E26">
        <v>143.453</v>
      </c>
      <c r="I26">
        <f t="shared" si="1"/>
        <v>0.87825890150526298</v>
      </c>
      <c r="J26">
        <f t="shared" si="2"/>
        <v>0.63034306457385336</v>
      </c>
      <c r="K26" s="4">
        <f t="shared" si="3"/>
        <v>0.97911782271137282</v>
      </c>
      <c r="L26" s="3">
        <f t="shared" si="4"/>
        <v>0.89699000583319854</v>
      </c>
      <c r="M26" s="3">
        <f t="shared" si="5"/>
        <v>0.64378673327415026</v>
      </c>
      <c r="R26">
        <f t="shared" si="6"/>
        <v>0.89723647943226836</v>
      </c>
      <c r="S26">
        <f t="shared" si="7"/>
        <v>0.79825324042828671</v>
      </c>
    </row>
    <row r="27" spans="1:19" x14ac:dyDescent="0.3">
      <c r="A27">
        <v>15.4473</v>
      </c>
      <c r="B27">
        <f t="shared" si="0"/>
        <v>7.5026999999999999</v>
      </c>
      <c r="C27">
        <v>1454.4749999999999</v>
      </c>
      <c r="D27">
        <v>152.11099999999999</v>
      </c>
      <c r="E27">
        <v>143.703</v>
      </c>
      <c r="I27">
        <f t="shared" si="1"/>
        <v>0.87386995017503821</v>
      </c>
      <c r="J27">
        <f t="shared" si="2"/>
        <v>0.62216268725394952</v>
      </c>
      <c r="K27" s="4">
        <f t="shared" si="3"/>
        <v>0.980824161760942</v>
      </c>
      <c r="L27" s="3">
        <f t="shared" si="4"/>
        <v>0.89095475442419625</v>
      </c>
      <c r="M27" s="3">
        <f t="shared" si="5"/>
        <v>0.6343264282324953</v>
      </c>
      <c r="R27">
        <f t="shared" si="6"/>
        <v>0.87917944872448672</v>
      </c>
      <c r="S27">
        <f t="shared" si="7"/>
        <v>0.7383778368570918</v>
      </c>
    </row>
    <row r="28" spans="1:19" x14ac:dyDescent="0.3">
      <c r="A28">
        <v>15.9473</v>
      </c>
      <c r="B28">
        <f t="shared" si="0"/>
        <v>8.0027000000000008</v>
      </c>
      <c r="C28">
        <v>1458.6949999999999</v>
      </c>
      <c r="D28">
        <v>154.96799999999999</v>
      </c>
      <c r="E28">
        <v>146.01599999999999</v>
      </c>
      <c r="I28">
        <f t="shared" si="1"/>
        <v>0.87640538817826175</v>
      </c>
      <c r="J28">
        <f t="shared" si="2"/>
        <v>0.63384835625543223</v>
      </c>
      <c r="K28" s="4">
        <f t="shared" si="3"/>
        <v>0.99661121064755565</v>
      </c>
      <c r="L28" s="3">
        <f t="shared" si="4"/>
        <v>0.87938544019468812</v>
      </c>
      <c r="M28" s="3">
        <f t="shared" si="5"/>
        <v>0.63600363861408349</v>
      </c>
      <c r="R28">
        <f t="shared" si="6"/>
        <v>0.84456490690132535</v>
      </c>
      <c r="S28">
        <f t="shared" si="7"/>
        <v>0.74899310222424564</v>
      </c>
    </row>
    <row r="29" spans="1:19" x14ac:dyDescent="0.3">
      <c r="A29">
        <v>16.447399999999998</v>
      </c>
      <c r="B29">
        <f t="shared" si="0"/>
        <v>8.502799999999997</v>
      </c>
      <c r="C29">
        <v>1445.153</v>
      </c>
      <c r="D29">
        <v>154.20599999999999</v>
      </c>
      <c r="E29">
        <v>144.89099999999999</v>
      </c>
      <c r="I29">
        <f t="shared" si="1"/>
        <v>0.86826915560962348</v>
      </c>
      <c r="J29">
        <f t="shared" si="2"/>
        <v>0.63073163249654884</v>
      </c>
      <c r="K29" s="4">
        <f t="shared" si="3"/>
        <v>0.98893268492449449</v>
      </c>
      <c r="L29" s="3">
        <f t="shared" si="4"/>
        <v>0.87798610445959346</v>
      </c>
      <c r="M29" s="3">
        <f t="shared" si="5"/>
        <v>0.63779025823654067</v>
      </c>
      <c r="R29">
        <f t="shared" si="6"/>
        <v>0.8403781967501277</v>
      </c>
      <c r="S29">
        <f t="shared" si="7"/>
        <v>0.76030083177966878</v>
      </c>
    </row>
    <row r="30" spans="1:19" x14ac:dyDescent="0.3">
      <c r="A30">
        <v>16.947399999999998</v>
      </c>
      <c r="B30">
        <f t="shared" si="0"/>
        <v>9.002799999999997</v>
      </c>
      <c r="C30">
        <v>1470.6780000000001</v>
      </c>
      <c r="D30">
        <v>157</v>
      </c>
      <c r="E30">
        <v>145.40600000000001</v>
      </c>
      <c r="I30">
        <f t="shared" si="1"/>
        <v>0.88360495064097011</v>
      </c>
      <c r="J30">
        <f t="shared" si="2"/>
        <v>0.6421596196124546</v>
      </c>
      <c r="K30" s="4">
        <f t="shared" si="3"/>
        <v>0.99244774336660702</v>
      </c>
      <c r="L30" s="3">
        <f t="shared" si="4"/>
        <v>0.89032894330897705</v>
      </c>
      <c r="M30" s="3">
        <f t="shared" si="5"/>
        <v>0.64704627916640134</v>
      </c>
      <c r="R30">
        <f t="shared" si="6"/>
        <v>0.87730706764887345</v>
      </c>
      <c r="S30">
        <f t="shared" si="7"/>
        <v>0.8188832967423294</v>
      </c>
    </row>
    <row r="31" spans="1:19" x14ac:dyDescent="0.3">
      <c r="A31">
        <v>17.447399999999998</v>
      </c>
      <c r="B31">
        <f t="shared" si="0"/>
        <v>9.502799999999997</v>
      </c>
      <c r="C31">
        <v>1438.729</v>
      </c>
      <c r="D31">
        <v>160.238</v>
      </c>
      <c r="E31">
        <v>146.43799999999999</v>
      </c>
      <c r="I31">
        <f t="shared" si="1"/>
        <v>0.8644095220236736</v>
      </c>
      <c r="J31">
        <f t="shared" si="2"/>
        <v>0.65540365049337901</v>
      </c>
      <c r="K31" s="4">
        <f t="shared" si="3"/>
        <v>0.99949151096322841</v>
      </c>
      <c r="L31" s="3">
        <f t="shared" si="4"/>
        <v>0.86484928840528741</v>
      </c>
      <c r="M31" s="3">
        <f t="shared" si="5"/>
        <v>0.6557370856124175</v>
      </c>
      <c r="R31">
        <f t="shared" si="6"/>
        <v>0.8010738041375427</v>
      </c>
      <c r="S31">
        <f t="shared" si="7"/>
        <v>0.87388845154686501</v>
      </c>
    </row>
    <row r="32" spans="1:19" x14ac:dyDescent="0.3">
      <c r="A32">
        <v>17.947399999999998</v>
      </c>
      <c r="B32">
        <f t="shared" si="0"/>
        <v>10.002799999999997</v>
      </c>
      <c r="C32">
        <v>1478.1690000000001</v>
      </c>
      <c r="D32">
        <v>161.12700000000001</v>
      </c>
      <c r="E32">
        <v>145.84399999999999</v>
      </c>
      <c r="I32">
        <f t="shared" si="1"/>
        <v>0.88810565350403836</v>
      </c>
      <c r="J32">
        <f t="shared" si="2"/>
        <v>0.6590398282120763</v>
      </c>
      <c r="K32" s="4">
        <f t="shared" si="3"/>
        <v>0.99543724938145217</v>
      </c>
      <c r="L32" s="3">
        <f t="shared" si="4"/>
        <v>0.89217643207132558</v>
      </c>
      <c r="M32" s="3">
        <f t="shared" si="5"/>
        <v>0.66206064583336866</v>
      </c>
      <c r="R32">
        <f t="shared" si="6"/>
        <v>0.88283461887304426</v>
      </c>
      <c r="S32">
        <f t="shared" si="7"/>
        <v>0.91391102149244985</v>
      </c>
    </row>
    <row r="33" spans="1:19" x14ac:dyDescent="0.3">
      <c r="A33">
        <v>18.447500000000002</v>
      </c>
      <c r="B33">
        <f t="shared" si="0"/>
        <v>10.5029</v>
      </c>
      <c r="C33">
        <v>1491.39</v>
      </c>
      <c r="D33">
        <v>159.19</v>
      </c>
      <c r="E33">
        <v>146.68799999999999</v>
      </c>
      <c r="I33">
        <f t="shared" si="1"/>
        <v>0.89604902455631785</v>
      </c>
      <c r="J33">
        <f t="shared" si="2"/>
        <v>0.6511171327777493</v>
      </c>
      <c r="K33" s="4">
        <f t="shared" si="3"/>
        <v>1.0011978500127976</v>
      </c>
      <c r="L33" s="3">
        <f t="shared" si="4"/>
        <v>0.89497697637371509</v>
      </c>
      <c r="M33" s="3">
        <f t="shared" si="5"/>
        <v>0.65033812524610046</v>
      </c>
      <c r="R33">
        <f t="shared" si="6"/>
        <v>0.8912136425523759</v>
      </c>
      <c r="S33">
        <f t="shared" si="7"/>
        <v>0.83971778481098902</v>
      </c>
    </row>
    <row r="34" spans="1:19" x14ac:dyDescent="0.3">
      <c r="A34">
        <v>18.947500000000002</v>
      </c>
      <c r="B34">
        <f t="shared" si="0"/>
        <v>11.0029</v>
      </c>
      <c r="C34">
        <v>1477.847</v>
      </c>
      <c r="D34">
        <v>158.22200000000001</v>
      </c>
      <c r="E34">
        <v>145.922</v>
      </c>
      <c r="I34">
        <f t="shared" si="1"/>
        <v>0.88791219117298659</v>
      </c>
      <c r="J34">
        <f t="shared" si="2"/>
        <v>0.6471578301549159</v>
      </c>
      <c r="K34" s="4">
        <f t="shared" si="3"/>
        <v>0.99596962716491777</v>
      </c>
      <c r="L34" s="3">
        <f t="shared" si="4"/>
        <v>0.89150528987563349</v>
      </c>
      <c r="M34" s="3">
        <f t="shared" si="5"/>
        <v>0.64977667240424408</v>
      </c>
      <c r="R34">
        <f t="shared" si="6"/>
        <v>0.88082661052084477</v>
      </c>
      <c r="S34">
        <f t="shared" si="7"/>
        <v>0.83616428253549957</v>
      </c>
    </row>
    <row r="35" spans="1:19" x14ac:dyDescent="0.3">
      <c r="A35">
        <v>19.447500000000002</v>
      </c>
      <c r="B35">
        <f t="shared" si="0"/>
        <v>11.5029</v>
      </c>
      <c r="C35">
        <v>1478.627</v>
      </c>
      <c r="D35">
        <v>163.06299999999999</v>
      </c>
      <c r="E35">
        <v>145.828</v>
      </c>
      <c r="I35">
        <f t="shared" si="1"/>
        <v>0.88838082663329809</v>
      </c>
      <c r="J35">
        <f t="shared" si="2"/>
        <v>0.66695843345774319</v>
      </c>
      <c r="K35" s="4">
        <f t="shared" si="3"/>
        <v>0.99532804368227978</v>
      </c>
      <c r="L35" s="3">
        <f t="shared" si="4"/>
        <v>0.89255078491175266</v>
      </c>
      <c r="M35" s="3">
        <f t="shared" si="5"/>
        <v>0.67008906027633641</v>
      </c>
      <c r="R35">
        <f t="shared" si="6"/>
        <v>0.88395465518587357</v>
      </c>
      <c r="S35">
        <f t="shared" si="7"/>
        <v>0.9647238179818759</v>
      </c>
    </row>
    <row r="36" spans="1:19" x14ac:dyDescent="0.3">
      <c r="A36">
        <v>19.947500000000002</v>
      </c>
      <c r="B36">
        <f t="shared" si="0"/>
        <v>12.0029</v>
      </c>
      <c r="C36">
        <v>1485.9490000000001</v>
      </c>
      <c r="D36">
        <v>160.36500000000001</v>
      </c>
      <c r="E36">
        <v>147</v>
      </c>
      <c r="I36">
        <f t="shared" si="1"/>
        <v>0.89277999181329892</v>
      </c>
      <c r="J36">
        <f t="shared" si="2"/>
        <v>0.65592310445319291</v>
      </c>
      <c r="K36" s="4">
        <f t="shared" si="3"/>
        <v>1.00332736114666</v>
      </c>
      <c r="L36" s="3">
        <f t="shared" si="4"/>
        <v>0.88981924184044858</v>
      </c>
      <c r="M36" s="3">
        <f t="shared" si="5"/>
        <v>0.65374784925985319</v>
      </c>
      <c r="R36">
        <f t="shared" si="6"/>
        <v>0.87578207814217435</v>
      </c>
      <c r="S36">
        <f t="shared" si="7"/>
        <v>0.86129833644129083</v>
      </c>
    </row>
    <row r="37" spans="1:19" x14ac:dyDescent="0.3">
      <c r="A37">
        <v>20.446999999999999</v>
      </c>
      <c r="B37">
        <f t="shared" si="0"/>
        <v>12.502399999999998</v>
      </c>
      <c r="C37">
        <v>1487.424</v>
      </c>
      <c r="D37">
        <v>165.143</v>
      </c>
      <c r="E37">
        <v>147.203</v>
      </c>
      <c r="I37">
        <f t="shared" si="1"/>
        <v>0.89366619348504173</v>
      </c>
      <c r="J37">
        <f t="shared" si="2"/>
        <v>0.67546602587044324</v>
      </c>
      <c r="K37" s="4">
        <f t="shared" si="3"/>
        <v>1.00471290845491</v>
      </c>
      <c r="L37" s="3">
        <f t="shared" si="4"/>
        <v>0.8894741830871461</v>
      </c>
      <c r="M37" s="3">
        <f t="shared" si="5"/>
        <v>0.67229754906722905</v>
      </c>
      <c r="R37">
        <f t="shared" si="6"/>
        <v>0.87474968759501703</v>
      </c>
      <c r="S37">
        <f t="shared" si="7"/>
        <v>0.97870160802721928</v>
      </c>
    </row>
    <row r="38" spans="1:19" x14ac:dyDescent="0.3">
      <c r="A38">
        <v>20.947800000000001</v>
      </c>
      <c r="B38">
        <f t="shared" si="0"/>
        <v>13.0032</v>
      </c>
      <c r="C38">
        <v>1477.78</v>
      </c>
      <c r="D38">
        <v>161.39699999999999</v>
      </c>
      <c r="E38">
        <v>146.28100000000001</v>
      </c>
      <c r="I38">
        <f t="shared" si="1"/>
        <v>0.88787193658857522</v>
      </c>
      <c r="J38">
        <f t="shared" si="2"/>
        <v>0.66014417915026324</v>
      </c>
      <c r="K38" s="4">
        <f t="shared" si="3"/>
        <v>0.9984199300400991</v>
      </c>
      <c r="L38" s="3">
        <f t="shared" si="4"/>
        <v>0.88927705655166156</v>
      </c>
      <c r="M38" s="3">
        <f t="shared" si="5"/>
        <v>0.6611889038750961</v>
      </c>
      <c r="R38">
        <f t="shared" si="6"/>
        <v>0.87415989942161076</v>
      </c>
      <c r="S38">
        <f t="shared" si="7"/>
        <v>0.90839366223905504</v>
      </c>
    </row>
    <row r="39" spans="1:19" x14ac:dyDescent="0.3">
      <c r="A39">
        <v>21.447399999999998</v>
      </c>
      <c r="B39">
        <f t="shared" si="0"/>
        <v>13.502799999999997</v>
      </c>
      <c r="C39">
        <v>1479.1020000000001</v>
      </c>
      <c r="D39">
        <v>164.143</v>
      </c>
      <c r="E39">
        <v>145.87200000000001</v>
      </c>
      <c r="I39">
        <f t="shared" si="1"/>
        <v>0.888666213612334</v>
      </c>
      <c r="J39">
        <f t="shared" si="2"/>
        <v>0.67137583721049132</v>
      </c>
      <c r="K39" s="4">
        <f t="shared" si="3"/>
        <v>0.99562835935500404</v>
      </c>
      <c r="L39" s="3">
        <f t="shared" si="4"/>
        <v>0.89256820103842449</v>
      </c>
      <c r="M39" s="3">
        <f t="shared" si="5"/>
        <v>0.6743237382726095</v>
      </c>
      <c r="R39">
        <f t="shared" si="6"/>
        <v>0.88400676296280145</v>
      </c>
      <c r="S39">
        <f t="shared" si="7"/>
        <v>0.99152560216372654</v>
      </c>
    </row>
    <row r="40" spans="1:19" x14ac:dyDescent="0.3">
      <c r="A40">
        <v>21.947600000000001</v>
      </c>
      <c r="B40">
        <f t="shared" si="0"/>
        <v>14.003</v>
      </c>
      <c r="C40">
        <v>1506.0340000000001</v>
      </c>
      <c r="D40">
        <v>160.93700000000001</v>
      </c>
      <c r="E40">
        <v>145.89400000000001</v>
      </c>
      <c r="I40">
        <f t="shared" si="1"/>
        <v>0.9048473549163194</v>
      </c>
      <c r="J40">
        <f t="shared" si="2"/>
        <v>0.65826269236668544</v>
      </c>
      <c r="K40" s="4">
        <f t="shared" si="3"/>
        <v>0.99577851719136601</v>
      </c>
      <c r="L40" s="3">
        <f t="shared" si="4"/>
        <v>0.9086833460401198</v>
      </c>
      <c r="M40" s="3">
        <f t="shared" si="5"/>
        <v>0.66105331758245023</v>
      </c>
      <c r="R40">
        <f t="shared" si="6"/>
        <v>0.93222209790674715</v>
      </c>
      <c r="S40">
        <f t="shared" si="7"/>
        <v>0.90753552035513607</v>
      </c>
    </row>
    <row r="41" spans="1:19" x14ac:dyDescent="0.3">
      <c r="A41">
        <v>22.446999999999999</v>
      </c>
      <c r="B41">
        <f t="shared" si="0"/>
        <v>14.502399999999998</v>
      </c>
      <c r="C41">
        <v>1498.644</v>
      </c>
      <c r="D41">
        <v>163.857</v>
      </c>
      <c r="E41">
        <v>145.13800000000001</v>
      </c>
      <c r="I41">
        <f t="shared" si="1"/>
        <v>0.90040733433721443</v>
      </c>
      <c r="J41">
        <f t="shared" si="2"/>
        <v>0.670206043253745</v>
      </c>
      <c r="K41" s="4">
        <f t="shared" si="3"/>
        <v>0.99061854790546888</v>
      </c>
      <c r="L41" s="3">
        <f t="shared" si="4"/>
        <v>0.9089344594253822</v>
      </c>
      <c r="M41" s="3">
        <f t="shared" si="5"/>
        <v>0.67655309369161976</v>
      </c>
      <c r="R41">
        <f t="shared" si="6"/>
        <v>0.9329734107852885</v>
      </c>
      <c r="S41">
        <f t="shared" si="7"/>
        <v>1.005635459597406</v>
      </c>
    </row>
    <row r="42" spans="1:19" x14ac:dyDescent="0.3">
      <c r="A42">
        <v>22.947600000000001</v>
      </c>
      <c r="B42">
        <f t="shared" si="0"/>
        <v>15.003</v>
      </c>
      <c r="C42">
        <v>1513.5419999999999</v>
      </c>
      <c r="D42">
        <v>163.31700000000001</v>
      </c>
      <c r="E42">
        <v>145.35900000000001</v>
      </c>
      <c r="I42">
        <f t="shared" si="1"/>
        <v>0.90935827162916349</v>
      </c>
      <c r="J42">
        <f t="shared" si="2"/>
        <v>0.66799734137737099</v>
      </c>
      <c r="K42" s="4">
        <f t="shared" si="3"/>
        <v>0.99212695162528808</v>
      </c>
      <c r="L42" s="3">
        <f t="shared" si="4"/>
        <v>0.91657450706229271</v>
      </c>
      <c r="M42" s="3">
        <f t="shared" si="5"/>
        <v>0.67329825107872265</v>
      </c>
      <c r="R42">
        <f t="shared" si="6"/>
        <v>0.95583187440833306</v>
      </c>
      <c r="S42">
        <f t="shared" si="7"/>
        <v>0.98503517090165749</v>
      </c>
    </row>
    <row r="43" spans="1:19" x14ac:dyDescent="0.3">
      <c r="A43">
        <v>23.446999999999999</v>
      </c>
      <c r="B43">
        <f t="shared" si="0"/>
        <v>15.502399999999998</v>
      </c>
      <c r="C43">
        <v>1512.7460000000001</v>
      </c>
      <c r="D43">
        <v>168.50800000000001</v>
      </c>
      <c r="E43">
        <v>149.85599999999999</v>
      </c>
      <c r="I43">
        <f t="shared" si="1"/>
        <v>0.90888002313376881</v>
      </c>
      <c r="J43">
        <f t="shared" si="2"/>
        <v>0.68922951071118155</v>
      </c>
      <c r="K43" s="4">
        <f t="shared" si="3"/>
        <v>1.0228205784489379</v>
      </c>
      <c r="L43" s="3">
        <f t="shared" si="4"/>
        <v>0.88860162015125377</v>
      </c>
      <c r="M43" s="3">
        <f t="shared" si="5"/>
        <v>0.67385182233658958</v>
      </c>
      <c r="R43">
        <f t="shared" si="6"/>
        <v>0.87213904312304391</v>
      </c>
      <c r="S43">
        <f t="shared" si="7"/>
        <v>0.9885387896881821</v>
      </c>
    </row>
    <row r="44" spans="1:19" x14ac:dyDescent="0.3">
      <c r="A44">
        <v>23.947199999999999</v>
      </c>
      <c r="B44">
        <f t="shared" si="0"/>
        <v>16.002599999999997</v>
      </c>
      <c r="C44">
        <v>1497.2370000000001</v>
      </c>
      <c r="D44">
        <v>162.65100000000001</v>
      </c>
      <c r="E44">
        <v>146.625</v>
      </c>
      <c r="I44">
        <f t="shared" si="1"/>
        <v>0.89956198806457577</v>
      </c>
      <c r="J44">
        <f t="shared" si="2"/>
        <v>0.66527327572984307</v>
      </c>
      <c r="K44" s="4">
        <f t="shared" si="3"/>
        <v>1.0007678525723063</v>
      </c>
      <c r="L44" s="3">
        <f t="shared" si="4"/>
        <v>0.89887178705071535</v>
      </c>
      <c r="M44" s="3">
        <f t="shared" si="5"/>
        <v>0.66476283587634177</v>
      </c>
      <c r="R44">
        <f t="shared" si="6"/>
        <v>0.90286663117364296</v>
      </c>
      <c r="S44">
        <f t="shared" si="7"/>
        <v>0.93101350588768628</v>
      </c>
    </row>
    <row r="45" spans="1:19" x14ac:dyDescent="0.3">
      <c r="A45">
        <v>24.447099999999999</v>
      </c>
      <c r="B45">
        <f t="shared" si="0"/>
        <v>16.502499999999998</v>
      </c>
      <c r="C45">
        <v>1532.576</v>
      </c>
      <c r="D45">
        <v>160.87299999999999</v>
      </c>
      <c r="E45">
        <v>148.078</v>
      </c>
      <c r="I45">
        <f t="shared" si="1"/>
        <v>0.920794178490149</v>
      </c>
      <c r="J45">
        <f t="shared" si="2"/>
        <v>0.65800092029244839</v>
      </c>
      <c r="K45" s="4">
        <f t="shared" si="3"/>
        <v>1.0106850951284021</v>
      </c>
      <c r="L45" s="3">
        <f t="shared" si="4"/>
        <v>0.91105942189952549</v>
      </c>
      <c r="M45" s="3">
        <f t="shared" si="5"/>
        <v>0.65104444842817522</v>
      </c>
      <c r="R45">
        <f t="shared" si="6"/>
        <v>0.93933114305659948</v>
      </c>
      <c r="S45">
        <f t="shared" si="7"/>
        <v>0.84418818881933777</v>
      </c>
    </row>
    <row r="46" spans="1:19" x14ac:dyDescent="0.3">
      <c r="A46">
        <v>24.947700000000001</v>
      </c>
      <c r="B46">
        <f t="shared" si="0"/>
        <v>17.0031</v>
      </c>
      <c r="C46">
        <v>1524.4580000000001</v>
      </c>
      <c r="D46">
        <v>163.77799999999999</v>
      </c>
      <c r="E46">
        <v>149.64099999999999</v>
      </c>
      <c r="I46">
        <f t="shared" si="1"/>
        <v>0.91591676481475348</v>
      </c>
      <c r="J46">
        <f t="shared" si="2"/>
        <v>0.66988291834960878</v>
      </c>
      <c r="K46" s="4">
        <f t="shared" si="3"/>
        <v>1.0213531268663083</v>
      </c>
      <c r="L46" s="3">
        <f t="shared" si="4"/>
        <v>0.89676796469498044</v>
      </c>
      <c r="M46" s="3">
        <f t="shared" si="5"/>
        <v>0.655877874878523</v>
      </c>
      <c r="R46">
        <f t="shared" si="6"/>
        <v>0.89657214859010748</v>
      </c>
      <c r="S46">
        <f t="shared" si="7"/>
        <v>0.87477952367291612</v>
      </c>
    </row>
    <row r="47" spans="1:19" x14ac:dyDescent="0.3">
      <c r="A47">
        <v>25.447099999999999</v>
      </c>
      <c r="B47">
        <f t="shared" si="0"/>
        <v>17.502499999999998</v>
      </c>
      <c r="C47">
        <v>1498.1020000000001</v>
      </c>
      <c r="D47">
        <v>161.93700000000001</v>
      </c>
      <c r="E47">
        <v>146.5</v>
      </c>
      <c r="I47">
        <f t="shared" si="1"/>
        <v>0.90008169277376726</v>
      </c>
      <c r="J47">
        <f t="shared" si="2"/>
        <v>0.66235288102663736</v>
      </c>
      <c r="K47" s="4">
        <f t="shared" si="3"/>
        <v>0.99991468304752162</v>
      </c>
      <c r="L47" s="3">
        <f t="shared" si="4"/>
        <v>0.90015849155301408</v>
      </c>
      <c r="M47" s="3">
        <f t="shared" si="5"/>
        <v>0.66240939577757818</v>
      </c>
      <c r="R47">
        <f t="shared" si="6"/>
        <v>0.90671635691583696</v>
      </c>
      <c r="S47">
        <f t="shared" si="7"/>
        <v>0.91611830165551367</v>
      </c>
    </row>
    <row r="48" spans="1:19" x14ac:dyDescent="0.3">
      <c r="A48">
        <v>25.947299999999998</v>
      </c>
      <c r="B48">
        <f t="shared" si="0"/>
        <v>18.002699999999997</v>
      </c>
      <c r="C48">
        <v>1508.424</v>
      </c>
      <c r="D48">
        <v>165.238</v>
      </c>
      <c r="E48">
        <v>147.672</v>
      </c>
      <c r="I48">
        <f t="shared" si="1"/>
        <v>0.90628330203188912</v>
      </c>
      <c r="J48">
        <f t="shared" si="2"/>
        <v>0.67585459379313872</v>
      </c>
      <c r="K48" s="4">
        <f t="shared" si="3"/>
        <v>1.0079140005119018</v>
      </c>
      <c r="L48" s="3">
        <f t="shared" si="4"/>
        <v>0.8991672916256781</v>
      </c>
      <c r="M48" s="3">
        <f t="shared" si="5"/>
        <v>0.67054787754697731</v>
      </c>
      <c r="R48">
        <f t="shared" si="6"/>
        <v>0.90375075924433657</v>
      </c>
      <c r="S48">
        <f t="shared" si="7"/>
        <v>0.96762772743554526</v>
      </c>
    </row>
    <row r="49" spans="1:19" x14ac:dyDescent="0.3">
      <c r="A49">
        <v>26.447500000000002</v>
      </c>
      <c r="B49">
        <f t="shared" si="0"/>
        <v>18.5029</v>
      </c>
      <c r="C49">
        <v>1511.203</v>
      </c>
      <c r="D49">
        <v>162.857</v>
      </c>
      <c r="E49">
        <v>148.922</v>
      </c>
      <c r="I49">
        <f t="shared" si="1"/>
        <v>0.90795296606292186</v>
      </c>
      <c r="J49">
        <f t="shared" si="2"/>
        <v>0.66611585459379308</v>
      </c>
      <c r="K49" s="4">
        <f t="shared" si="3"/>
        <v>1.0164456957597474</v>
      </c>
      <c r="L49" s="3">
        <f t="shared" si="4"/>
        <v>0.893262640444621</v>
      </c>
      <c r="M49" s="3">
        <f t="shared" si="5"/>
        <v>0.65533835931677731</v>
      </c>
      <c r="R49">
        <f t="shared" si="6"/>
        <v>0.88608447486452602</v>
      </c>
      <c r="S49">
        <f t="shared" si="7"/>
        <v>0.87136486507044753</v>
      </c>
    </row>
    <row r="50" spans="1:19" x14ac:dyDescent="0.3">
      <c r="A50">
        <v>26.947700000000001</v>
      </c>
      <c r="B50">
        <f t="shared" si="0"/>
        <v>19.0031</v>
      </c>
      <c r="C50">
        <v>1519.0509999999999</v>
      </c>
      <c r="D50">
        <v>160.58699999999999</v>
      </c>
      <c r="E50">
        <v>146.5</v>
      </c>
      <c r="I50">
        <f t="shared" si="1"/>
        <v>0.91266815977128646</v>
      </c>
      <c r="J50">
        <f t="shared" si="2"/>
        <v>0.65683112633570218</v>
      </c>
      <c r="K50" s="4">
        <f t="shared" si="3"/>
        <v>0.99991468304752162</v>
      </c>
      <c r="L50" s="3">
        <f t="shared" si="4"/>
        <v>0.91274603248116448</v>
      </c>
      <c r="M50" s="3">
        <f t="shared" si="5"/>
        <v>0.65688716994716423</v>
      </c>
      <c r="R50">
        <f t="shared" si="6"/>
        <v>0.94437735853310756</v>
      </c>
      <c r="S50">
        <f t="shared" si="7"/>
        <v>0.88116747303514287</v>
      </c>
    </row>
    <row r="51" spans="1:19" x14ac:dyDescent="0.3">
      <c r="A51">
        <v>27.447099999999999</v>
      </c>
      <c r="B51">
        <f t="shared" si="0"/>
        <v>19.502499999999998</v>
      </c>
      <c r="C51">
        <v>1558.2370000000001</v>
      </c>
      <c r="D51">
        <v>166.49199999999999</v>
      </c>
      <c r="E51">
        <v>148.28100000000001</v>
      </c>
      <c r="I51">
        <f t="shared" si="1"/>
        <v>0.9362116843197037</v>
      </c>
      <c r="J51">
        <f t="shared" si="2"/>
        <v>0.68098369037271833</v>
      </c>
      <c r="K51" s="4">
        <f t="shared" si="3"/>
        <v>1.0120706424366523</v>
      </c>
      <c r="L51" s="3">
        <f t="shared" si="4"/>
        <v>0.92504578738267584</v>
      </c>
      <c r="M51" s="3">
        <f t="shared" si="5"/>
        <v>0.67286181598271444</v>
      </c>
      <c r="R51">
        <f t="shared" si="6"/>
        <v>0.98117732541161973</v>
      </c>
      <c r="S51">
        <f t="shared" si="7"/>
        <v>0.98227292091171914</v>
      </c>
    </row>
    <row r="52" spans="1:19" x14ac:dyDescent="0.3">
      <c r="A52">
        <v>27.947800000000001</v>
      </c>
      <c r="B52">
        <f t="shared" si="0"/>
        <v>20.0032</v>
      </c>
      <c r="C52">
        <v>1527.271</v>
      </c>
      <c r="D52">
        <v>165.17500000000001</v>
      </c>
      <c r="E52">
        <v>147.328</v>
      </c>
      <c r="I52">
        <f t="shared" si="1"/>
        <v>0.91760685654533825</v>
      </c>
      <c r="J52">
        <f t="shared" si="2"/>
        <v>0.67559691190756177</v>
      </c>
      <c r="K52" s="4">
        <f t="shared" si="3"/>
        <v>1.0055660779796947</v>
      </c>
      <c r="L52" s="3">
        <f t="shared" si="4"/>
        <v>0.9125276564509045</v>
      </c>
      <c r="M52" s="3">
        <f t="shared" si="5"/>
        <v>0.67185730177465675</v>
      </c>
      <c r="R52">
        <f t="shared" si="6"/>
        <v>0.9437239934258369</v>
      </c>
      <c r="S52">
        <f t="shared" si="7"/>
        <v>0.97591523018867965</v>
      </c>
    </row>
    <row r="53" spans="1:19" x14ac:dyDescent="0.3">
      <c r="A53">
        <v>28.447199999999999</v>
      </c>
      <c r="B53">
        <f t="shared" si="0"/>
        <v>20.502599999999997</v>
      </c>
      <c r="C53">
        <v>1518.932</v>
      </c>
      <c r="D53">
        <v>160.58699999999999</v>
      </c>
      <c r="E53">
        <v>146.76599999999999</v>
      </c>
      <c r="I53">
        <f t="shared" si="1"/>
        <v>0.91259666282285445</v>
      </c>
      <c r="J53">
        <f t="shared" si="2"/>
        <v>0.65683112633570218</v>
      </c>
      <c r="K53" s="4">
        <f t="shared" si="3"/>
        <v>1.0017302277962632</v>
      </c>
      <c r="L53" s="3">
        <f t="shared" si="4"/>
        <v>0.91102039002107749</v>
      </c>
      <c r="M53" s="3">
        <f t="shared" si="5"/>
        <v>0.65569662181472244</v>
      </c>
      <c r="R53">
        <f t="shared" si="6"/>
        <v>0.93921436253165447</v>
      </c>
      <c r="S53">
        <f t="shared" si="7"/>
        <v>0.8736323513253238</v>
      </c>
    </row>
    <row r="54" spans="1:19" x14ac:dyDescent="0.3">
      <c r="A54">
        <v>28.947399999999998</v>
      </c>
      <c r="B54">
        <f t="shared" si="0"/>
        <v>21.002799999999997</v>
      </c>
      <c r="C54">
        <v>1527.8140000000001</v>
      </c>
      <c r="D54">
        <v>167.17500000000001</v>
      </c>
      <c r="E54">
        <v>149.23400000000001</v>
      </c>
      <c r="I54">
        <f t="shared" si="1"/>
        <v>0.91793309892347819</v>
      </c>
      <c r="J54">
        <f t="shared" si="2"/>
        <v>0.68377728922746561</v>
      </c>
      <c r="K54" s="4">
        <f t="shared" si="3"/>
        <v>1.0185752068936098</v>
      </c>
      <c r="L54" s="3">
        <f t="shared" si="4"/>
        <v>0.90119324789274624</v>
      </c>
      <c r="M54" s="3">
        <f t="shared" si="5"/>
        <v>0.67130761145542606</v>
      </c>
      <c r="R54">
        <f t="shared" si="6"/>
        <v>0.90981227218686367</v>
      </c>
      <c r="S54">
        <f t="shared" si="7"/>
        <v>0.97243617432756346</v>
      </c>
    </row>
    <row r="55" spans="1:19" x14ac:dyDescent="0.3">
      <c r="A55">
        <v>29.446999999999999</v>
      </c>
      <c r="B55">
        <f t="shared" si="0"/>
        <v>21.502399999999998</v>
      </c>
      <c r="C55">
        <v>1524.7460000000001</v>
      </c>
      <c r="D55">
        <v>166.84100000000001</v>
      </c>
      <c r="E55">
        <v>148.39099999999999</v>
      </c>
      <c r="I55">
        <f t="shared" si="1"/>
        <v>0.91608979944625302</v>
      </c>
      <c r="J55">
        <f t="shared" si="2"/>
        <v>0.68241116621504172</v>
      </c>
      <c r="K55" s="4">
        <f t="shared" si="3"/>
        <v>1.0128214316184625</v>
      </c>
      <c r="L55" s="3">
        <f t="shared" si="4"/>
        <v>0.90449290550888639</v>
      </c>
      <c r="M55" s="3">
        <f t="shared" si="5"/>
        <v>0.67377243896247963</v>
      </c>
      <c r="R55">
        <f t="shared" si="6"/>
        <v>0.91968460638837424</v>
      </c>
      <c r="S55">
        <f t="shared" si="7"/>
        <v>0.9880363628065173</v>
      </c>
    </row>
    <row r="56" spans="1:19" x14ac:dyDescent="0.3">
      <c r="A56">
        <v>29.947800000000001</v>
      </c>
      <c r="B56">
        <f t="shared" si="0"/>
        <v>22.0032</v>
      </c>
      <c r="C56">
        <v>1536</v>
      </c>
      <c r="D56">
        <v>162.714</v>
      </c>
      <c r="E56">
        <v>147.875</v>
      </c>
      <c r="I56">
        <f t="shared" si="1"/>
        <v>0.92285136799797773</v>
      </c>
      <c r="J56">
        <f t="shared" si="2"/>
        <v>0.66553095761542003</v>
      </c>
      <c r="K56" s="4">
        <f t="shared" si="3"/>
        <v>1.0092995478201519</v>
      </c>
      <c r="L56" s="3">
        <f t="shared" si="4"/>
        <v>0.91434834186849512</v>
      </c>
      <c r="M56" s="3">
        <f t="shared" si="5"/>
        <v>0.65939884650974967</v>
      </c>
      <c r="R56">
        <f t="shared" si="6"/>
        <v>0.94917135100328687</v>
      </c>
      <c r="S56">
        <f t="shared" si="7"/>
        <v>0.89706417479718314</v>
      </c>
    </row>
    <row r="57" spans="1:19" x14ac:dyDescent="0.3">
      <c r="A57">
        <v>30.447199999999999</v>
      </c>
      <c r="B57">
        <f t="shared" si="0"/>
        <v>22.502599999999997</v>
      </c>
      <c r="C57">
        <v>1526.559</v>
      </c>
      <c r="D57">
        <v>158.952</v>
      </c>
      <c r="E57">
        <v>145.453</v>
      </c>
      <c r="I57">
        <f t="shared" si="1"/>
        <v>0.91717907648413077</v>
      </c>
      <c r="J57">
        <f t="shared" si="2"/>
        <v>0.65014366787668076</v>
      </c>
      <c r="K57" s="4">
        <f t="shared" si="3"/>
        <v>0.99276853510792606</v>
      </c>
      <c r="L57" s="3">
        <f t="shared" si="4"/>
        <v>0.92385993718507831</v>
      </c>
      <c r="M57" s="3">
        <f t="shared" si="5"/>
        <v>0.6548794053046838</v>
      </c>
      <c r="R57">
        <f t="shared" si="6"/>
        <v>0.97762934837110937</v>
      </c>
      <c r="S57">
        <f t="shared" si="7"/>
        <v>0.86846009016374859</v>
      </c>
    </row>
    <row r="58" spans="1:19" x14ac:dyDescent="0.3">
      <c r="A58">
        <v>30.947800000000001</v>
      </c>
      <c r="B58">
        <f t="shared" si="0"/>
        <v>23.0032</v>
      </c>
      <c r="C58">
        <v>1516.9659999999999</v>
      </c>
      <c r="D58">
        <v>166.88900000000001</v>
      </c>
      <c r="E58">
        <v>148.828</v>
      </c>
      <c r="I58">
        <f t="shared" si="1"/>
        <v>0.91141546113699234</v>
      </c>
      <c r="J58">
        <f t="shared" si="2"/>
        <v>0.6826074952707194</v>
      </c>
      <c r="K58" s="4">
        <f t="shared" si="3"/>
        <v>1.0158041122771095</v>
      </c>
      <c r="L58" s="3">
        <f t="shared" si="4"/>
        <v>0.89723545132524507</v>
      </c>
      <c r="M58" s="3">
        <f t="shared" si="5"/>
        <v>0.67198733202657612</v>
      </c>
      <c r="R58">
        <f t="shared" si="6"/>
        <v>0.89797083438894176</v>
      </c>
      <c r="S58">
        <f t="shared" si="7"/>
        <v>0.97673820722545124</v>
      </c>
    </row>
    <row r="59" spans="1:19" x14ac:dyDescent="0.3">
      <c r="A59">
        <v>31.447199999999999</v>
      </c>
      <c r="B59">
        <f t="shared" si="0"/>
        <v>23.502599999999997</v>
      </c>
      <c r="C59">
        <v>1526.271</v>
      </c>
      <c r="D59">
        <v>164.01599999999999</v>
      </c>
      <c r="E59">
        <v>147.40600000000001</v>
      </c>
      <c r="I59">
        <f t="shared" si="1"/>
        <v>0.91700604185263113</v>
      </c>
      <c r="J59">
        <f t="shared" si="2"/>
        <v>0.67085638325067742</v>
      </c>
      <c r="K59" s="4">
        <f t="shared" si="3"/>
        <v>1.0060984557631603</v>
      </c>
      <c r="L59" s="3">
        <f t="shared" si="4"/>
        <v>0.91144761886852366</v>
      </c>
      <c r="M59" s="3">
        <f t="shared" si="5"/>
        <v>0.66678999396913874</v>
      </c>
      <c r="R59">
        <f t="shared" si="6"/>
        <v>0.9404925999893482</v>
      </c>
      <c r="S59">
        <f t="shared" si="7"/>
        <v>0.94384363222868617</v>
      </c>
    </row>
    <row r="60" spans="1:19" x14ac:dyDescent="0.3">
      <c r="A60">
        <v>31.947399999999998</v>
      </c>
      <c r="B60">
        <f t="shared" si="0"/>
        <v>24.002799999999997</v>
      </c>
      <c r="C60">
        <v>1537.1690000000001</v>
      </c>
      <c r="D60">
        <v>159.49199999999999</v>
      </c>
      <c r="E60">
        <v>146.422</v>
      </c>
      <c r="I60">
        <f t="shared" si="1"/>
        <v>0.92355372037375238</v>
      </c>
      <c r="J60">
        <f t="shared" si="2"/>
        <v>0.65235236975305477</v>
      </c>
      <c r="K60" s="4">
        <f t="shared" si="3"/>
        <v>0.99938230526405603</v>
      </c>
      <c r="L60" s="3">
        <f t="shared" si="4"/>
        <v>0.92412454724194038</v>
      </c>
      <c r="M60" s="3">
        <f t="shared" si="5"/>
        <v>0.65275557343462343</v>
      </c>
      <c r="R60">
        <f t="shared" si="6"/>
        <v>0.97842104230372984</v>
      </c>
      <c r="S60">
        <f t="shared" si="7"/>
        <v>0.85501810390883337</v>
      </c>
    </row>
    <row r="61" spans="1:19" x14ac:dyDescent="0.3">
      <c r="A61">
        <v>32.447000000000003</v>
      </c>
      <c r="B61">
        <f t="shared" si="0"/>
        <v>24.502400000000002</v>
      </c>
      <c r="C61">
        <v>1532.8140000000001</v>
      </c>
      <c r="D61">
        <v>168.714</v>
      </c>
      <c r="E61">
        <v>148.98400000000001</v>
      </c>
      <c r="I61">
        <f t="shared" si="1"/>
        <v>0.92093717238701323</v>
      </c>
      <c r="J61">
        <f t="shared" si="2"/>
        <v>0.69007208957513166</v>
      </c>
      <c r="K61" s="4">
        <f t="shared" si="3"/>
        <v>1.0168688678440407</v>
      </c>
      <c r="L61" s="3">
        <f t="shared" si="4"/>
        <v>0.90565971828754943</v>
      </c>
      <c r="M61" s="3">
        <f t="shared" si="5"/>
        <v>0.67862446318984904</v>
      </c>
      <c r="R61">
        <f t="shared" si="6"/>
        <v>0.9231756248641122</v>
      </c>
      <c r="S61">
        <f t="shared" si="7"/>
        <v>1.0187454052181282</v>
      </c>
    </row>
    <row r="62" spans="1:19" x14ac:dyDescent="0.3">
      <c r="A62">
        <v>32.947200000000002</v>
      </c>
      <c r="B62">
        <f t="shared" si="0"/>
        <v>25.002600000000001</v>
      </c>
      <c r="C62">
        <v>1535.1020000000001</v>
      </c>
      <c r="D62">
        <v>165.12700000000001</v>
      </c>
      <c r="E62">
        <v>147.10900000000001</v>
      </c>
      <c r="I62">
        <f t="shared" si="1"/>
        <v>0.92231183640392689</v>
      </c>
      <c r="J62">
        <f t="shared" si="2"/>
        <v>0.67540058285188409</v>
      </c>
      <c r="K62" s="4">
        <f t="shared" si="3"/>
        <v>1.0040713249722721</v>
      </c>
      <c r="L62" s="3">
        <f t="shared" si="4"/>
        <v>0.91857203115465624</v>
      </c>
      <c r="M62" s="3">
        <f t="shared" si="5"/>
        <v>0.6726619574267152</v>
      </c>
      <c r="R62">
        <f t="shared" si="6"/>
        <v>0.96180832036409558</v>
      </c>
      <c r="S62">
        <f t="shared" si="7"/>
        <v>0.98100799217581469</v>
      </c>
    </row>
    <row r="63" spans="1:19" x14ac:dyDescent="0.3">
      <c r="A63">
        <v>33.447200000000002</v>
      </c>
      <c r="B63">
        <f t="shared" si="0"/>
        <v>25.502600000000001</v>
      </c>
      <c r="C63">
        <v>1548.78</v>
      </c>
      <c r="D63">
        <v>161.60300000000001</v>
      </c>
      <c r="E63">
        <v>147.453</v>
      </c>
      <c r="I63">
        <f t="shared" si="1"/>
        <v>0.93052977977077345</v>
      </c>
      <c r="J63">
        <f t="shared" si="2"/>
        <v>0.66098675801421336</v>
      </c>
      <c r="K63" s="4">
        <f t="shared" si="3"/>
        <v>1.0064192475044793</v>
      </c>
      <c r="L63" s="3">
        <f t="shared" si="4"/>
        <v>0.92459457833116598</v>
      </c>
      <c r="M63" s="3">
        <f t="shared" si="5"/>
        <v>0.65677078379929477</v>
      </c>
      <c r="R63">
        <f t="shared" si="6"/>
        <v>0.97982734093763579</v>
      </c>
      <c r="S63">
        <f t="shared" si="7"/>
        <v>0.88043085116691588</v>
      </c>
    </row>
    <row r="64" spans="1:19" x14ac:dyDescent="0.3">
      <c r="A64">
        <v>33.947299999999998</v>
      </c>
      <c r="B64">
        <f t="shared" si="0"/>
        <v>26.002699999999997</v>
      </c>
      <c r="C64">
        <v>1542.356</v>
      </c>
      <c r="D64">
        <v>164.333</v>
      </c>
      <c r="E64">
        <v>148.25</v>
      </c>
      <c r="I64">
        <f t="shared" si="1"/>
        <v>0.92667014618482357</v>
      </c>
      <c r="J64">
        <f t="shared" si="2"/>
        <v>0.67215297305588217</v>
      </c>
      <c r="K64" s="4">
        <f t="shared" si="3"/>
        <v>1.0118590563945056</v>
      </c>
      <c r="L64" s="3">
        <f t="shared" si="4"/>
        <v>0.91580950956427631</v>
      </c>
      <c r="M64" s="3">
        <f t="shared" si="5"/>
        <v>0.66427529487251225</v>
      </c>
      <c r="R64">
        <f t="shared" si="6"/>
        <v>0.95354305785755045</v>
      </c>
      <c r="S64">
        <f t="shared" si="7"/>
        <v>0.92792780048672252</v>
      </c>
    </row>
    <row r="65" spans="1:19" x14ac:dyDescent="0.3">
      <c r="A65">
        <v>34.447099999999999</v>
      </c>
      <c r="B65">
        <f t="shared" si="0"/>
        <v>26.502499999999998</v>
      </c>
      <c r="C65">
        <v>1517.864</v>
      </c>
      <c r="D65">
        <v>163.60300000000001</v>
      </c>
      <c r="E65">
        <v>144.828</v>
      </c>
      <c r="I65">
        <f t="shared" si="1"/>
        <v>0.9119549927310433</v>
      </c>
      <c r="J65">
        <f t="shared" si="2"/>
        <v>0.66916713533411731</v>
      </c>
      <c r="K65" s="4">
        <f t="shared" si="3"/>
        <v>0.98850268748400316</v>
      </c>
      <c r="L65" s="3">
        <f t="shared" si="4"/>
        <v>0.92256197608547363</v>
      </c>
      <c r="M65" s="3">
        <f t="shared" si="5"/>
        <v>0.67695024384538804</v>
      </c>
      <c r="R65">
        <f t="shared" si="6"/>
        <v>0.97374594371325074</v>
      </c>
      <c r="S65">
        <f t="shared" si="7"/>
        <v>1.0081490704831579</v>
      </c>
    </row>
    <row r="66" spans="1:19" x14ac:dyDescent="0.3">
      <c r="A66">
        <v>34.947800000000001</v>
      </c>
      <c r="B66">
        <f t="shared" si="0"/>
        <v>27.0032</v>
      </c>
      <c r="C66">
        <v>1541.864</v>
      </c>
      <c r="D66">
        <v>168.06299999999999</v>
      </c>
      <c r="E66">
        <v>148.18799999999999</v>
      </c>
      <c r="I66">
        <f t="shared" si="1"/>
        <v>0.92637454535601171</v>
      </c>
      <c r="J66">
        <f t="shared" si="2"/>
        <v>0.68740937675750291</v>
      </c>
      <c r="K66" s="4">
        <f t="shared" ref="K66:K76" si="8">E66/$H$2</f>
        <v>1.0114358843102125</v>
      </c>
      <c r="L66" s="3">
        <f t="shared" si="4"/>
        <v>0.91590041417977608</v>
      </c>
      <c r="M66" s="3">
        <f t="shared" si="5"/>
        <v>0.6796371252205553</v>
      </c>
      <c r="R66">
        <f t="shared" si="6"/>
        <v>0.9538150378170116</v>
      </c>
      <c r="S66">
        <f t="shared" si="7"/>
        <v>1.0251546644864906</v>
      </c>
    </row>
    <row r="67" spans="1:19" x14ac:dyDescent="0.3">
      <c r="A67">
        <v>35.447200000000002</v>
      </c>
      <c r="B67">
        <f t="shared" ref="B67:B76" si="9">A67-$A$12</f>
        <v>27.502600000000001</v>
      </c>
      <c r="C67">
        <v>1572.559</v>
      </c>
      <c r="D67">
        <v>163.429</v>
      </c>
      <c r="E67">
        <v>146.453</v>
      </c>
      <c r="I67">
        <f t="shared" ref="I67:I76" si="10">C67/$F$2</f>
        <v>0.94481655234865358</v>
      </c>
      <c r="J67">
        <f t="shared" ref="J67:J76" si="11">D67/$G$2</f>
        <v>0.66845544250728561</v>
      </c>
      <c r="K67" s="4">
        <f t="shared" si="8"/>
        <v>0.99959389130620269</v>
      </c>
      <c r="L67" s="3">
        <f t="shared" ref="L67:L76" si="12">I67/K67</f>
        <v>0.94520040645109416</v>
      </c>
      <c r="M67" s="3">
        <f t="shared" ref="M67:M76" si="13">J67/K67</f>
        <v>0.66872701836322013</v>
      </c>
      <c r="R67">
        <f t="shared" ref="R67:R76" si="14">(L67-$L$12)/($N$12-$L$12)</f>
        <v>1.0414784712560532</v>
      </c>
      <c r="S67">
        <f t="shared" ref="S67:S76" si="15">(M67-$M$12)/($O$12-$M$12)</f>
        <v>0.95610329159613749</v>
      </c>
    </row>
    <row r="68" spans="1:19" x14ac:dyDescent="0.3">
      <c r="A68">
        <v>35.947400000000002</v>
      </c>
      <c r="B68">
        <f t="shared" si="9"/>
        <v>28.002800000000001</v>
      </c>
      <c r="C68">
        <v>1521.39</v>
      </c>
      <c r="D68">
        <v>167.73</v>
      </c>
      <c r="E68">
        <v>148.28100000000001</v>
      </c>
      <c r="I68">
        <f t="shared" si="10"/>
        <v>0.91407346533752831</v>
      </c>
      <c r="J68">
        <f t="shared" si="11"/>
        <v>0.6860473439337389</v>
      </c>
      <c r="K68" s="4">
        <f t="shared" si="8"/>
        <v>1.0120706424366523</v>
      </c>
      <c r="L68" s="3">
        <f t="shared" si="12"/>
        <v>0.90317160384853479</v>
      </c>
      <c r="M68" s="3">
        <f t="shared" si="13"/>
        <v>0.67786507696934806</v>
      </c>
      <c r="R68">
        <f t="shared" si="14"/>
        <v>0.91573136848023617</v>
      </c>
      <c r="S68">
        <f t="shared" si="15"/>
        <v>1.0139391588847704</v>
      </c>
    </row>
    <row r="69" spans="1:19" x14ac:dyDescent="0.3">
      <c r="A69">
        <v>36.447000000000003</v>
      </c>
      <c r="B69">
        <f t="shared" si="9"/>
        <v>28.502400000000002</v>
      </c>
      <c r="C69">
        <v>1554.4580000000001</v>
      </c>
      <c r="D69">
        <v>165.03200000000001</v>
      </c>
      <c r="E69">
        <v>145.881</v>
      </c>
      <c r="I69">
        <f t="shared" si="10"/>
        <v>0.93394120559596394</v>
      </c>
      <c r="J69">
        <f t="shared" si="11"/>
        <v>0.67501201492918861</v>
      </c>
      <c r="K69" s="4">
        <f t="shared" si="8"/>
        <v>0.99568978756078841</v>
      </c>
      <c r="L69" s="3">
        <f t="shared" si="12"/>
        <v>0.93798411640226387</v>
      </c>
      <c r="M69" s="3">
        <f t="shared" si="13"/>
        <v>0.67793405472482871</v>
      </c>
      <c r="R69">
        <f t="shared" si="14"/>
        <v>1.019887859336619</v>
      </c>
      <c r="S69">
        <f t="shared" si="15"/>
        <v>1.0143757273599574</v>
      </c>
    </row>
    <row r="70" spans="1:19" x14ac:dyDescent="0.3">
      <c r="A70">
        <v>36.947800000000001</v>
      </c>
      <c r="B70">
        <f t="shared" si="9"/>
        <v>29.0032</v>
      </c>
      <c r="C70">
        <v>1529.5930000000001</v>
      </c>
      <c r="D70">
        <v>160.72999999999999</v>
      </c>
      <c r="E70">
        <v>143.672</v>
      </c>
      <c r="I70">
        <f t="shared" si="10"/>
        <v>0.91900194826180392</v>
      </c>
      <c r="J70">
        <f t="shared" si="11"/>
        <v>0.65741602331407534</v>
      </c>
      <c r="K70" s="4">
        <f t="shared" si="8"/>
        <v>0.98061257571879534</v>
      </c>
      <c r="L70" s="3">
        <f t="shared" si="12"/>
        <v>0.93717128559989105</v>
      </c>
      <c r="M70" s="3">
        <f t="shared" si="13"/>
        <v>0.67041361654186937</v>
      </c>
      <c r="R70">
        <f t="shared" si="14"/>
        <v>1.0174559290384406</v>
      </c>
      <c r="S70">
        <f t="shared" si="15"/>
        <v>0.9667779734551698</v>
      </c>
    </row>
    <row r="71" spans="1:19" x14ac:dyDescent="0.3">
      <c r="A71">
        <v>37.447200000000002</v>
      </c>
      <c r="B71">
        <f t="shared" si="9"/>
        <v>29.502600000000001</v>
      </c>
      <c r="C71">
        <v>1538.78</v>
      </c>
      <c r="D71">
        <v>165.11099999999999</v>
      </c>
      <c r="E71">
        <v>146.078</v>
      </c>
      <c r="I71">
        <f t="shared" si="10"/>
        <v>0.92452163284370326</v>
      </c>
      <c r="J71">
        <f t="shared" si="11"/>
        <v>0.67533513983332472</v>
      </c>
      <c r="K71" s="4">
        <f t="shared" si="8"/>
        <v>0.99703438273184897</v>
      </c>
      <c r="L71" s="3">
        <f t="shared" si="12"/>
        <v>0.92727156541034961</v>
      </c>
      <c r="M71" s="3">
        <f t="shared" si="13"/>
        <v>0.67734388254788513</v>
      </c>
      <c r="R71">
        <f t="shared" si="14"/>
        <v>0.98783669044394651</v>
      </c>
      <c r="S71">
        <f t="shared" si="15"/>
        <v>1.0106404569732843</v>
      </c>
    </row>
    <row r="72" spans="1:19" x14ac:dyDescent="0.3">
      <c r="A72">
        <v>37.947800000000001</v>
      </c>
      <c r="B72">
        <f t="shared" si="9"/>
        <v>30.0032</v>
      </c>
      <c r="C72">
        <v>1560.39</v>
      </c>
      <c r="D72">
        <v>163.524</v>
      </c>
      <c r="E72">
        <v>146.26599999999999</v>
      </c>
      <c r="I72">
        <f t="shared" si="10"/>
        <v>0.93750523835310196</v>
      </c>
      <c r="J72">
        <f t="shared" si="11"/>
        <v>0.6688440104299811</v>
      </c>
      <c r="K72" s="4">
        <f t="shared" si="8"/>
        <v>0.99831754969712483</v>
      </c>
      <c r="L72" s="3">
        <f t="shared" si="12"/>
        <v>0.93908520253653516</v>
      </c>
      <c r="M72" s="3">
        <f t="shared" si="13"/>
        <v>0.66997120368453777</v>
      </c>
      <c r="R72">
        <f t="shared" si="14"/>
        <v>1.0231822285005601</v>
      </c>
      <c r="S72">
        <f t="shared" si="15"/>
        <v>0.9639778894979214</v>
      </c>
    </row>
    <row r="73" spans="1:19" x14ac:dyDescent="0.3">
      <c r="A73">
        <v>38.447400000000002</v>
      </c>
      <c r="B73">
        <f t="shared" si="9"/>
        <v>30.502800000000001</v>
      </c>
      <c r="C73">
        <v>1543.1189999999999</v>
      </c>
      <c r="D73">
        <v>165.49199999999999</v>
      </c>
      <c r="E73">
        <v>146.96600000000001</v>
      </c>
      <c r="I73">
        <f t="shared" si="10"/>
        <v>0.92712856779535902</v>
      </c>
      <c r="J73">
        <f t="shared" si="11"/>
        <v>0.67689350171276641</v>
      </c>
      <c r="K73" s="4">
        <f t="shared" si="8"/>
        <v>1.0030952990359185</v>
      </c>
      <c r="L73" s="3">
        <f t="shared" si="12"/>
        <v>0.92426768292746297</v>
      </c>
      <c r="M73" s="3">
        <f t="shared" si="13"/>
        <v>0.67480477913049053</v>
      </c>
      <c r="R73">
        <f t="shared" si="14"/>
        <v>0.97884929380374286</v>
      </c>
      <c r="S73">
        <f t="shared" si="15"/>
        <v>0.99457016736252712</v>
      </c>
    </row>
    <row r="74" spans="1:19" x14ac:dyDescent="0.3">
      <c r="A74">
        <v>38.947600000000001</v>
      </c>
      <c r="B74">
        <f t="shared" si="9"/>
        <v>31.003</v>
      </c>
      <c r="C74">
        <v>1569</v>
      </c>
      <c r="D74">
        <v>164.63499999999999</v>
      </c>
      <c r="E74">
        <v>146.06299999999999</v>
      </c>
      <c r="I74">
        <f t="shared" si="10"/>
        <v>0.94267825285730933</v>
      </c>
      <c r="J74">
        <f t="shared" si="11"/>
        <v>0.67338821003118765</v>
      </c>
      <c r="K74" s="4">
        <f t="shared" si="8"/>
        <v>0.99693200238887469</v>
      </c>
      <c r="L74" s="3">
        <f t="shared" si="12"/>
        <v>0.9455792878535737</v>
      </c>
      <c r="M74" s="3">
        <f t="shared" si="13"/>
        <v>0.67546052129693612</v>
      </c>
      <c r="R74">
        <f t="shared" si="14"/>
        <v>1.0426120566952572</v>
      </c>
      <c r="S74">
        <f t="shared" si="15"/>
        <v>0.99872043806539557</v>
      </c>
    </row>
    <row r="75" spans="1:19" x14ac:dyDescent="0.3">
      <c r="A75">
        <v>39.447200000000002</v>
      </c>
      <c r="B75">
        <f t="shared" si="9"/>
        <v>31.502600000000001</v>
      </c>
      <c r="C75">
        <v>1559.153</v>
      </c>
      <c r="D75">
        <v>167.34899999999999</v>
      </c>
      <c r="E75">
        <v>146.83099999999999</v>
      </c>
      <c r="I75">
        <f t="shared" si="10"/>
        <v>0.93676203057822338</v>
      </c>
      <c r="J75">
        <f t="shared" si="11"/>
        <v>0.6844889820542972</v>
      </c>
      <c r="K75" s="4">
        <f t="shared" si="8"/>
        <v>1.0021738759491512</v>
      </c>
      <c r="L75" s="3">
        <f t="shared" si="12"/>
        <v>0.93473004341788823</v>
      </c>
      <c r="M75" s="3">
        <f t="shared" si="13"/>
        <v>0.68300421561679892</v>
      </c>
      <c r="R75">
        <f t="shared" si="14"/>
        <v>1.0101519110186106</v>
      </c>
      <c r="S75">
        <f t="shared" si="15"/>
        <v>1.0464653828457913</v>
      </c>
    </row>
    <row r="76" spans="1:19" x14ac:dyDescent="0.3">
      <c r="A76">
        <v>39.947400000000002</v>
      </c>
      <c r="B76">
        <f t="shared" si="9"/>
        <v>32.002800000000001</v>
      </c>
      <c r="C76">
        <v>1548.0340000000001</v>
      </c>
      <c r="D76">
        <v>164.79400000000001</v>
      </c>
      <c r="E76">
        <v>145.84399999999999</v>
      </c>
      <c r="I76">
        <f t="shared" si="10"/>
        <v>0.93008157201001407</v>
      </c>
      <c r="J76">
        <f t="shared" si="11"/>
        <v>0.67403855002812008</v>
      </c>
      <c r="K76" s="4">
        <f t="shared" si="8"/>
        <v>0.99543724938145217</v>
      </c>
      <c r="L76" s="3">
        <f t="shared" si="12"/>
        <v>0.93434475411478823</v>
      </c>
      <c r="M76" s="3">
        <f t="shared" si="13"/>
        <v>0.6771281167617107</v>
      </c>
      <c r="R76">
        <f t="shared" si="14"/>
        <v>1.0089991536095193</v>
      </c>
      <c r="S76">
        <f t="shared" si="15"/>
        <v>1.0092748494725572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519B-D1C1-46DB-B079-DEC20541A449}">
  <dimension ref="A1:S76"/>
  <sheetViews>
    <sheetView workbookViewId="0">
      <selection activeCell="N12" sqref="N12:Q12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-7.8943000000000003</v>
      </c>
      <c r="C2">
        <v>734.34900000000005</v>
      </c>
      <c r="D2">
        <v>162.983</v>
      </c>
      <c r="E2">
        <v>172.94399999999999</v>
      </c>
      <c r="F2">
        <f>AVERAGE(C2:C11)</f>
        <v>731.96829999999989</v>
      </c>
      <c r="G2">
        <f>AVERAGE(D2:D11)</f>
        <v>161.46969999999999</v>
      </c>
      <c r="H2">
        <f>AVERAGE(E2:E11)</f>
        <v>172.39439999999996</v>
      </c>
      <c r="I2">
        <f>C2/$F$2</f>
        <v>1.003252463255581</v>
      </c>
      <c r="J2">
        <f>D2/$G$2</f>
        <v>1.0093720369827901</v>
      </c>
      <c r="K2" s="4">
        <f t="shared" ref="K2:K65" si="0">E2/$H$2</f>
        <v>1.0031880385905809</v>
      </c>
      <c r="L2" s="3">
        <f>I2/K2</f>
        <v>1.000064219929387</v>
      </c>
      <c r="M2" s="3">
        <f>J2/K2</f>
        <v>1.0061643462185788</v>
      </c>
      <c r="R2">
        <f>(L2-$L$12)/($N$12-$L$12)</f>
        <v>1.0175164918747237</v>
      </c>
      <c r="S2">
        <f>(M2-$M$12)/($O$12-$M$12)</f>
        <v>3.5710191653351138</v>
      </c>
    </row>
    <row r="3" spans="1:19" x14ac:dyDescent="0.3">
      <c r="A3">
        <v>0.50309999999999999</v>
      </c>
      <c r="B3">
        <f t="shared" ref="B3:B66" si="1">A3-$A$12</f>
        <v>-7.3912000000000004</v>
      </c>
      <c r="C3">
        <v>748.76199999999994</v>
      </c>
      <c r="D3">
        <v>162.50800000000001</v>
      </c>
      <c r="E3">
        <v>173.24100000000001</v>
      </c>
      <c r="I3">
        <f t="shared" ref="I3:I66" si="2">C3/$F$2</f>
        <v>1.022943206693514</v>
      </c>
      <c r="J3">
        <f t="shared" ref="J3:J66" si="3">D3/$G$2</f>
        <v>1.0064303085965975</v>
      </c>
      <c r="K3" s="4">
        <f t="shared" si="0"/>
        <v>1.0049108323704252</v>
      </c>
      <c r="L3" s="3">
        <f t="shared" ref="L3:L66" si="4">I3/K3</f>
        <v>1.0179442531040821</v>
      </c>
      <c r="M3" s="3">
        <f t="shared" ref="M3:M66" si="5">J3/K3</f>
        <v>1.001512050798167</v>
      </c>
      <c r="R3">
        <f t="shared" ref="R3:R66" si="6">(L3-$L$12)/($N$12-$L$12)</f>
        <v>1.0699742807926167</v>
      </c>
      <c r="S3">
        <f t="shared" ref="S3:S66" si="7">(M3-$M$12)/($O$12-$M$12)</f>
        <v>3.5310194846460399</v>
      </c>
    </row>
    <row r="4" spans="1:19" x14ac:dyDescent="0.3">
      <c r="A4">
        <v>1.0026999999999999</v>
      </c>
      <c r="B4">
        <f t="shared" si="1"/>
        <v>-6.8916000000000004</v>
      </c>
      <c r="C4">
        <v>740.30200000000002</v>
      </c>
      <c r="D4">
        <v>165.28800000000001</v>
      </c>
      <c r="E4">
        <v>177.53700000000001</v>
      </c>
      <c r="I4">
        <f t="shared" si="2"/>
        <v>1.0113853291187611</v>
      </c>
      <c r="J4">
        <f t="shared" si="3"/>
        <v>1.023647161046314</v>
      </c>
      <c r="K4" s="4">
        <f t="shared" si="0"/>
        <v>1.029830435327366</v>
      </c>
      <c r="L4" s="3">
        <f t="shared" si="4"/>
        <v>0.98208918130998779</v>
      </c>
      <c r="M4" s="3">
        <f t="shared" si="5"/>
        <v>0.99399583264492819</v>
      </c>
      <c r="R4">
        <f t="shared" si="6"/>
        <v>0.9647799688227473</v>
      </c>
      <c r="S4">
        <f t="shared" si="7"/>
        <v>3.4663962612798076</v>
      </c>
    </row>
    <row r="5" spans="1:19" x14ac:dyDescent="0.3">
      <c r="A5">
        <v>1.5028999999999999</v>
      </c>
      <c r="B5">
        <f t="shared" si="1"/>
        <v>-6.3914000000000009</v>
      </c>
      <c r="C5">
        <v>726.31700000000001</v>
      </c>
      <c r="D5">
        <v>159.458</v>
      </c>
      <c r="E5">
        <v>176</v>
      </c>
      <c r="I5">
        <f t="shared" si="2"/>
        <v>0.99227931045647755</v>
      </c>
      <c r="J5">
        <f t="shared" si="3"/>
        <v>0.98754131580104509</v>
      </c>
      <c r="K5" s="4">
        <f t="shared" si="0"/>
        <v>1.0209148325003599</v>
      </c>
      <c r="L5" s="3">
        <f t="shared" si="4"/>
        <v>0.9719511156736258</v>
      </c>
      <c r="M5" s="3">
        <f t="shared" si="5"/>
        <v>0.96731018529961166</v>
      </c>
      <c r="R5">
        <f t="shared" si="6"/>
        <v>0.93503614776873023</v>
      </c>
      <c r="S5">
        <f t="shared" si="7"/>
        <v>3.2369573980230517</v>
      </c>
    </row>
    <row r="6" spans="1:19" x14ac:dyDescent="0.3">
      <c r="A6">
        <v>2.0024999999999999</v>
      </c>
      <c r="B6">
        <f t="shared" si="1"/>
        <v>-5.8917999999999999</v>
      </c>
      <c r="C6">
        <v>741.69799999999998</v>
      </c>
      <c r="D6">
        <v>155.441</v>
      </c>
      <c r="E6">
        <v>171.352</v>
      </c>
      <c r="I6">
        <f t="shared" si="2"/>
        <v>1.0132925155365335</v>
      </c>
      <c r="J6">
        <f t="shared" si="3"/>
        <v>0.96266358332244384</v>
      </c>
      <c r="K6" s="4">
        <f t="shared" si="0"/>
        <v>0.99395339987841858</v>
      </c>
      <c r="L6" s="3">
        <f t="shared" si="4"/>
        <v>1.0194567629231719</v>
      </c>
      <c r="M6" s="3">
        <f t="shared" si="5"/>
        <v>0.96851983547739551</v>
      </c>
      <c r="R6">
        <f t="shared" si="6"/>
        <v>1.0744117960953479</v>
      </c>
      <c r="S6">
        <f t="shared" si="7"/>
        <v>3.2473577738557093</v>
      </c>
    </row>
    <row r="7" spans="1:19" x14ac:dyDescent="0.3">
      <c r="A7">
        <v>2.5026999999999999</v>
      </c>
      <c r="B7">
        <f t="shared" si="1"/>
        <v>-5.3916000000000004</v>
      </c>
      <c r="C7">
        <v>714.42899999999997</v>
      </c>
      <c r="D7">
        <v>158.49199999999999</v>
      </c>
      <c r="E7">
        <v>171.03700000000001</v>
      </c>
      <c r="I7">
        <f t="shared" si="2"/>
        <v>0.97603816995899972</v>
      </c>
      <c r="J7">
        <f t="shared" si="3"/>
        <v>0.9815587692303881</v>
      </c>
      <c r="K7" s="4">
        <f t="shared" si="0"/>
        <v>0.99212619435434124</v>
      </c>
      <c r="L7" s="3">
        <f t="shared" si="4"/>
        <v>0.98378429630535924</v>
      </c>
      <c r="M7" s="3">
        <f t="shared" si="5"/>
        <v>0.98934870867830449</v>
      </c>
      <c r="R7">
        <f t="shared" si="6"/>
        <v>0.96975322495431848</v>
      </c>
      <c r="S7">
        <f t="shared" si="7"/>
        <v>3.4264410439107786</v>
      </c>
    </row>
    <row r="8" spans="1:19" x14ac:dyDescent="0.3">
      <c r="A8">
        <v>3.0028999999999999</v>
      </c>
      <c r="B8">
        <f t="shared" si="1"/>
        <v>-4.8914000000000009</v>
      </c>
      <c r="C8">
        <v>733.30200000000002</v>
      </c>
      <c r="D8">
        <v>164.15299999999999</v>
      </c>
      <c r="E8">
        <v>172.148</v>
      </c>
      <c r="I8">
        <f t="shared" si="2"/>
        <v>1.0018220734422516</v>
      </c>
      <c r="J8">
        <f t="shared" si="3"/>
        <v>1.0166179784814118</v>
      </c>
      <c r="K8" s="4">
        <f t="shared" si="0"/>
        <v>0.99857071923449969</v>
      </c>
      <c r="L8" s="3">
        <f t="shared" si="4"/>
        <v>1.0032560079572976</v>
      </c>
      <c r="M8" s="3">
        <f t="shared" si="5"/>
        <v>1.0180730907679199</v>
      </c>
      <c r="R8">
        <f t="shared" si="6"/>
        <v>1.0268808001510505</v>
      </c>
      <c r="S8">
        <f t="shared" si="7"/>
        <v>3.6734086174948888</v>
      </c>
    </row>
    <row r="9" spans="1:19" x14ac:dyDescent="0.3">
      <c r="A9">
        <v>3.5030999999999999</v>
      </c>
      <c r="B9">
        <f t="shared" si="1"/>
        <v>-4.3912000000000004</v>
      </c>
      <c r="C9">
        <v>725.76199999999994</v>
      </c>
      <c r="D9">
        <v>160.78</v>
      </c>
      <c r="E9">
        <v>168.96299999999999</v>
      </c>
      <c r="I9">
        <f t="shared" si="2"/>
        <v>0.99152108089926849</v>
      </c>
      <c r="J9">
        <f t="shared" si="3"/>
        <v>0.99572861038324845</v>
      </c>
      <c r="K9" s="4">
        <f t="shared" si="0"/>
        <v>0.98009564115771763</v>
      </c>
      <c r="L9" s="3">
        <f t="shared" si="4"/>
        <v>1.0116574742930748</v>
      </c>
      <c r="M9" s="3">
        <f t="shared" si="5"/>
        <v>1.0159504527609822</v>
      </c>
      <c r="R9">
        <f t="shared" si="6"/>
        <v>1.0515296552922546</v>
      </c>
      <c r="S9">
        <f t="shared" si="7"/>
        <v>3.6551585205377002</v>
      </c>
    </row>
    <row r="10" spans="1:19" x14ac:dyDescent="0.3">
      <c r="A10">
        <v>4.0026999999999999</v>
      </c>
      <c r="B10">
        <f t="shared" si="1"/>
        <v>-3.8916000000000004</v>
      </c>
      <c r="C10">
        <v>728.30200000000002</v>
      </c>
      <c r="D10">
        <v>162.49199999999999</v>
      </c>
      <c r="E10">
        <v>171.185</v>
      </c>
      <c r="I10">
        <f t="shared" si="2"/>
        <v>0.99499117653045921</v>
      </c>
      <c r="J10">
        <f t="shared" si="3"/>
        <v>1.0063312187983255</v>
      </c>
      <c r="K10" s="4">
        <f t="shared" si="0"/>
        <v>0.99298469091803465</v>
      </c>
      <c r="L10" s="3">
        <f t="shared" si="4"/>
        <v>1.0020206611751179</v>
      </c>
      <c r="M10" s="3">
        <f t="shared" si="5"/>
        <v>1.0134408193825746</v>
      </c>
      <c r="R10">
        <f t="shared" si="6"/>
        <v>1.023256446655348</v>
      </c>
      <c r="S10">
        <f t="shared" si="7"/>
        <v>3.6335811002082621</v>
      </c>
    </row>
    <row r="11" spans="1:19" x14ac:dyDescent="0.3">
      <c r="A11">
        <v>4.5029000000000003</v>
      </c>
      <c r="B11">
        <f t="shared" si="1"/>
        <v>-3.3914</v>
      </c>
      <c r="C11">
        <v>726.46</v>
      </c>
      <c r="D11">
        <v>163.102</v>
      </c>
      <c r="E11">
        <v>169.53700000000001</v>
      </c>
      <c r="I11">
        <f t="shared" si="2"/>
        <v>0.99247467410815493</v>
      </c>
      <c r="J11">
        <f t="shared" si="3"/>
        <v>1.0101090173574363</v>
      </c>
      <c r="K11" s="4">
        <f t="shared" si="0"/>
        <v>0.98342521566825858</v>
      </c>
      <c r="L11" s="3">
        <f t="shared" si="4"/>
        <v>1.0092019792615823</v>
      </c>
      <c r="M11" s="3">
        <f t="shared" si="5"/>
        <v>1.0271335341661394</v>
      </c>
      <c r="R11">
        <f t="shared" si="6"/>
        <v>1.044325538902064</v>
      </c>
      <c r="S11">
        <f t="shared" si="7"/>
        <v>3.7513088388007252</v>
      </c>
    </row>
    <row r="12" spans="1:19" x14ac:dyDescent="0.3">
      <c r="A12" s="1">
        <v>7.8943000000000003</v>
      </c>
      <c r="B12" s="1">
        <f t="shared" si="1"/>
        <v>0</v>
      </c>
      <c r="C12" s="1">
        <v>479.88900000000001</v>
      </c>
      <c r="D12" s="1">
        <v>95.745999999999995</v>
      </c>
      <c r="E12" s="1">
        <v>173.01900000000001</v>
      </c>
      <c r="F12" s="1"/>
      <c r="G12" s="1"/>
      <c r="H12" s="1"/>
      <c r="I12" s="1">
        <f t="shared" si="2"/>
        <v>0.65561445762063753</v>
      </c>
      <c r="J12" s="1">
        <f t="shared" si="3"/>
        <v>0.59296573908293626</v>
      </c>
      <c r="K12" s="1">
        <f t="shared" si="0"/>
        <v>1.003623087524885</v>
      </c>
      <c r="L12" s="1">
        <f t="shared" si="4"/>
        <v>0.65324768408576639</v>
      </c>
      <c r="M12" s="1">
        <f t="shared" si="5"/>
        <v>0.59082512793253528</v>
      </c>
      <c r="N12" s="1">
        <f>AVERAGE(L66:L76)</f>
        <v>0.99409379185216562</v>
      </c>
      <c r="O12" s="1">
        <f>AVERAGE(M66:M76)</f>
        <v>0.70713344190571636</v>
      </c>
      <c r="P12" s="5">
        <f>(N12-L12)/(1-L12)</f>
        <v>0.98296706935536304</v>
      </c>
      <c r="Q12" s="5">
        <f>(O12-M12)/(1-M12)</f>
        <v>0.28425087148070077</v>
      </c>
      <c r="R12">
        <f t="shared" si="6"/>
        <v>0</v>
      </c>
      <c r="S12">
        <f t="shared" si="7"/>
        <v>0</v>
      </c>
    </row>
    <row r="13" spans="1:19" x14ac:dyDescent="0.3">
      <c r="A13">
        <v>8.3968000000000007</v>
      </c>
      <c r="B13">
        <f t="shared" si="1"/>
        <v>0.50250000000000039</v>
      </c>
      <c r="C13">
        <v>530.28599999999994</v>
      </c>
      <c r="D13">
        <v>98.034000000000006</v>
      </c>
      <c r="E13">
        <v>171.13</v>
      </c>
      <c r="I13">
        <f t="shared" si="2"/>
        <v>0.72446579995335869</v>
      </c>
      <c r="J13">
        <f t="shared" si="3"/>
        <v>0.60713558023579661</v>
      </c>
      <c r="K13" s="4">
        <f t="shared" si="0"/>
        <v>0.99266565503287829</v>
      </c>
      <c r="L13" s="3">
        <f t="shared" si="4"/>
        <v>0.72981854089568909</v>
      </c>
      <c r="M13" s="3">
        <f t="shared" si="5"/>
        <v>0.61162142273944953</v>
      </c>
      <c r="R13">
        <f t="shared" si="6"/>
        <v>0.22464935073397102</v>
      </c>
      <c r="S13">
        <f t="shared" si="7"/>
        <v>0.17880316631285323</v>
      </c>
    </row>
    <row r="14" spans="1:19" x14ac:dyDescent="0.3">
      <c r="A14">
        <v>8.8973999999999993</v>
      </c>
      <c r="B14">
        <f t="shared" si="1"/>
        <v>1.003099999999999</v>
      </c>
      <c r="C14">
        <v>548.63499999999999</v>
      </c>
      <c r="D14">
        <v>99.728999999999999</v>
      </c>
      <c r="E14">
        <v>171.833</v>
      </c>
      <c r="I14">
        <f t="shared" si="2"/>
        <v>0.74953382544025482</v>
      </c>
      <c r="J14">
        <f t="shared" si="3"/>
        <v>0.61763290574021013</v>
      </c>
      <c r="K14" s="4">
        <f t="shared" si="0"/>
        <v>0.99674351371042236</v>
      </c>
      <c r="L14" s="3">
        <f t="shared" si="4"/>
        <v>0.75198264661896985</v>
      </c>
      <c r="M14" s="3">
        <f t="shared" si="5"/>
        <v>0.61965079004230883</v>
      </c>
      <c r="R14">
        <f t="shared" si="6"/>
        <v>0.28967607457871286</v>
      </c>
      <c r="S14">
        <f t="shared" si="7"/>
        <v>0.24783836275384671</v>
      </c>
    </row>
    <row r="15" spans="1:19" x14ac:dyDescent="0.3">
      <c r="A15">
        <v>9.3970000000000002</v>
      </c>
      <c r="B15">
        <f t="shared" si="1"/>
        <v>1.5026999999999999</v>
      </c>
      <c r="C15">
        <v>566.58699999999999</v>
      </c>
      <c r="D15">
        <v>97.694999999999993</v>
      </c>
      <c r="E15">
        <v>168.148</v>
      </c>
      <c r="I15">
        <f t="shared" si="2"/>
        <v>0.77405947771235462</v>
      </c>
      <c r="J15">
        <f t="shared" si="3"/>
        <v>0.60503611513491384</v>
      </c>
      <c r="K15" s="4">
        <f t="shared" si="0"/>
        <v>0.97536810940494612</v>
      </c>
      <c r="L15" s="3">
        <f t="shared" si="4"/>
        <v>0.79360753160629161</v>
      </c>
      <c r="M15" s="3">
        <f t="shared" si="5"/>
        <v>0.62031566267225513</v>
      </c>
      <c r="R15">
        <f t="shared" si="6"/>
        <v>0.41179829935661644</v>
      </c>
      <c r="S15">
        <f t="shared" si="7"/>
        <v>0.25355482967898513</v>
      </c>
    </row>
    <row r="16" spans="1:19" x14ac:dyDescent="0.3">
      <c r="A16">
        <v>9.8971999999999998</v>
      </c>
      <c r="B16">
        <f t="shared" si="1"/>
        <v>2.0028999999999995</v>
      </c>
      <c r="C16">
        <v>577.69799999999998</v>
      </c>
      <c r="D16">
        <v>101</v>
      </c>
      <c r="E16">
        <v>171.852</v>
      </c>
      <c r="I16">
        <f t="shared" si="2"/>
        <v>0.78923909682973981</v>
      </c>
      <c r="J16">
        <f t="shared" si="3"/>
        <v>0.62550435159042228</v>
      </c>
      <c r="K16" s="4">
        <f t="shared" si="0"/>
        <v>0.99685372610711276</v>
      </c>
      <c r="L16" s="3">
        <f t="shared" si="4"/>
        <v>0.79173009656276838</v>
      </c>
      <c r="M16" s="3">
        <f t="shared" si="5"/>
        <v>0.62747857103682159</v>
      </c>
      <c r="R16">
        <f t="shared" si="6"/>
        <v>0.40629013892660226</v>
      </c>
      <c r="S16">
        <f t="shared" si="7"/>
        <v>0.31514035284475045</v>
      </c>
    </row>
    <row r="17" spans="1:19" x14ac:dyDescent="0.3">
      <c r="A17">
        <v>10.396599999999999</v>
      </c>
      <c r="B17">
        <f t="shared" si="1"/>
        <v>2.5022999999999991</v>
      </c>
      <c r="C17">
        <v>588</v>
      </c>
      <c r="D17">
        <v>101.30500000000001</v>
      </c>
      <c r="E17">
        <v>172.88900000000001</v>
      </c>
      <c r="I17">
        <f t="shared" si="2"/>
        <v>0.8033134768267971</v>
      </c>
      <c r="J17">
        <f t="shared" si="3"/>
        <v>0.62739325086997755</v>
      </c>
      <c r="K17" s="4">
        <f t="shared" si="0"/>
        <v>1.0028690027054246</v>
      </c>
      <c r="L17" s="3">
        <f t="shared" si="4"/>
        <v>0.80101536158731645</v>
      </c>
      <c r="M17" s="3">
        <f t="shared" si="5"/>
        <v>0.62559840734679029</v>
      </c>
      <c r="R17">
        <f t="shared" si="6"/>
        <v>0.43353194927143912</v>
      </c>
      <c r="S17">
        <f t="shared" si="7"/>
        <v>0.29897501069676924</v>
      </c>
    </row>
    <row r="18" spans="1:19" x14ac:dyDescent="0.3">
      <c r="A18">
        <v>10.8973</v>
      </c>
      <c r="B18">
        <f t="shared" si="1"/>
        <v>3.0029999999999992</v>
      </c>
      <c r="C18">
        <v>589.77800000000002</v>
      </c>
      <c r="D18">
        <v>103.508</v>
      </c>
      <c r="E18">
        <v>173.03700000000001</v>
      </c>
      <c r="I18">
        <f t="shared" si="2"/>
        <v>0.80574254376863053</v>
      </c>
      <c r="J18">
        <f t="shared" si="3"/>
        <v>0.64103667746951909</v>
      </c>
      <c r="K18" s="4">
        <f t="shared" si="0"/>
        <v>1.0037274992691181</v>
      </c>
      <c r="L18" s="3">
        <f t="shared" si="4"/>
        <v>0.80275029263953235</v>
      </c>
      <c r="M18" s="3">
        <f t="shared" si="5"/>
        <v>0.63865608737062729</v>
      </c>
      <c r="R18">
        <f t="shared" si="6"/>
        <v>0.43862202075145418</v>
      </c>
      <c r="S18">
        <f t="shared" si="7"/>
        <v>0.41124282352782709</v>
      </c>
    </row>
    <row r="19" spans="1:19" x14ac:dyDescent="0.3">
      <c r="A19">
        <v>11.396699999999999</v>
      </c>
      <c r="B19">
        <f t="shared" si="1"/>
        <v>3.5023999999999988</v>
      </c>
      <c r="C19">
        <v>610.524</v>
      </c>
      <c r="D19">
        <v>109.627</v>
      </c>
      <c r="E19">
        <v>176.63</v>
      </c>
      <c r="I19">
        <f t="shared" si="2"/>
        <v>0.83408530123503999</v>
      </c>
      <c r="J19">
        <f t="shared" si="3"/>
        <v>0.67893233219607152</v>
      </c>
      <c r="K19" s="4">
        <f t="shared" si="0"/>
        <v>1.0245692435485145</v>
      </c>
      <c r="L19" s="3">
        <f t="shared" si="4"/>
        <v>0.81408387621148137</v>
      </c>
      <c r="M19" s="3">
        <f t="shared" si="5"/>
        <v>0.66265148643799132</v>
      </c>
      <c r="R19">
        <f t="shared" si="6"/>
        <v>0.47187334242920254</v>
      </c>
      <c r="S19">
        <f t="shared" si="7"/>
        <v>0.6175513688730635</v>
      </c>
    </row>
    <row r="20" spans="1:19" x14ac:dyDescent="0.3">
      <c r="A20">
        <v>11.8969</v>
      </c>
      <c r="B20">
        <f t="shared" si="1"/>
        <v>4.0026000000000002</v>
      </c>
      <c r="C20">
        <v>605.57100000000003</v>
      </c>
      <c r="D20">
        <v>104.08499999999999</v>
      </c>
      <c r="E20">
        <v>168.90700000000001</v>
      </c>
      <c r="I20">
        <f t="shared" si="2"/>
        <v>0.82731861475421831</v>
      </c>
      <c r="J20">
        <f t="shared" si="3"/>
        <v>0.64461010331969404</v>
      </c>
      <c r="K20" s="4">
        <f t="shared" si="0"/>
        <v>0.97977080462010391</v>
      </c>
      <c r="L20" s="3">
        <f t="shared" si="4"/>
        <v>0.84440015037496718</v>
      </c>
      <c r="M20" s="3">
        <f t="shared" si="5"/>
        <v>0.65791928099922814</v>
      </c>
      <c r="R20">
        <f t="shared" si="6"/>
        <v>0.56081751245992872</v>
      </c>
      <c r="S20">
        <f t="shared" si="7"/>
        <v>0.57686463482020511</v>
      </c>
    </row>
    <row r="21" spans="1:19" x14ac:dyDescent="0.3">
      <c r="A21">
        <v>12.3971</v>
      </c>
      <c r="B21">
        <f t="shared" si="1"/>
        <v>4.5027999999999997</v>
      </c>
      <c r="C21">
        <v>615.15899999999999</v>
      </c>
      <c r="D21">
        <v>100.96599999999999</v>
      </c>
      <c r="E21">
        <v>165.29599999999999</v>
      </c>
      <c r="I21">
        <f t="shared" si="2"/>
        <v>0.84041754267227153</v>
      </c>
      <c r="J21">
        <f t="shared" si="3"/>
        <v>0.62529378576909478</v>
      </c>
      <c r="K21" s="4">
        <f t="shared" si="0"/>
        <v>0.95882464859647432</v>
      </c>
      <c r="L21" s="3">
        <f t="shared" si="4"/>
        <v>0.87650807048241108</v>
      </c>
      <c r="M21" s="3">
        <f t="shared" si="5"/>
        <v>0.65214613191723703</v>
      </c>
      <c r="R21">
        <f t="shared" si="6"/>
        <v>0.65501814839457528</v>
      </c>
      <c r="S21">
        <f t="shared" si="7"/>
        <v>0.52722803632800863</v>
      </c>
    </row>
    <row r="22" spans="1:19" x14ac:dyDescent="0.3">
      <c r="A22">
        <v>12.8973</v>
      </c>
      <c r="B22">
        <f t="shared" si="1"/>
        <v>5.0029999999999992</v>
      </c>
      <c r="C22">
        <v>636.31700000000001</v>
      </c>
      <c r="D22">
        <v>106</v>
      </c>
      <c r="E22">
        <v>170.63</v>
      </c>
      <c r="I22">
        <f t="shared" si="2"/>
        <v>0.86932316604421267</v>
      </c>
      <c r="J22">
        <f t="shared" si="3"/>
        <v>0.65646991355034412</v>
      </c>
      <c r="K22" s="4">
        <f t="shared" si="0"/>
        <v>0.98976532880418411</v>
      </c>
      <c r="L22" s="3">
        <f t="shared" si="4"/>
        <v>0.87831240471366334</v>
      </c>
      <c r="M22" s="3">
        <f t="shared" si="5"/>
        <v>0.66325814255736637</v>
      </c>
      <c r="R22">
        <f t="shared" si="6"/>
        <v>0.66031184015205568</v>
      </c>
      <c r="S22">
        <f t="shared" si="7"/>
        <v>0.62276729969220457</v>
      </c>
    </row>
    <row r="23" spans="1:19" x14ac:dyDescent="0.3">
      <c r="A23">
        <v>13.396800000000001</v>
      </c>
      <c r="B23">
        <f t="shared" si="1"/>
        <v>5.5025000000000004</v>
      </c>
      <c r="C23">
        <v>625.85699999999997</v>
      </c>
      <c r="D23">
        <v>103.983</v>
      </c>
      <c r="E23">
        <v>164.667</v>
      </c>
      <c r="I23">
        <f t="shared" si="2"/>
        <v>0.85503292970474276</v>
      </c>
      <c r="J23">
        <f t="shared" si="3"/>
        <v>0.64397840585571164</v>
      </c>
      <c r="K23" s="4">
        <f t="shared" si="0"/>
        <v>0.95517603820077701</v>
      </c>
      <c r="L23" s="3">
        <f t="shared" si="4"/>
        <v>0.89515743225231093</v>
      </c>
      <c r="M23" s="3">
        <f t="shared" si="5"/>
        <v>0.6741986608759003</v>
      </c>
      <c r="R23">
        <f t="shared" si="6"/>
        <v>0.70973305152816568</v>
      </c>
      <c r="S23">
        <f t="shared" si="7"/>
        <v>0.7168320999184089</v>
      </c>
    </row>
    <row r="24" spans="1:19" x14ac:dyDescent="0.3">
      <c r="A24">
        <v>13.897</v>
      </c>
      <c r="B24">
        <f t="shared" si="1"/>
        <v>6.0026999999999999</v>
      </c>
      <c r="C24">
        <v>626.84100000000001</v>
      </c>
      <c r="D24">
        <v>104.542</v>
      </c>
      <c r="E24">
        <v>166.11099999999999</v>
      </c>
      <c r="I24">
        <f t="shared" si="2"/>
        <v>0.85637725021698363</v>
      </c>
      <c r="J24">
        <f t="shared" si="3"/>
        <v>0.64744035568283098</v>
      </c>
      <c r="K24" s="4">
        <f t="shared" si="0"/>
        <v>0.96355218034924583</v>
      </c>
      <c r="L24" s="3">
        <f t="shared" si="4"/>
        <v>0.88877101591590402</v>
      </c>
      <c r="M24" s="3">
        <f t="shared" si="5"/>
        <v>0.67193076709988031</v>
      </c>
      <c r="R24">
        <f t="shared" si="6"/>
        <v>0.6909961019462626</v>
      </c>
      <c r="S24">
        <f t="shared" si="7"/>
        <v>0.69733311744203208</v>
      </c>
    </row>
    <row r="25" spans="1:19" x14ac:dyDescent="0.3">
      <c r="A25">
        <v>14.396599999999999</v>
      </c>
      <c r="B25">
        <f t="shared" si="1"/>
        <v>6.5022999999999991</v>
      </c>
      <c r="C25">
        <v>641.88900000000001</v>
      </c>
      <c r="D25">
        <v>98.763000000000005</v>
      </c>
      <c r="E25">
        <v>161.57400000000001</v>
      </c>
      <c r="I25">
        <f t="shared" si="2"/>
        <v>0.87693551756271426</v>
      </c>
      <c r="J25">
        <f t="shared" si="3"/>
        <v>0.61165035916955324</v>
      </c>
      <c r="K25" s="4">
        <f t="shared" si="0"/>
        <v>0.93723462015007475</v>
      </c>
      <c r="L25" s="3">
        <f t="shared" si="4"/>
        <v>0.9356627451750501</v>
      </c>
      <c r="M25" s="3">
        <f t="shared" si="5"/>
        <v>0.65261178579981682</v>
      </c>
      <c r="R25">
        <f t="shared" si="6"/>
        <v>0.82857059140261169</v>
      </c>
      <c r="S25">
        <f t="shared" si="7"/>
        <v>0.53123165280797213</v>
      </c>
    </row>
    <row r="26" spans="1:19" x14ac:dyDescent="0.3">
      <c r="A26">
        <v>14.897500000000001</v>
      </c>
      <c r="B26">
        <f t="shared" si="1"/>
        <v>7.0032000000000005</v>
      </c>
      <c r="C26">
        <v>640.952</v>
      </c>
      <c r="D26">
        <v>107.017</v>
      </c>
      <c r="E26">
        <v>168.88900000000001</v>
      </c>
      <c r="I26">
        <f t="shared" si="2"/>
        <v>0.87565540748144433</v>
      </c>
      <c r="J26">
        <f t="shared" si="3"/>
        <v>0.66276830885299221</v>
      </c>
      <c r="K26" s="4">
        <f t="shared" si="0"/>
        <v>0.97966639287587098</v>
      </c>
      <c r="L26" s="3">
        <f t="shared" si="4"/>
        <v>0.8938301995957052</v>
      </c>
      <c r="M26" s="3">
        <f t="shared" si="5"/>
        <v>0.6765244920848974</v>
      </c>
      <c r="R26">
        <f t="shared" si="6"/>
        <v>0.70583911632877838</v>
      </c>
      <c r="S26">
        <f t="shared" si="7"/>
        <v>0.73682921903693899</v>
      </c>
    </row>
    <row r="27" spans="1:19" x14ac:dyDescent="0.3">
      <c r="A27">
        <v>15.397</v>
      </c>
      <c r="B27">
        <f t="shared" si="1"/>
        <v>7.5026999999999999</v>
      </c>
      <c r="C27">
        <v>637.57100000000003</v>
      </c>
      <c r="D27">
        <v>113.559</v>
      </c>
      <c r="E27">
        <v>173.07400000000001</v>
      </c>
      <c r="I27">
        <f t="shared" si="2"/>
        <v>0.87103635498969034</v>
      </c>
      <c r="J27">
        <f t="shared" si="3"/>
        <v>0.70328365012135408</v>
      </c>
      <c r="K27" s="4">
        <f t="shared" si="0"/>
        <v>1.0039421234100414</v>
      </c>
      <c r="L27" s="3">
        <f t="shared" si="4"/>
        <v>0.86761610523033295</v>
      </c>
      <c r="M27" s="3">
        <f t="shared" si="5"/>
        <v>0.70052210552989314</v>
      </c>
      <c r="R27">
        <f t="shared" si="6"/>
        <v>0.62893023056459585</v>
      </c>
      <c r="S27">
        <f t="shared" si="7"/>
        <v>0.94315680324153184</v>
      </c>
    </row>
    <row r="28" spans="1:19" x14ac:dyDescent="0.3">
      <c r="A28">
        <v>15.8972</v>
      </c>
      <c r="B28">
        <f t="shared" si="1"/>
        <v>8.0029000000000003</v>
      </c>
      <c r="C28">
        <v>652.85699999999997</v>
      </c>
      <c r="D28">
        <v>108.729</v>
      </c>
      <c r="E28">
        <v>167.22200000000001</v>
      </c>
      <c r="I28">
        <f t="shared" si="2"/>
        <v>0.89191977302842218</v>
      </c>
      <c r="J28">
        <f t="shared" si="3"/>
        <v>0.67337091726806952</v>
      </c>
      <c r="K28" s="4">
        <f t="shared" si="0"/>
        <v>0.96999670522940451</v>
      </c>
      <c r="L28" s="3">
        <f t="shared" si="4"/>
        <v>0.91950804391390473</v>
      </c>
      <c r="M28" s="3">
        <f t="shared" si="5"/>
        <v>0.69419917989187097</v>
      </c>
      <c r="R28">
        <f t="shared" si="6"/>
        <v>0.78117471128824312</v>
      </c>
      <c r="S28">
        <f t="shared" si="7"/>
        <v>0.88879331518099525</v>
      </c>
    </row>
    <row r="29" spans="1:19" x14ac:dyDescent="0.3">
      <c r="A29">
        <v>16.396799999999999</v>
      </c>
      <c r="B29">
        <f t="shared" si="1"/>
        <v>8.5024999999999977</v>
      </c>
      <c r="C29">
        <v>646.77800000000002</v>
      </c>
      <c r="D29">
        <v>110.271</v>
      </c>
      <c r="E29">
        <v>171.05600000000001</v>
      </c>
      <c r="I29">
        <f t="shared" si="2"/>
        <v>0.88361476856306498</v>
      </c>
      <c r="J29">
        <f t="shared" si="3"/>
        <v>0.68292069657650945</v>
      </c>
      <c r="K29" s="4">
        <f t="shared" si="0"/>
        <v>0.99223640675103164</v>
      </c>
      <c r="L29" s="3">
        <f t="shared" si="4"/>
        <v>0.890528469375926</v>
      </c>
      <c r="M29" s="3">
        <f t="shared" si="5"/>
        <v>0.68826409908970965</v>
      </c>
      <c r="R29">
        <f t="shared" si="6"/>
        <v>0.69615225136377767</v>
      </c>
      <c r="S29">
        <f t="shared" si="7"/>
        <v>0.83776445404962452</v>
      </c>
    </row>
    <row r="30" spans="1:19" x14ac:dyDescent="0.3">
      <c r="A30">
        <v>16.896999999999998</v>
      </c>
      <c r="B30">
        <f t="shared" si="1"/>
        <v>9.0026999999999973</v>
      </c>
      <c r="C30">
        <v>668.90499999999997</v>
      </c>
      <c r="D30">
        <v>110.15300000000001</v>
      </c>
      <c r="E30">
        <v>169.685</v>
      </c>
      <c r="I30">
        <f t="shared" si="2"/>
        <v>0.91384421975651142</v>
      </c>
      <c r="J30">
        <f t="shared" si="3"/>
        <v>0.68218990931425527</v>
      </c>
      <c r="K30" s="4">
        <f t="shared" si="0"/>
        <v>0.9842837122319521</v>
      </c>
      <c r="L30" s="3">
        <f t="shared" si="4"/>
        <v>0.9284357837074102</v>
      </c>
      <c r="M30" s="3">
        <f t="shared" si="5"/>
        <v>0.69308259482149526</v>
      </c>
      <c r="R30">
        <f t="shared" si="6"/>
        <v>0.80736758716413304</v>
      </c>
      <c r="S30">
        <f t="shared" si="7"/>
        <v>0.87919309803200296</v>
      </c>
    </row>
    <row r="31" spans="1:19" x14ac:dyDescent="0.3">
      <c r="A31">
        <v>17.396599999999999</v>
      </c>
      <c r="B31">
        <f t="shared" si="1"/>
        <v>9.5022999999999982</v>
      </c>
      <c r="C31">
        <v>659.90499999999997</v>
      </c>
      <c r="D31">
        <v>107.18600000000001</v>
      </c>
      <c r="E31">
        <v>168.852</v>
      </c>
      <c r="I31">
        <f t="shared" si="2"/>
        <v>0.90154860531528491</v>
      </c>
      <c r="J31">
        <f t="shared" si="3"/>
        <v>0.66381494484723769</v>
      </c>
      <c r="K31" s="4">
        <f t="shared" si="0"/>
        <v>0.97945176873494755</v>
      </c>
      <c r="L31" s="3">
        <f t="shared" si="4"/>
        <v>0.92046248125083097</v>
      </c>
      <c r="M31" s="3">
        <f t="shared" si="5"/>
        <v>0.67774133044306617</v>
      </c>
      <c r="R31">
        <f t="shared" si="6"/>
        <v>0.78397491148175802</v>
      </c>
      <c r="S31">
        <f t="shared" si="7"/>
        <v>0.74729139767749053</v>
      </c>
    </row>
    <row r="32" spans="1:19" x14ac:dyDescent="0.3">
      <c r="A32">
        <v>17.897400000000001</v>
      </c>
      <c r="B32">
        <f t="shared" si="1"/>
        <v>10.0031</v>
      </c>
      <c r="C32">
        <v>659.39700000000005</v>
      </c>
      <c r="D32">
        <v>111.47499999999999</v>
      </c>
      <c r="E32">
        <v>171.63</v>
      </c>
      <c r="I32">
        <f t="shared" si="2"/>
        <v>0.9008545861890469</v>
      </c>
      <c r="J32">
        <f t="shared" si="3"/>
        <v>0.69037720389645862</v>
      </c>
      <c r="K32" s="4">
        <f t="shared" si="0"/>
        <v>0.99556598126157247</v>
      </c>
      <c r="L32" s="3">
        <f t="shared" si="4"/>
        <v>0.90486678245824737</v>
      </c>
      <c r="M32" s="3">
        <f t="shared" si="5"/>
        <v>0.69345198298320587</v>
      </c>
      <c r="R32">
        <f t="shared" si="6"/>
        <v>0.73821907494079264</v>
      </c>
      <c r="S32">
        <f t="shared" si="7"/>
        <v>0.88236903747340689</v>
      </c>
    </row>
    <row r="33" spans="1:19" x14ac:dyDescent="0.3">
      <c r="A33">
        <v>18.396799999999999</v>
      </c>
      <c r="B33">
        <f t="shared" si="1"/>
        <v>10.502499999999998</v>
      </c>
      <c r="C33">
        <v>656.73</v>
      </c>
      <c r="D33">
        <v>105.339</v>
      </c>
      <c r="E33">
        <v>166.77799999999999</v>
      </c>
      <c r="I33">
        <f t="shared" si="2"/>
        <v>0.89721098577629677</v>
      </c>
      <c r="J33">
        <f t="shared" si="3"/>
        <v>0.6523762662592425</v>
      </c>
      <c r="K33" s="4">
        <f t="shared" si="0"/>
        <v>0.96742121553832394</v>
      </c>
      <c r="L33" s="3">
        <f t="shared" si="4"/>
        <v>0.92742537724587881</v>
      </c>
      <c r="M33" s="3">
        <f t="shared" si="5"/>
        <v>0.6743456270971131</v>
      </c>
      <c r="R33">
        <f t="shared" si="6"/>
        <v>0.80440318053454674</v>
      </c>
      <c r="S33">
        <f t="shared" si="7"/>
        <v>0.71809569162731024</v>
      </c>
    </row>
    <row r="34" spans="1:19" x14ac:dyDescent="0.3">
      <c r="A34">
        <v>18.897500000000001</v>
      </c>
      <c r="B34">
        <f t="shared" si="1"/>
        <v>11.0032</v>
      </c>
      <c r="C34">
        <v>673.54</v>
      </c>
      <c r="D34">
        <v>110.492</v>
      </c>
      <c r="E34">
        <v>169.29599999999999</v>
      </c>
      <c r="I34">
        <f t="shared" si="2"/>
        <v>0.92017646119374308</v>
      </c>
      <c r="J34">
        <f t="shared" si="3"/>
        <v>0.68428937441513804</v>
      </c>
      <c r="K34" s="4">
        <f t="shared" si="0"/>
        <v>0.98202725842602789</v>
      </c>
      <c r="L34" s="3">
        <f t="shared" si="4"/>
        <v>0.93701722971374757</v>
      </c>
      <c r="M34" s="3">
        <f t="shared" si="5"/>
        <v>0.6968130146528746</v>
      </c>
      <c r="R34">
        <f t="shared" si="6"/>
        <v>0.83254448022761118</v>
      </c>
      <c r="S34">
        <f t="shared" si="7"/>
        <v>0.91126664208010533</v>
      </c>
    </row>
    <row r="35" spans="1:19" x14ac:dyDescent="0.3">
      <c r="A35">
        <v>19.396899999999999</v>
      </c>
      <c r="B35">
        <f t="shared" si="1"/>
        <v>11.502599999999997</v>
      </c>
      <c r="C35">
        <v>655.85699999999997</v>
      </c>
      <c r="D35">
        <v>109.322</v>
      </c>
      <c r="E35">
        <v>165.70400000000001</v>
      </c>
      <c r="I35">
        <f t="shared" si="2"/>
        <v>0.89601831117549768</v>
      </c>
      <c r="J35">
        <f t="shared" si="3"/>
        <v>0.67704343291651625</v>
      </c>
      <c r="K35" s="4">
        <f t="shared" si="0"/>
        <v>0.96119131479908881</v>
      </c>
      <c r="L35" s="3">
        <f t="shared" si="4"/>
        <v>0.93219559663081875</v>
      </c>
      <c r="M35" s="3">
        <f t="shared" si="5"/>
        <v>0.70437947419243374</v>
      </c>
      <c r="R35">
        <f t="shared" si="6"/>
        <v>0.81839840969001432</v>
      </c>
      <c r="S35">
        <f t="shared" si="7"/>
        <v>0.9763218327288482</v>
      </c>
    </row>
    <row r="36" spans="1:19" x14ac:dyDescent="0.3">
      <c r="A36">
        <v>19.897099999999998</v>
      </c>
      <c r="B36">
        <f t="shared" si="1"/>
        <v>12.002799999999997</v>
      </c>
      <c r="C36">
        <v>677.90499999999997</v>
      </c>
      <c r="D36">
        <v>113.15300000000001</v>
      </c>
      <c r="E36">
        <v>171.315</v>
      </c>
      <c r="I36">
        <f t="shared" si="2"/>
        <v>0.92613983419773793</v>
      </c>
      <c r="J36">
        <f t="shared" si="3"/>
        <v>0.70076924649020844</v>
      </c>
      <c r="K36" s="4">
        <f t="shared" si="0"/>
        <v>0.99373877573749514</v>
      </c>
      <c r="L36" s="3">
        <f t="shared" si="4"/>
        <v>0.93197513955356204</v>
      </c>
      <c r="M36" s="3">
        <f t="shared" si="5"/>
        <v>0.70518456519937878</v>
      </c>
      <c r="R36">
        <f t="shared" si="6"/>
        <v>0.81775161610125546</v>
      </c>
      <c r="S36">
        <f t="shared" si="7"/>
        <v>0.98324387449389927</v>
      </c>
    </row>
    <row r="37" spans="1:19" x14ac:dyDescent="0.3">
      <c r="A37">
        <v>20.396699999999999</v>
      </c>
      <c r="B37">
        <f t="shared" si="1"/>
        <v>12.502399999999998</v>
      </c>
      <c r="C37">
        <v>677.68299999999999</v>
      </c>
      <c r="D37">
        <v>109.23699999999999</v>
      </c>
      <c r="E37">
        <v>167.42599999999999</v>
      </c>
      <c r="I37">
        <f t="shared" si="2"/>
        <v>0.92583654237485435</v>
      </c>
      <c r="J37">
        <f t="shared" si="3"/>
        <v>0.67651701836319755</v>
      </c>
      <c r="K37" s="4">
        <f t="shared" si="0"/>
        <v>0.97118003833071154</v>
      </c>
      <c r="L37" s="3">
        <f t="shared" si="4"/>
        <v>0.95331092674248663</v>
      </c>
      <c r="M37" s="3">
        <f t="shared" si="5"/>
        <v>0.69659279604429669</v>
      </c>
      <c r="R37">
        <f t="shared" si="6"/>
        <v>0.88034815660083832</v>
      </c>
      <c r="S37">
        <f t="shared" si="7"/>
        <v>0.90937323823772231</v>
      </c>
    </row>
    <row r="38" spans="1:19" x14ac:dyDescent="0.3">
      <c r="A38">
        <v>20.897300000000001</v>
      </c>
      <c r="B38">
        <f t="shared" si="1"/>
        <v>13.003</v>
      </c>
      <c r="C38">
        <v>674.76199999999994</v>
      </c>
      <c r="D38">
        <v>113.458</v>
      </c>
      <c r="E38">
        <v>172.24100000000001</v>
      </c>
      <c r="I38">
        <f t="shared" si="2"/>
        <v>0.92184593239898516</v>
      </c>
      <c r="J38">
        <f t="shared" si="3"/>
        <v>0.70265814576976371</v>
      </c>
      <c r="K38" s="4">
        <f t="shared" si="0"/>
        <v>0.99911017991303697</v>
      </c>
      <c r="L38" s="3">
        <f t="shared" si="4"/>
        <v>0.92266693997575233</v>
      </c>
      <c r="M38" s="3">
        <f t="shared" si="5"/>
        <v>0.7032839419481477</v>
      </c>
      <c r="R38">
        <f t="shared" si="6"/>
        <v>0.7904425186355184</v>
      </c>
      <c r="S38">
        <f t="shared" si="7"/>
        <v>0.96690262436048802</v>
      </c>
    </row>
    <row r="39" spans="1:19" x14ac:dyDescent="0.3">
      <c r="A39">
        <v>21.396699999999999</v>
      </c>
      <c r="B39">
        <f t="shared" si="1"/>
        <v>13.502399999999998</v>
      </c>
      <c r="C39">
        <v>683.15899999999999</v>
      </c>
      <c r="D39">
        <v>114.678</v>
      </c>
      <c r="E39">
        <v>173.03700000000001</v>
      </c>
      <c r="I39">
        <f t="shared" si="2"/>
        <v>0.9333177406726495</v>
      </c>
      <c r="J39">
        <f t="shared" si="3"/>
        <v>0.71021374288798456</v>
      </c>
      <c r="K39" s="4">
        <f t="shared" si="0"/>
        <v>1.0037274992691181</v>
      </c>
      <c r="L39" s="3">
        <f t="shared" si="4"/>
        <v>0.92985171906942998</v>
      </c>
      <c r="M39" s="3">
        <f t="shared" si="5"/>
        <v>0.70757625292237114</v>
      </c>
      <c r="R39">
        <f t="shared" si="6"/>
        <v>0.81152176504604745</v>
      </c>
      <c r="S39">
        <f t="shared" si="7"/>
        <v>1.0038072172274537</v>
      </c>
    </row>
    <row r="40" spans="1:19" x14ac:dyDescent="0.3">
      <c r="A40">
        <v>21.897400000000001</v>
      </c>
      <c r="B40">
        <f t="shared" si="1"/>
        <v>14.0031</v>
      </c>
      <c r="C40">
        <v>664.42899999999997</v>
      </c>
      <c r="D40">
        <v>112.03400000000001</v>
      </c>
      <c r="E40">
        <v>170.29599999999999</v>
      </c>
      <c r="I40">
        <f t="shared" si="2"/>
        <v>0.90772920084107478</v>
      </c>
      <c r="J40">
        <f t="shared" si="3"/>
        <v>0.69383915372357796</v>
      </c>
      <c r="K40" s="4">
        <f t="shared" si="0"/>
        <v>0.98782791088341637</v>
      </c>
      <c r="L40" s="3">
        <f t="shared" si="4"/>
        <v>0.91891430768471694</v>
      </c>
      <c r="M40" s="3">
        <f t="shared" si="5"/>
        <v>0.70238869147063909</v>
      </c>
      <c r="R40">
        <f t="shared" si="6"/>
        <v>0.77943276319008648</v>
      </c>
      <c r="S40">
        <f t="shared" si="7"/>
        <v>0.95920540610560878</v>
      </c>
    </row>
    <row r="41" spans="1:19" x14ac:dyDescent="0.3">
      <c r="A41">
        <v>22.396799999999999</v>
      </c>
      <c r="B41">
        <f t="shared" si="1"/>
        <v>14.502499999999998</v>
      </c>
      <c r="C41">
        <v>678.82500000000005</v>
      </c>
      <c r="D41">
        <v>112.983</v>
      </c>
      <c r="E41">
        <v>170.85900000000001</v>
      </c>
      <c r="I41">
        <f t="shared" si="2"/>
        <v>0.92739671922950784</v>
      </c>
      <c r="J41">
        <f t="shared" si="3"/>
        <v>0.69971641738357115</v>
      </c>
      <c r="K41" s="4">
        <f t="shared" si="0"/>
        <v>0.99109367821692607</v>
      </c>
      <c r="L41" s="3">
        <f t="shared" si="4"/>
        <v>0.93573063738836948</v>
      </c>
      <c r="M41" s="3">
        <f t="shared" si="5"/>
        <v>0.70600431902908412</v>
      </c>
      <c r="R41">
        <f t="shared" si="6"/>
        <v>0.82876977869497737</v>
      </c>
      <c r="S41">
        <f t="shared" si="7"/>
        <v>0.9902919848284224</v>
      </c>
    </row>
    <row r="42" spans="1:19" x14ac:dyDescent="0.3">
      <c r="A42">
        <v>22.897400000000001</v>
      </c>
      <c r="B42">
        <f t="shared" si="1"/>
        <v>15.0031</v>
      </c>
      <c r="C42">
        <v>675.048</v>
      </c>
      <c r="D42">
        <v>107.64400000000001</v>
      </c>
      <c r="E42">
        <v>165.40700000000001</v>
      </c>
      <c r="I42">
        <f t="shared" si="2"/>
        <v>0.9222366597023397</v>
      </c>
      <c r="J42">
        <f t="shared" si="3"/>
        <v>0.66665139032276655</v>
      </c>
      <c r="K42" s="4">
        <f t="shared" si="0"/>
        <v>0.95946852101924451</v>
      </c>
      <c r="L42" s="3">
        <f t="shared" si="4"/>
        <v>0.96119532793285045</v>
      </c>
      <c r="M42" s="3">
        <f t="shared" si="5"/>
        <v>0.69481319680460385</v>
      </c>
      <c r="R42">
        <f t="shared" si="6"/>
        <v>0.90348000704804199</v>
      </c>
      <c r="S42">
        <f t="shared" si="7"/>
        <v>0.89407253290634603</v>
      </c>
    </row>
    <row r="43" spans="1:19" x14ac:dyDescent="0.3">
      <c r="A43">
        <v>23.396799999999999</v>
      </c>
      <c r="B43">
        <f t="shared" si="1"/>
        <v>15.502499999999998</v>
      </c>
      <c r="C43">
        <v>678.22199999999998</v>
      </c>
      <c r="D43">
        <v>114.64400000000001</v>
      </c>
      <c r="E43">
        <v>173.5</v>
      </c>
      <c r="I43">
        <f t="shared" si="2"/>
        <v>0.92657291306194556</v>
      </c>
      <c r="J43">
        <f t="shared" si="3"/>
        <v>0.71000317706665717</v>
      </c>
      <c r="K43" s="4">
        <f t="shared" si="0"/>
        <v>1.0064132013568889</v>
      </c>
      <c r="L43" s="3">
        <f t="shared" si="4"/>
        <v>0.9206684807121972</v>
      </c>
      <c r="M43" s="3">
        <f t="shared" si="5"/>
        <v>0.70547879947262293</v>
      </c>
      <c r="R43">
        <f t="shared" si="6"/>
        <v>0.78457928822736955</v>
      </c>
      <c r="S43">
        <f t="shared" si="7"/>
        <v>0.98577365300407527</v>
      </c>
    </row>
    <row r="44" spans="1:19" x14ac:dyDescent="0.3">
      <c r="A44">
        <v>23.897500000000001</v>
      </c>
      <c r="B44">
        <f t="shared" si="1"/>
        <v>16.0032</v>
      </c>
      <c r="C44">
        <v>687.30200000000002</v>
      </c>
      <c r="D44">
        <v>112.102</v>
      </c>
      <c r="E44">
        <v>169.57400000000001</v>
      </c>
      <c r="I44">
        <f t="shared" si="2"/>
        <v>0.93897782185376077</v>
      </c>
      <c r="J44">
        <f t="shared" si="3"/>
        <v>0.69426028536623285</v>
      </c>
      <c r="K44" s="4">
        <f t="shared" si="0"/>
        <v>0.98363983980918201</v>
      </c>
      <c r="L44" s="3">
        <f t="shared" si="4"/>
        <v>0.95459515144884199</v>
      </c>
      <c r="M44" s="3">
        <f t="shared" si="5"/>
        <v>0.70580740761874139</v>
      </c>
      <c r="R44">
        <f t="shared" si="6"/>
        <v>0.88411591183433946</v>
      </c>
      <c r="S44">
        <f t="shared" si="7"/>
        <v>0.98859897249236428</v>
      </c>
    </row>
    <row r="45" spans="1:19" x14ac:dyDescent="0.3">
      <c r="A45">
        <v>24.396899999999999</v>
      </c>
      <c r="B45">
        <f t="shared" si="1"/>
        <v>16.502599999999997</v>
      </c>
      <c r="C45">
        <v>682.76199999999994</v>
      </c>
      <c r="D45">
        <v>110.35599999999999</v>
      </c>
      <c r="E45">
        <v>169.79599999999999</v>
      </c>
      <c r="I45">
        <f t="shared" si="2"/>
        <v>0.93277536745785306</v>
      </c>
      <c r="J45">
        <f t="shared" si="3"/>
        <v>0.68344711112982803</v>
      </c>
      <c r="K45" s="4">
        <f t="shared" si="0"/>
        <v>0.98492758465472219</v>
      </c>
      <c r="L45" s="3">
        <f t="shared" si="4"/>
        <v>0.94704969379535486</v>
      </c>
      <c r="M45" s="3">
        <f t="shared" si="5"/>
        <v>0.6939059498160145</v>
      </c>
      <c r="R45">
        <f t="shared" si="6"/>
        <v>0.86197847948126582</v>
      </c>
      <c r="S45">
        <f t="shared" si="7"/>
        <v>0.88627217059691954</v>
      </c>
    </row>
    <row r="46" spans="1:19" x14ac:dyDescent="0.3">
      <c r="A46">
        <v>24.896899999999999</v>
      </c>
      <c r="B46">
        <f t="shared" si="1"/>
        <v>17.002599999999997</v>
      </c>
      <c r="C46">
        <v>691.65099999999995</v>
      </c>
      <c r="D46">
        <v>109.81399999999999</v>
      </c>
      <c r="E46">
        <v>168.84800000000001</v>
      </c>
      <c r="I46">
        <f t="shared" si="2"/>
        <v>0.94491933598763778</v>
      </c>
      <c r="J46">
        <f t="shared" si="3"/>
        <v>0.6800904442133725</v>
      </c>
      <c r="K46" s="4">
        <f t="shared" si="0"/>
        <v>0.97942856612511808</v>
      </c>
      <c r="L46" s="3">
        <f t="shared" si="4"/>
        <v>0.9647659550364065</v>
      </c>
      <c r="M46" s="3">
        <f t="shared" si="5"/>
        <v>0.69437472801512479</v>
      </c>
      <c r="R46">
        <f t="shared" si="6"/>
        <v>0.91395578195700233</v>
      </c>
      <c r="S46">
        <f t="shared" si="7"/>
        <v>0.89030264944315551</v>
      </c>
    </row>
    <row r="47" spans="1:19" x14ac:dyDescent="0.3">
      <c r="A47">
        <v>25.397099999999998</v>
      </c>
      <c r="B47">
        <f t="shared" si="1"/>
        <v>17.502799999999997</v>
      </c>
      <c r="C47">
        <v>690.76199999999994</v>
      </c>
      <c r="D47">
        <v>111.373</v>
      </c>
      <c r="E47">
        <v>168.852</v>
      </c>
      <c r="I47">
        <f t="shared" si="2"/>
        <v>0.94370480251672106</v>
      </c>
      <c r="J47">
        <f t="shared" si="3"/>
        <v>0.68974550643247623</v>
      </c>
      <c r="K47" s="4">
        <f t="shared" si="0"/>
        <v>0.97945176873494755</v>
      </c>
      <c r="L47" s="3">
        <f t="shared" si="4"/>
        <v>0.96350308676822649</v>
      </c>
      <c r="M47" s="3">
        <f t="shared" si="5"/>
        <v>0.70421589755598302</v>
      </c>
      <c r="R47">
        <f t="shared" si="6"/>
        <v>0.91025068385142116</v>
      </c>
      <c r="S47">
        <f t="shared" si="7"/>
        <v>0.97491542736655878</v>
      </c>
    </row>
    <row r="48" spans="1:19" x14ac:dyDescent="0.3">
      <c r="A48">
        <v>25.897300000000001</v>
      </c>
      <c r="B48">
        <f t="shared" si="1"/>
        <v>18.003</v>
      </c>
      <c r="C48">
        <v>673.58699999999999</v>
      </c>
      <c r="D48">
        <v>104.407</v>
      </c>
      <c r="E48">
        <v>165.74100000000001</v>
      </c>
      <c r="I48">
        <f t="shared" si="2"/>
        <v>0.9202406716247139</v>
      </c>
      <c r="J48">
        <f t="shared" si="3"/>
        <v>0.646604285509913</v>
      </c>
      <c r="K48" s="4">
        <f t="shared" si="0"/>
        <v>0.96140593894001225</v>
      </c>
      <c r="L48" s="3">
        <f t="shared" si="4"/>
        <v>0.95718222069578152</v>
      </c>
      <c r="M48" s="3">
        <f t="shared" si="5"/>
        <v>0.67256115166380148</v>
      </c>
      <c r="R48">
        <f t="shared" si="6"/>
        <v>0.89170605057434993</v>
      </c>
      <c r="S48">
        <f t="shared" si="7"/>
        <v>0.70275306157488693</v>
      </c>
    </row>
    <row r="49" spans="1:19" x14ac:dyDescent="0.3">
      <c r="A49">
        <v>26.396699999999999</v>
      </c>
      <c r="B49">
        <f t="shared" si="1"/>
        <v>18.502399999999998</v>
      </c>
      <c r="C49">
        <v>692.476</v>
      </c>
      <c r="D49">
        <v>104.932</v>
      </c>
      <c r="E49">
        <v>166.03700000000001</v>
      </c>
      <c r="I49">
        <f t="shared" si="2"/>
        <v>0.94604643397808363</v>
      </c>
      <c r="J49">
        <f t="shared" si="3"/>
        <v>0.64985566951570484</v>
      </c>
      <c r="K49" s="4">
        <f t="shared" si="0"/>
        <v>0.96312293206739918</v>
      </c>
      <c r="L49" s="3">
        <f t="shared" si="4"/>
        <v>0.98226965891814055</v>
      </c>
      <c r="M49" s="3">
        <f t="shared" si="5"/>
        <v>0.67473802967265251</v>
      </c>
      <c r="R49">
        <f t="shared" si="6"/>
        <v>0.96530946763185921</v>
      </c>
      <c r="S49">
        <f t="shared" si="7"/>
        <v>0.72146950526224851</v>
      </c>
    </row>
    <row r="50" spans="1:19" x14ac:dyDescent="0.3">
      <c r="A50">
        <v>26.897400000000001</v>
      </c>
      <c r="B50">
        <f t="shared" si="1"/>
        <v>19.0031</v>
      </c>
      <c r="C50">
        <v>694.77800000000002</v>
      </c>
      <c r="D50">
        <v>108.932</v>
      </c>
      <c r="E50">
        <v>169.46299999999999</v>
      </c>
      <c r="I50">
        <f t="shared" si="2"/>
        <v>0.94919137891627292</v>
      </c>
      <c r="J50">
        <f t="shared" si="3"/>
        <v>0.6746281190836424</v>
      </c>
      <c r="K50" s="4">
        <f t="shared" si="0"/>
        <v>0.98299596738641182</v>
      </c>
      <c r="L50" s="3">
        <f t="shared" si="4"/>
        <v>0.96561065396837942</v>
      </c>
      <c r="M50" s="3">
        <f t="shared" si="5"/>
        <v>0.6862979518393576</v>
      </c>
      <c r="R50">
        <f t="shared" si="6"/>
        <v>0.91643402334725421</v>
      </c>
      <c r="S50">
        <f t="shared" si="7"/>
        <v>0.82085983921009198</v>
      </c>
    </row>
    <row r="51" spans="1:19" x14ac:dyDescent="0.3">
      <c r="A51">
        <v>27.396899999999999</v>
      </c>
      <c r="B51">
        <f t="shared" si="1"/>
        <v>19.502599999999997</v>
      </c>
      <c r="C51">
        <v>686.23800000000006</v>
      </c>
      <c r="D51">
        <v>109.81399999999999</v>
      </c>
      <c r="E51">
        <v>170.55600000000001</v>
      </c>
      <c r="I51">
        <f t="shared" si="2"/>
        <v>0.93752420699093142</v>
      </c>
      <c r="J51">
        <f t="shared" si="3"/>
        <v>0.6800904442133725</v>
      </c>
      <c r="K51" s="4">
        <f t="shared" si="0"/>
        <v>0.98933608052233746</v>
      </c>
      <c r="L51" s="3">
        <f t="shared" si="4"/>
        <v>0.94762965330845805</v>
      </c>
      <c r="M51" s="3">
        <f t="shared" si="5"/>
        <v>0.68742104690481598</v>
      </c>
      <c r="R51">
        <f t="shared" si="6"/>
        <v>0.8636800084114441</v>
      </c>
      <c r="S51">
        <f t="shared" si="7"/>
        <v>0.83051602823985771</v>
      </c>
    </row>
    <row r="52" spans="1:19" x14ac:dyDescent="0.3">
      <c r="A52">
        <v>27.897099999999998</v>
      </c>
      <c r="B52">
        <f t="shared" si="1"/>
        <v>20.002799999999997</v>
      </c>
      <c r="C52">
        <v>689.44399999999996</v>
      </c>
      <c r="D52">
        <v>109.42400000000001</v>
      </c>
      <c r="E52">
        <v>164.48099999999999</v>
      </c>
      <c r="I52">
        <f t="shared" si="2"/>
        <v>0.94190417809077265</v>
      </c>
      <c r="J52">
        <f t="shared" si="3"/>
        <v>0.67767513038049876</v>
      </c>
      <c r="K52" s="4">
        <f t="shared" si="0"/>
        <v>0.9540971168437028</v>
      </c>
      <c r="L52" s="3">
        <f t="shared" si="4"/>
        <v>0.98722044272257503</v>
      </c>
      <c r="M52" s="3">
        <f t="shared" si="5"/>
        <v>0.71027898357176711</v>
      </c>
      <c r="R52">
        <f t="shared" si="6"/>
        <v>0.97983445029009608</v>
      </c>
      <c r="S52">
        <f t="shared" si="7"/>
        <v>1.0270448565420358</v>
      </c>
    </row>
    <row r="53" spans="1:19" x14ac:dyDescent="0.3">
      <c r="A53">
        <v>28.397200000000002</v>
      </c>
      <c r="B53">
        <f t="shared" si="1"/>
        <v>20.5029</v>
      </c>
      <c r="C53">
        <v>674.90499999999997</v>
      </c>
      <c r="D53">
        <v>107.136</v>
      </c>
      <c r="E53">
        <v>163.648</v>
      </c>
      <c r="I53">
        <f t="shared" si="2"/>
        <v>0.92204129605066243</v>
      </c>
      <c r="J53">
        <f t="shared" si="3"/>
        <v>0.66350528922763841</v>
      </c>
      <c r="K53" s="4">
        <f t="shared" si="0"/>
        <v>0.94926517334669824</v>
      </c>
      <c r="L53" s="3">
        <f t="shared" si="4"/>
        <v>0.97132110388074577</v>
      </c>
      <c r="M53" s="3">
        <f t="shared" si="5"/>
        <v>0.69896727264143255</v>
      </c>
      <c r="R53">
        <f t="shared" si="6"/>
        <v>0.93318777168778111</v>
      </c>
      <c r="S53">
        <f t="shared" si="7"/>
        <v>0.92978860250551987</v>
      </c>
    </row>
    <row r="54" spans="1:19" x14ac:dyDescent="0.3">
      <c r="A54">
        <v>28.897200000000002</v>
      </c>
      <c r="B54">
        <f t="shared" si="1"/>
        <v>21.0029</v>
      </c>
      <c r="C54">
        <v>681.31700000000001</v>
      </c>
      <c r="D54">
        <v>110.30500000000001</v>
      </c>
      <c r="E54">
        <v>165.59299999999999</v>
      </c>
      <c r="I54">
        <f t="shared" si="2"/>
        <v>0.93080123825034511</v>
      </c>
      <c r="J54">
        <f t="shared" si="3"/>
        <v>0.68313126239783695</v>
      </c>
      <c r="K54" s="4">
        <f t="shared" si="0"/>
        <v>0.96054744237631862</v>
      </c>
      <c r="L54" s="3">
        <f t="shared" si="4"/>
        <v>0.96903203026350915</v>
      </c>
      <c r="M54" s="3">
        <f t="shared" si="5"/>
        <v>0.71118950742071008</v>
      </c>
      <c r="R54">
        <f t="shared" si="6"/>
        <v>0.92647191498565484</v>
      </c>
      <c r="S54">
        <f t="shared" si="7"/>
        <v>1.0348733927647595</v>
      </c>
    </row>
    <row r="55" spans="1:19" x14ac:dyDescent="0.3">
      <c r="A55">
        <v>29.396599999999999</v>
      </c>
      <c r="B55">
        <f t="shared" si="1"/>
        <v>21.502299999999998</v>
      </c>
      <c r="C55">
        <v>672.92100000000005</v>
      </c>
      <c r="D55">
        <v>113.932</v>
      </c>
      <c r="E55">
        <v>171.27799999999999</v>
      </c>
      <c r="I55">
        <f t="shared" si="2"/>
        <v>0.91933079615606328</v>
      </c>
      <c r="J55">
        <f t="shared" si="3"/>
        <v>0.70559368104356424</v>
      </c>
      <c r="K55" s="4">
        <f t="shared" si="0"/>
        <v>0.9935241515965717</v>
      </c>
      <c r="L55" s="3">
        <f t="shared" si="4"/>
        <v>0.92532304793871256</v>
      </c>
      <c r="M55" s="3">
        <f t="shared" si="5"/>
        <v>0.71019278183594281</v>
      </c>
      <c r="R55">
        <f t="shared" si="6"/>
        <v>0.7982352083639298</v>
      </c>
      <c r="S55">
        <f t="shared" si="7"/>
        <v>1.0263037080129274</v>
      </c>
    </row>
    <row r="56" spans="1:19" x14ac:dyDescent="0.3">
      <c r="A56">
        <v>29.897400000000001</v>
      </c>
      <c r="B56">
        <f t="shared" si="1"/>
        <v>22.0031</v>
      </c>
      <c r="C56">
        <v>686.31700000000001</v>
      </c>
      <c r="D56">
        <v>108.712</v>
      </c>
      <c r="E56">
        <v>165.315</v>
      </c>
      <c r="I56">
        <f t="shared" si="2"/>
        <v>0.93763213516213761</v>
      </c>
      <c r="J56">
        <f t="shared" si="3"/>
        <v>0.67326563435740583</v>
      </c>
      <c r="K56" s="4">
        <f t="shared" si="0"/>
        <v>0.95893486099316472</v>
      </c>
      <c r="L56" s="3">
        <f t="shared" si="4"/>
        <v>0.97778501262435702</v>
      </c>
      <c r="M56" s="3">
        <f t="shared" si="5"/>
        <v>0.70209736004394241</v>
      </c>
      <c r="R56">
        <f t="shared" si="6"/>
        <v>0.95215207433442095</v>
      </c>
      <c r="S56">
        <f t="shared" si="7"/>
        <v>0.95670058579874873</v>
      </c>
    </row>
    <row r="57" spans="1:19" x14ac:dyDescent="0.3">
      <c r="A57">
        <v>30.396599999999999</v>
      </c>
      <c r="B57">
        <f t="shared" si="1"/>
        <v>22.502299999999998</v>
      </c>
      <c r="C57">
        <v>679</v>
      </c>
      <c r="D57">
        <v>109.678</v>
      </c>
      <c r="E57">
        <v>167.05600000000001</v>
      </c>
      <c r="I57">
        <f t="shared" si="2"/>
        <v>0.92763580062142048</v>
      </c>
      <c r="J57">
        <f t="shared" si="3"/>
        <v>0.67924818092806272</v>
      </c>
      <c r="K57" s="4">
        <f t="shared" si="0"/>
        <v>0.96903379692147806</v>
      </c>
      <c r="L57" s="3">
        <f t="shared" si="4"/>
        <v>0.95727909962317637</v>
      </c>
      <c r="M57" s="3">
        <f t="shared" si="5"/>
        <v>0.70095406691280038</v>
      </c>
      <c r="R57">
        <f t="shared" si="6"/>
        <v>0.89199028127315327</v>
      </c>
      <c r="S57">
        <f t="shared" si="7"/>
        <v>0.94687073707954483</v>
      </c>
    </row>
    <row r="58" spans="1:19" x14ac:dyDescent="0.3">
      <c r="A58">
        <v>30.897500000000001</v>
      </c>
      <c r="B58">
        <f t="shared" si="1"/>
        <v>23.0032</v>
      </c>
      <c r="C58">
        <v>714.06299999999999</v>
      </c>
      <c r="D58">
        <v>111.136</v>
      </c>
      <c r="E58">
        <v>168.333</v>
      </c>
      <c r="I58">
        <f t="shared" si="2"/>
        <v>0.97553814830505647</v>
      </c>
      <c r="J58">
        <f t="shared" si="3"/>
        <v>0.68827773879557586</v>
      </c>
      <c r="K58" s="4">
        <f t="shared" si="0"/>
        <v>0.97644123010956296</v>
      </c>
      <c r="L58" s="3">
        <f t="shared" si="4"/>
        <v>0.99907512938141174</v>
      </c>
      <c r="M58" s="3">
        <f t="shared" si="5"/>
        <v>0.70488393727326193</v>
      </c>
      <c r="R58">
        <f t="shared" si="6"/>
        <v>1.0146146234788753</v>
      </c>
      <c r="S58">
        <f t="shared" si="7"/>
        <v>0.98065912439438219</v>
      </c>
    </row>
    <row r="59" spans="1:19" x14ac:dyDescent="0.3">
      <c r="A59">
        <v>31.396999999999998</v>
      </c>
      <c r="B59">
        <f t="shared" si="1"/>
        <v>23.502699999999997</v>
      </c>
      <c r="C59">
        <v>690.41300000000001</v>
      </c>
      <c r="D59">
        <v>112.729</v>
      </c>
      <c r="E59">
        <v>168.44399999999999</v>
      </c>
      <c r="I59">
        <f t="shared" si="2"/>
        <v>0.94322800591227807</v>
      </c>
      <c r="J59">
        <f t="shared" si="3"/>
        <v>0.69814336683600708</v>
      </c>
      <c r="K59" s="4">
        <f t="shared" si="0"/>
        <v>0.97708510253233294</v>
      </c>
      <c r="L59" s="3">
        <f t="shared" si="4"/>
        <v>0.96534887643634448</v>
      </c>
      <c r="M59" s="3">
        <f t="shared" si="5"/>
        <v>0.71451643774591755</v>
      </c>
      <c r="R59">
        <f t="shared" si="6"/>
        <v>0.91566600069400927</v>
      </c>
      <c r="S59">
        <f t="shared" si="7"/>
        <v>1.0634777995483933</v>
      </c>
    </row>
    <row r="60" spans="1:19" x14ac:dyDescent="0.3">
      <c r="A60">
        <v>31.897200000000002</v>
      </c>
      <c r="B60">
        <f t="shared" si="1"/>
        <v>24.0029</v>
      </c>
      <c r="C60">
        <v>702.82500000000005</v>
      </c>
      <c r="D60">
        <v>108.271</v>
      </c>
      <c r="E60">
        <v>166.815</v>
      </c>
      <c r="I60">
        <f t="shared" si="2"/>
        <v>0.96018502440611175</v>
      </c>
      <c r="J60">
        <f t="shared" si="3"/>
        <v>0.67053447179254067</v>
      </c>
      <c r="K60" s="4">
        <f t="shared" si="0"/>
        <v>0.96763583967924727</v>
      </c>
      <c r="L60" s="3">
        <f t="shared" si="4"/>
        <v>0.99229998004662034</v>
      </c>
      <c r="M60" s="3">
        <f t="shared" si="5"/>
        <v>0.69296159184720774</v>
      </c>
      <c r="R60">
        <f t="shared" si="6"/>
        <v>0.99473717972811748</v>
      </c>
      <c r="S60">
        <f t="shared" si="7"/>
        <v>0.87815273410483419</v>
      </c>
    </row>
    <row r="61" spans="1:19" x14ac:dyDescent="0.3">
      <c r="A61">
        <v>32.396799999999999</v>
      </c>
      <c r="B61">
        <f t="shared" si="1"/>
        <v>24.502499999999998</v>
      </c>
      <c r="C61">
        <v>705.69799999999998</v>
      </c>
      <c r="D61">
        <v>106.797</v>
      </c>
      <c r="E61">
        <v>164.22200000000001</v>
      </c>
      <c r="I61">
        <f t="shared" si="2"/>
        <v>0.96411005777162762</v>
      </c>
      <c r="J61">
        <f t="shared" si="3"/>
        <v>0.66140582412675575</v>
      </c>
      <c r="K61" s="4">
        <f t="shared" si="0"/>
        <v>0.95259474785723919</v>
      </c>
      <c r="L61" s="3">
        <f t="shared" si="4"/>
        <v>1.0120883617511969</v>
      </c>
      <c r="M61" s="3">
        <f t="shared" si="5"/>
        <v>0.69432025067796976</v>
      </c>
      <c r="R61">
        <f t="shared" si="6"/>
        <v>1.0527938253922029</v>
      </c>
      <c r="S61">
        <f t="shared" si="7"/>
        <v>0.88983426214310757</v>
      </c>
    </row>
    <row r="62" spans="1:19" x14ac:dyDescent="0.3">
      <c r="A62">
        <v>32.896999999999998</v>
      </c>
      <c r="B62">
        <f t="shared" si="1"/>
        <v>25.002699999999997</v>
      </c>
      <c r="C62">
        <v>692.60299999999995</v>
      </c>
      <c r="D62">
        <v>108.69499999999999</v>
      </c>
      <c r="E62">
        <v>165.37</v>
      </c>
      <c r="I62">
        <f t="shared" si="2"/>
        <v>0.94621993875964305</v>
      </c>
      <c r="J62">
        <f t="shared" si="3"/>
        <v>0.67316035144674202</v>
      </c>
      <c r="K62" s="4">
        <f t="shared" si="0"/>
        <v>0.95925389687832108</v>
      </c>
      <c r="L62" s="3">
        <f t="shared" si="4"/>
        <v>0.98641240013609099</v>
      </c>
      <c r="M62" s="3">
        <f t="shared" si="5"/>
        <v>0.70175409621727158</v>
      </c>
      <c r="R62">
        <f t="shared" si="6"/>
        <v>0.97746375404897068</v>
      </c>
      <c r="S62">
        <f t="shared" si="7"/>
        <v>0.95374925914853192</v>
      </c>
    </row>
    <row r="63" spans="1:19" x14ac:dyDescent="0.3">
      <c r="A63">
        <v>33.396599999999999</v>
      </c>
      <c r="B63">
        <f t="shared" si="1"/>
        <v>25.502299999999998</v>
      </c>
      <c r="C63">
        <v>700.63499999999999</v>
      </c>
      <c r="D63">
        <v>113.81399999999999</v>
      </c>
      <c r="E63">
        <v>168.648</v>
      </c>
      <c r="I63">
        <f t="shared" si="2"/>
        <v>0.95719309155874666</v>
      </c>
      <c r="J63">
        <f t="shared" si="3"/>
        <v>0.70486289378131006</v>
      </c>
      <c r="K63" s="4">
        <f t="shared" si="0"/>
        <v>0.9782684356336403</v>
      </c>
      <c r="L63" s="3">
        <f t="shared" si="4"/>
        <v>0.97845648156761511</v>
      </c>
      <c r="M63" s="3">
        <f t="shared" si="5"/>
        <v>0.72052094098769415</v>
      </c>
      <c r="R63">
        <f t="shared" si="6"/>
        <v>0.95412208052770953</v>
      </c>
      <c r="S63">
        <f t="shared" si="7"/>
        <v>1.115103543544314</v>
      </c>
    </row>
    <row r="64" spans="1:19" x14ac:dyDescent="0.3">
      <c r="A64">
        <v>33.897100000000002</v>
      </c>
      <c r="B64">
        <f t="shared" si="1"/>
        <v>26.002800000000001</v>
      </c>
      <c r="C64">
        <v>708.92100000000005</v>
      </c>
      <c r="D64">
        <v>111.64400000000001</v>
      </c>
      <c r="E64">
        <v>168.25899999999999</v>
      </c>
      <c r="I64">
        <f t="shared" si="2"/>
        <v>0.96851325392096921</v>
      </c>
      <c r="J64">
        <f t="shared" si="3"/>
        <v>0.691423839890704</v>
      </c>
      <c r="K64" s="4">
        <f t="shared" si="0"/>
        <v>0.97601198182771609</v>
      </c>
      <c r="L64" s="3">
        <f t="shared" si="4"/>
        <v>0.99231697146514075</v>
      </c>
      <c r="M64" s="3">
        <f t="shared" si="5"/>
        <v>0.70841736860229743</v>
      </c>
      <c r="R64">
        <f t="shared" si="6"/>
        <v>0.99478703043238914</v>
      </c>
      <c r="S64">
        <f t="shared" si="7"/>
        <v>1.0110389932819173</v>
      </c>
    </row>
    <row r="65" spans="1:19" x14ac:dyDescent="0.3">
      <c r="A65">
        <v>34.397100000000002</v>
      </c>
      <c r="B65">
        <f t="shared" si="1"/>
        <v>26.502800000000001</v>
      </c>
      <c r="C65">
        <v>693.60299999999995</v>
      </c>
      <c r="D65">
        <v>111.15300000000001</v>
      </c>
      <c r="E65">
        <v>168</v>
      </c>
      <c r="I65">
        <f t="shared" si="2"/>
        <v>0.94758611814200155</v>
      </c>
      <c r="J65">
        <f t="shared" si="3"/>
        <v>0.68838302170623966</v>
      </c>
      <c r="K65" s="4">
        <f t="shared" si="0"/>
        <v>0.97450961284125259</v>
      </c>
      <c r="L65" s="3">
        <f t="shared" si="4"/>
        <v>0.97237226360368711</v>
      </c>
      <c r="M65" s="3">
        <f t="shared" si="5"/>
        <v>0.70638915474544128</v>
      </c>
      <c r="R65">
        <f t="shared" si="6"/>
        <v>0.93627174330720109</v>
      </c>
      <c r="S65">
        <f t="shared" si="7"/>
        <v>0.99360073983664909</v>
      </c>
    </row>
    <row r="66" spans="1:19" x14ac:dyDescent="0.3">
      <c r="A66">
        <v>34.896900000000002</v>
      </c>
      <c r="B66">
        <f t="shared" si="1"/>
        <v>27.002600000000001</v>
      </c>
      <c r="C66">
        <v>687.23800000000006</v>
      </c>
      <c r="D66">
        <v>112.91500000000001</v>
      </c>
      <c r="E66">
        <v>168.57400000000001</v>
      </c>
      <c r="I66">
        <f t="shared" si="2"/>
        <v>0.93889038637328992</v>
      </c>
      <c r="J66">
        <f t="shared" si="3"/>
        <v>0.69929528574091615</v>
      </c>
      <c r="K66" s="4">
        <f t="shared" ref="K66:K76" si="8">E66/$H$2</f>
        <v>0.97783918735179365</v>
      </c>
      <c r="L66" s="3">
        <f t="shared" si="4"/>
        <v>0.96016850062638037</v>
      </c>
      <c r="M66" s="3">
        <f t="shared" si="5"/>
        <v>0.71514344565670718</v>
      </c>
      <c r="R66">
        <f t="shared" si="6"/>
        <v>0.90046742370596133</v>
      </c>
      <c r="S66">
        <f t="shared" si="7"/>
        <v>1.0688687117658484</v>
      </c>
    </row>
    <row r="67" spans="1:19" x14ac:dyDescent="0.3">
      <c r="A67">
        <v>35.396999999999998</v>
      </c>
      <c r="B67">
        <f t="shared" ref="B67:B76" si="9">A67-$A$12</f>
        <v>27.502699999999997</v>
      </c>
      <c r="C67">
        <v>710.15899999999999</v>
      </c>
      <c r="D67">
        <v>110.932</v>
      </c>
      <c r="E67">
        <v>167.55600000000001</v>
      </c>
      <c r="I67">
        <f t="shared" ref="I67:I76" si="10">C67/$F$2</f>
        <v>0.97020458399632892</v>
      </c>
      <c r="J67">
        <f t="shared" ref="J67:J76" si="11">D67/$G$2</f>
        <v>0.68701434386761118</v>
      </c>
      <c r="K67" s="4">
        <f t="shared" si="8"/>
        <v>0.97193412315017225</v>
      </c>
      <c r="L67" s="3">
        <f t="shared" ref="L67:L76" si="12">I67/K67</f>
        <v>0.99822051812705404</v>
      </c>
      <c r="M67" s="3">
        <f t="shared" ref="M67:M76" si="13">J67/K67</f>
        <v>0.70685278714251043</v>
      </c>
      <c r="R67">
        <f t="shared" ref="R67:R76" si="14">(L67-$L$12)/($N$12-$L$12)</f>
        <v>1.0121073005701349</v>
      </c>
      <c r="S67">
        <f t="shared" ref="S67:S76" si="15">(M67-$M$12)/($O$12-$M$12)</f>
        <v>0.99758697591239565</v>
      </c>
    </row>
    <row r="68" spans="1:19" x14ac:dyDescent="0.3">
      <c r="A68">
        <v>35.897399999999998</v>
      </c>
      <c r="B68">
        <f t="shared" si="9"/>
        <v>28.003099999999996</v>
      </c>
      <c r="C68">
        <v>697.88900000000001</v>
      </c>
      <c r="D68">
        <v>110.08499999999999</v>
      </c>
      <c r="E68">
        <v>165.11099999999999</v>
      </c>
      <c r="I68">
        <f t="shared" si="10"/>
        <v>0.95344156297479021</v>
      </c>
      <c r="J68">
        <f t="shared" si="11"/>
        <v>0.68176877767160027</v>
      </c>
      <c r="K68" s="4">
        <f t="shared" si="8"/>
        <v>0.95775152789185747</v>
      </c>
      <c r="L68" s="3">
        <f t="shared" si="12"/>
        <v>0.99549991329530518</v>
      </c>
      <c r="M68" s="3">
        <f t="shared" si="13"/>
        <v>0.71184305930815572</v>
      </c>
      <c r="R68">
        <f t="shared" si="14"/>
        <v>1.004125385067044</v>
      </c>
      <c r="S68">
        <f t="shared" si="15"/>
        <v>1.0404925257838862</v>
      </c>
    </row>
    <row r="69" spans="1:19" x14ac:dyDescent="0.3">
      <c r="A69">
        <v>36.396799999999999</v>
      </c>
      <c r="B69">
        <f t="shared" si="9"/>
        <v>28.502499999999998</v>
      </c>
      <c r="C69">
        <v>703</v>
      </c>
      <c r="D69">
        <v>109.881</v>
      </c>
      <c r="E69">
        <v>163.315</v>
      </c>
      <c r="I69">
        <f t="shared" si="10"/>
        <v>0.96042410579802451</v>
      </c>
      <c r="J69">
        <f t="shared" si="11"/>
        <v>0.68050538274363559</v>
      </c>
      <c r="K69" s="4">
        <f t="shared" si="8"/>
        <v>0.94733355607838787</v>
      </c>
      <c r="L69" s="3">
        <f t="shared" si="12"/>
        <v>1.0138183110221775</v>
      </c>
      <c r="M69" s="3">
        <f t="shared" si="13"/>
        <v>0.71833767354412881</v>
      </c>
      <c r="R69">
        <f t="shared" si="14"/>
        <v>1.0578692809469608</v>
      </c>
      <c r="S69">
        <f t="shared" si="15"/>
        <v>1.096332164534652</v>
      </c>
    </row>
    <row r="70" spans="1:19" x14ac:dyDescent="0.3">
      <c r="A70">
        <v>36.896999999999998</v>
      </c>
      <c r="B70">
        <f t="shared" si="9"/>
        <v>29.002699999999997</v>
      </c>
      <c r="C70">
        <v>701.82500000000005</v>
      </c>
      <c r="D70">
        <v>109.203</v>
      </c>
      <c r="E70">
        <v>162.72200000000001</v>
      </c>
      <c r="I70">
        <f t="shared" si="10"/>
        <v>0.95881884502375325</v>
      </c>
      <c r="J70">
        <f t="shared" si="11"/>
        <v>0.67630645254187016</v>
      </c>
      <c r="K70" s="4">
        <f t="shared" si="8"/>
        <v>0.94389376917115664</v>
      </c>
      <c r="L70" s="3">
        <f t="shared" si="12"/>
        <v>1.015812241101774</v>
      </c>
      <c r="M70" s="3">
        <f t="shared" si="13"/>
        <v>0.71650695727734515</v>
      </c>
      <c r="R70">
        <f t="shared" si="14"/>
        <v>1.0637192232938546</v>
      </c>
      <c r="S70">
        <f t="shared" si="15"/>
        <v>1.0805919633035879</v>
      </c>
    </row>
    <row r="71" spans="1:19" x14ac:dyDescent="0.3">
      <c r="A71">
        <v>37.396599999999999</v>
      </c>
      <c r="B71">
        <f t="shared" si="9"/>
        <v>29.502299999999998</v>
      </c>
      <c r="C71">
        <v>704.60299999999995</v>
      </c>
      <c r="D71">
        <v>108.373</v>
      </c>
      <c r="E71">
        <v>166.42599999999999</v>
      </c>
      <c r="I71">
        <f t="shared" si="10"/>
        <v>0.96261409134794507</v>
      </c>
      <c r="J71">
        <f t="shared" si="11"/>
        <v>0.67116616925652317</v>
      </c>
      <c r="K71" s="4">
        <f t="shared" si="8"/>
        <v>0.96537938587332317</v>
      </c>
      <c r="L71" s="3">
        <f t="shared" si="12"/>
        <v>0.99713553597078675</v>
      </c>
      <c r="M71" s="3">
        <f t="shared" si="13"/>
        <v>0.69523565458087522</v>
      </c>
      <c r="R71">
        <f t="shared" si="14"/>
        <v>1.0089240981466798</v>
      </c>
      <c r="S71">
        <f t="shared" si="15"/>
        <v>0.8977047562774868</v>
      </c>
    </row>
    <row r="72" spans="1:19" x14ac:dyDescent="0.3">
      <c r="A72">
        <v>37.897300000000001</v>
      </c>
      <c r="B72">
        <f t="shared" si="9"/>
        <v>30.003</v>
      </c>
      <c r="C72">
        <v>714.36500000000001</v>
      </c>
      <c r="D72">
        <v>108.441</v>
      </c>
      <c r="E72">
        <v>166.42599999999999</v>
      </c>
      <c r="I72">
        <f t="shared" si="10"/>
        <v>0.97595073447852876</v>
      </c>
      <c r="J72">
        <f t="shared" si="11"/>
        <v>0.67158730089917806</v>
      </c>
      <c r="K72" s="4">
        <f t="shared" si="8"/>
        <v>0.96537938587332317</v>
      </c>
      <c r="L72" s="3">
        <f t="shared" si="12"/>
        <v>1.0109504602645336</v>
      </c>
      <c r="M72" s="3">
        <f t="shared" si="13"/>
        <v>0.69567188892440635</v>
      </c>
      <c r="R72">
        <f t="shared" si="14"/>
        <v>1.0494553642487852</v>
      </c>
      <c r="S72">
        <f t="shared" si="15"/>
        <v>0.90145542833719627</v>
      </c>
    </row>
    <row r="73" spans="1:19" x14ac:dyDescent="0.3">
      <c r="A73">
        <v>38.396700000000003</v>
      </c>
      <c r="B73">
        <f t="shared" si="9"/>
        <v>30.502400000000002</v>
      </c>
      <c r="C73">
        <v>710.06299999999999</v>
      </c>
      <c r="D73">
        <v>113</v>
      </c>
      <c r="E73">
        <v>169.59299999999999</v>
      </c>
      <c r="I73">
        <f t="shared" si="10"/>
        <v>0.97007343077562247</v>
      </c>
      <c r="J73">
        <f t="shared" si="11"/>
        <v>0.69982170029423485</v>
      </c>
      <c r="K73" s="4">
        <f t="shared" si="8"/>
        <v>0.98375005220587231</v>
      </c>
      <c r="L73" s="3">
        <f t="shared" si="12"/>
        <v>0.98609746307043888</v>
      </c>
      <c r="M73" s="3">
        <f t="shared" si="13"/>
        <v>0.71138161438977088</v>
      </c>
      <c r="R73">
        <f t="shared" si="14"/>
        <v>0.9765397679494493</v>
      </c>
      <c r="S73">
        <f t="shared" si="15"/>
        <v>1.0365250972947133</v>
      </c>
    </row>
    <row r="74" spans="1:19" x14ac:dyDescent="0.3">
      <c r="A74">
        <v>38.896900000000002</v>
      </c>
      <c r="B74">
        <f t="shared" si="9"/>
        <v>31.002600000000001</v>
      </c>
      <c r="C74">
        <v>697.06299999999999</v>
      </c>
      <c r="D74">
        <v>106.271</v>
      </c>
      <c r="E74">
        <v>162.91499999999999</v>
      </c>
      <c r="I74">
        <f t="shared" si="10"/>
        <v>0.95231309880496207</v>
      </c>
      <c r="J74">
        <f t="shared" si="11"/>
        <v>0.65814824700857188</v>
      </c>
      <c r="K74" s="4">
        <f t="shared" si="8"/>
        <v>0.94501329509543253</v>
      </c>
      <c r="L74" s="3">
        <f t="shared" si="12"/>
        <v>1.007724551334267</v>
      </c>
      <c r="M74" s="3">
        <f t="shared" si="13"/>
        <v>0.69644337325657257</v>
      </c>
      <c r="R74">
        <f t="shared" si="14"/>
        <v>1.0399909494974877</v>
      </c>
      <c r="S74">
        <f t="shared" si="15"/>
        <v>0.90808852536879903</v>
      </c>
    </row>
    <row r="75" spans="1:19" x14ac:dyDescent="0.3">
      <c r="A75">
        <v>39.397100000000002</v>
      </c>
      <c r="B75">
        <f t="shared" si="9"/>
        <v>31.502800000000001</v>
      </c>
      <c r="C75">
        <v>690.58699999999999</v>
      </c>
      <c r="D75">
        <v>108.136</v>
      </c>
      <c r="E75">
        <v>166.185</v>
      </c>
      <c r="I75">
        <f t="shared" si="10"/>
        <v>0.94346572112480842</v>
      </c>
      <c r="J75">
        <f t="shared" si="11"/>
        <v>0.6696984016196228</v>
      </c>
      <c r="K75" s="4">
        <f t="shared" si="8"/>
        <v>0.9639814286310926</v>
      </c>
      <c r="L75" s="3">
        <f t="shared" si="12"/>
        <v>0.97871773573955922</v>
      </c>
      <c r="M75" s="3">
        <f t="shared" si="13"/>
        <v>0.69472126923713862</v>
      </c>
      <c r="R75">
        <f t="shared" si="14"/>
        <v>0.95488856770767505</v>
      </c>
      <c r="S75">
        <f t="shared" si="15"/>
        <v>0.89328215460642135</v>
      </c>
    </row>
    <row r="76" spans="1:19" x14ac:dyDescent="0.3">
      <c r="A76">
        <v>39.897300000000001</v>
      </c>
      <c r="B76">
        <f t="shared" si="9"/>
        <v>32.003</v>
      </c>
      <c r="C76">
        <v>695.84100000000001</v>
      </c>
      <c r="D76">
        <v>113.254</v>
      </c>
      <c r="E76">
        <v>168.8</v>
      </c>
      <c r="I76">
        <f t="shared" si="10"/>
        <v>0.95064362759971999</v>
      </c>
      <c r="J76">
        <f t="shared" si="11"/>
        <v>0.70139475084179892</v>
      </c>
      <c r="K76" s="4">
        <f t="shared" si="8"/>
        <v>0.9791501348071634</v>
      </c>
      <c r="L76" s="3">
        <f t="shared" si="12"/>
        <v>0.97088647982154697</v>
      </c>
      <c r="M76" s="3">
        <f t="shared" si="13"/>
        <v>0.71633013764526887</v>
      </c>
      <c r="R76">
        <f t="shared" si="14"/>
        <v>0.93191263886597198</v>
      </c>
      <c r="S76">
        <f t="shared" si="15"/>
        <v>1.0790716968150111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6A84-956B-4AF6-A48C-1C6E5D2ECD11}">
  <dimension ref="A1:S76"/>
  <sheetViews>
    <sheetView topLeftCell="B1" workbookViewId="0">
      <selection activeCell="N12" sqref="N12:Q12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-7.9440999999999997</v>
      </c>
      <c r="C2">
        <v>490.07900000000001</v>
      </c>
      <c r="D2">
        <v>143.23699999999999</v>
      </c>
      <c r="E2">
        <v>159.929</v>
      </c>
      <c r="F2">
        <f>AVERAGE(C2:C11)</f>
        <v>488.11259999999993</v>
      </c>
      <c r="G2">
        <f>AVERAGE(D2:D11)</f>
        <v>143.0744</v>
      </c>
      <c r="H2">
        <f>AVERAGE(E2:E11)</f>
        <v>159.1052</v>
      </c>
      <c r="I2">
        <f>C2/$F$2</f>
        <v>1.0040285786517293</v>
      </c>
      <c r="J2">
        <f>D2/$G$2</f>
        <v>1.0011364716539086</v>
      </c>
      <c r="K2" s="4">
        <f t="shared" ref="K2:K65" si="0">E2/$H$2</f>
        <v>1.0051777063226093</v>
      </c>
      <c r="L2" s="3">
        <f>I2/K2</f>
        <v>0.99885679152685947</v>
      </c>
      <c r="M2" s="3">
        <f>J2/K2</f>
        <v>0.9959795818756414</v>
      </c>
      <c r="R2">
        <f>(L2-$L$12)/($N$12-$L$12)</f>
        <v>0.91337687100657194</v>
      </c>
      <c r="S2">
        <f>(M2-$M$12)/($O$12-$M$12)</f>
        <v>4.0466674292056082</v>
      </c>
    </row>
    <row r="3" spans="1:19" x14ac:dyDescent="0.3">
      <c r="A3">
        <v>0.50280000000000002</v>
      </c>
      <c r="B3">
        <f t="shared" ref="B3:B66" si="1">A3-$A$12</f>
        <v>-7.4413</v>
      </c>
      <c r="C3">
        <v>489.38099999999997</v>
      </c>
      <c r="D3">
        <v>138.16900000000001</v>
      </c>
      <c r="E3">
        <v>160.714</v>
      </c>
      <c r="I3">
        <f t="shared" ref="I3:I66" si="2">C3/$F$2</f>
        <v>1.0025985807373137</v>
      </c>
      <c r="J3">
        <f t="shared" ref="J3:J66" si="3">D3/$G$2</f>
        <v>0.96571434162925029</v>
      </c>
      <c r="K3" s="4">
        <f t="shared" si="0"/>
        <v>1.0101115488368702</v>
      </c>
      <c r="L3" s="3">
        <f t="shared" ref="L3:L66" si="4">I3/K3</f>
        <v>0.99256223918218978</v>
      </c>
      <c r="M3" s="3">
        <f t="shared" ref="M3:M66" si="5">J3/K3</f>
        <v>0.95604722343909176</v>
      </c>
      <c r="R3">
        <f t="shared" ref="R3:R66" si="6">(L3-$L$12)/($N$12-$L$12)</f>
        <v>0.90046831953739903</v>
      </c>
      <c r="S3">
        <f t="shared" ref="S3:S66" si="7">(M3-$M$12)/($O$12-$M$12)</f>
        <v>3.673169239606402</v>
      </c>
    </row>
    <row r="4" spans="1:19" x14ac:dyDescent="0.3">
      <c r="A4">
        <v>1.0029999999999999</v>
      </c>
      <c r="B4">
        <f t="shared" si="1"/>
        <v>-6.9410999999999996</v>
      </c>
      <c r="C4">
        <v>487.44400000000002</v>
      </c>
      <c r="D4">
        <v>144.881</v>
      </c>
      <c r="E4">
        <v>162.589</v>
      </c>
      <c r="I4">
        <f t="shared" si="2"/>
        <v>0.99863023408942952</v>
      </c>
      <c r="J4">
        <f t="shared" si="3"/>
        <v>1.0126269968631705</v>
      </c>
      <c r="K4" s="4">
        <f t="shared" si="0"/>
        <v>1.0218962045237994</v>
      </c>
      <c r="L4" s="3">
        <f t="shared" si="4"/>
        <v>0.97723255030073064</v>
      </c>
      <c r="M4" s="3">
        <f t="shared" si="5"/>
        <v>0.99092940396529972</v>
      </c>
      <c r="R4">
        <f t="shared" si="6"/>
        <v>0.86903096432971794</v>
      </c>
      <c r="S4">
        <f t="shared" si="7"/>
        <v>3.9994317441492488</v>
      </c>
    </row>
    <row r="5" spans="1:19" x14ac:dyDescent="0.3">
      <c r="A5">
        <v>1.5025999999999999</v>
      </c>
      <c r="B5">
        <f t="shared" si="1"/>
        <v>-6.4414999999999996</v>
      </c>
      <c r="C5">
        <v>489.69799999999998</v>
      </c>
      <c r="D5">
        <v>139.96600000000001</v>
      </c>
      <c r="E5">
        <v>159.446</v>
      </c>
      <c r="I5">
        <f t="shared" si="2"/>
        <v>1.0032480210508805</v>
      </c>
      <c r="J5">
        <f t="shared" si="3"/>
        <v>0.97827424053499445</v>
      </c>
      <c r="K5" s="4">
        <f t="shared" si="0"/>
        <v>1.0021419790176562</v>
      </c>
      <c r="L5" s="3">
        <f t="shared" si="4"/>
        <v>1.0011036779781528</v>
      </c>
      <c r="M5" s="3">
        <f t="shared" si="5"/>
        <v>0.97618327643947422</v>
      </c>
      <c r="R5">
        <f t="shared" si="6"/>
        <v>0.91798467277129447</v>
      </c>
      <c r="S5">
        <f t="shared" si="7"/>
        <v>3.8615072100086918</v>
      </c>
    </row>
    <row r="6" spans="1:19" x14ac:dyDescent="0.3">
      <c r="A6">
        <v>2.0028000000000001</v>
      </c>
      <c r="B6">
        <f t="shared" si="1"/>
        <v>-5.9413</v>
      </c>
      <c r="C6">
        <v>476.27</v>
      </c>
      <c r="D6">
        <v>144.27099999999999</v>
      </c>
      <c r="E6">
        <v>154.393</v>
      </c>
      <c r="I6">
        <f t="shared" si="2"/>
        <v>0.97573797521309646</v>
      </c>
      <c r="J6">
        <f t="shared" si="3"/>
        <v>1.0083634808183712</v>
      </c>
      <c r="K6" s="4">
        <f t="shared" si="0"/>
        <v>0.97038311758509466</v>
      </c>
      <c r="L6" s="3">
        <f t="shared" si="4"/>
        <v>1.0055182922404173</v>
      </c>
      <c r="M6" s="3">
        <f t="shared" si="5"/>
        <v>1.03913955482634</v>
      </c>
      <c r="R6">
        <f t="shared" si="6"/>
        <v>0.9270379417411273</v>
      </c>
      <c r="S6">
        <f t="shared" si="7"/>
        <v>4.4503543736131297</v>
      </c>
    </row>
    <row r="7" spans="1:19" x14ac:dyDescent="0.3">
      <c r="A7">
        <v>2.5024000000000002</v>
      </c>
      <c r="B7">
        <f t="shared" si="1"/>
        <v>-5.4416999999999991</v>
      </c>
      <c r="C7">
        <v>481.77800000000002</v>
      </c>
      <c r="D7">
        <v>144.18600000000001</v>
      </c>
      <c r="E7">
        <v>162.196</v>
      </c>
      <c r="I7">
        <f t="shared" si="2"/>
        <v>0.98702225674977473</v>
      </c>
      <c r="J7">
        <f t="shared" si="3"/>
        <v>1.0077693843203257</v>
      </c>
      <c r="K7" s="4">
        <f t="shared" si="0"/>
        <v>1.019426140691819</v>
      </c>
      <c r="L7" s="3">
        <f t="shared" si="4"/>
        <v>0.96821360307667426</v>
      </c>
      <c r="M7" s="3">
        <f t="shared" si="5"/>
        <v>0.98856537427656832</v>
      </c>
      <c r="R7">
        <f t="shared" si="6"/>
        <v>0.85053536081979186</v>
      </c>
      <c r="S7">
        <f t="shared" si="7"/>
        <v>3.9773203326656787</v>
      </c>
    </row>
    <row r="8" spans="1:19" x14ac:dyDescent="0.3">
      <c r="A8">
        <v>3.0032000000000001</v>
      </c>
      <c r="B8">
        <f t="shared" si="1"/>
        <v>-4.9408999999999992</v>
      </c>
      <c r="C8">
        <v>488.84100000000001</v>
      </c>
      <c r="D8">
        <v>146.08500000000001</v>
      </c>
      <c r="E8">
        <v>157.946</v>
      </c>
      <c r="I8">
        <f t="shared" si="2"/>
        <v>1.0014922786258746</v>
      </c>
      <c r="J8">
        <f t="shared" si="3"/>
        <v>1.0210421990237248</v>
      </c>
      <c r="K8" s="4">
        <f t="shared" si="0"/>
        <v>0.9927142544681129</v>
      </c>
      <c r="L8" s="3">
        <f t="shared" si="4"/>
        <v>1.0088424479836495</v>
      </c>
      <c r="M8" s="3">
        <f t="shared" si="5"/>
        <v>1.0285358494935581</v>
      </c>
      <c r="R8">
        <f t="shared" si="6"/>
        <v>0.93385495320650913</v>
      </c>
      <c r="S8">
        <f t="shared" si="7"/>
        <v>4.3511750388605774</v>
      </c>
    </row>
    <row r="9" spans="1:19" x14ac:dyDescent="0.3">
      <c r="A9">
        <v>3.5028000000000001</v>
      </c>
      <c r="B9">
        <f t="shared" si="1"/>
        <v>-4.4413</v>
      </c>
      <c r="C9">
        <v>495.58699999999999</v>
      </c>
      <c r="D9">
        <v>142.27099999999999</v>
      </c>
      <c r="E9">
        <v>160</v>
      </c>
      <c r="I9">
        <f t="shared" si="2"/>
        <v>1.0153128601884074</v>
      </c>
      <c r="J9">
        <f t="shared" si="3"/>
        <v>0.99438473968788255</v>
      </c>
      <c r="K9" s="4">
        <f t="shared" si="0"/>
        <v>1.0056239519512875</v>
      </c>
      <c r="L9" s="3">
        <f t="shared" si="4"/>
        <v>1.0096347230178038</v>
      </c>
      <c r="M9" s="3">
        <f t="shared" si="5"/>
        <v>0.98882364303117809</v>
      </c>
      <c r="R9">
        <f t="shared" si="6"/>
        <v>0.9354797110123253</v>
      </c>
      <c r="S9">
        <f t="shared" si="7"/>
        <v>3.9797359904443215</v>
      </c>
    </row>
    <row r="10" spans="1:19" x14ac:dyDescent="0.3">
      <c r="A10">
        <v>4.0030000000000001</v>
      </c>
      <c r="B10">
        <f t="shared" si="1"/>
        <v>-3.9410999999999996</v>
      </c>
      <c r="C10">
        <v>492.54</v>
      </c>
      <c r="D10">
        <v>141.559</v>
      </c>
      <c r="E10">
        <v>157.964</v>
      </c>
      <c r="I10">
        <f t="shared" si="2"/>
        <v>1.0090704480892321</v>
      </c>
      <c r="J10">
        <f t="shared" si="3"/>
        <v>0.98940830784542866</v>
      </c>
      <c r="K10" s="4">
        <f t="shared" si="0"/>
        <v>0.99282738716270746</v>
      </c>
      <c r="L10" s="3">
        <f t="shared" si="4"/>
        <v>1.0163604077975164</v>
      </c>
      <c r="M10" s="3">
        <f t="shared" si="5"/>
        <v>0.99655621978051012</v>
      </c>
      <c r="R10">
        <f t="shared" si="6"/>
        <v>0.94927240720268624</v>
      </c>
      <c r="S10">
        <f t="shared" si="7"/>
        <v>4.0520608800799156</v>
      </c>
    </row>
    <row r="11" spans="1:19" x14ac:dyDescent="0.3">
      <c r="A11">
        <v>4.5023999999999997</v>
      </c>
      <c r="B11">
        <f t="shared" si="1"/>
        <v>-3.4417</v>
      </c>
      <c r="C11">
        <v>489.50799999999998</v>
      </c>
      <c r="D11">
        <v>146.119</v>
      </c>
      <c r="E11">
        <v>155.875</v>
      </c>
      <c r="I11">
        <f t="shared" si="2"/>
        <v>1.0028587666042632</v>
      </c>
      <c r="J11">
        <f t="shared" si="3"/>
        <v>1.0212798376229431</v>
      </c>
      <c r="K11" s="4">
        <f t="shared" si="0"/>
        <v>0.97969770944004342</v>
      </c>
      <c r="L11" s="3">
        <f t="shared" si="4"/>
        <v>1.0236410241047289</v>
      </c>
      <c r="M11" s="3">
        <f t="shared" si="5"/>
        <v>1.0424438352588028</v>
      </c>
      <c r="R11">
        <f t="shared" si="6"/>
        <v>0.96420312906864036</v>
      </c>
      <c r="S11">
        <f t="shared" si="7"/>
        <v>4.4812602055692841</v>
      </c>
    </row>
    <row r="12" spans="1:19" x14ac:dyDescent="0.3">
      <c r="A12" s="1">
        <v>7.9440999999999997</v>
      </c>
      <c r="B12" s="1">
        <f t="shared" si="1"/>
        <v>0</v>
      </c>
      <c r="C12" s="1">
        <v>272.524</v>
      </c>
      <c r="D12" s="1">
        <v>81.305000000000007</v>
      </c>
      <c r="E12" s="1">
        <v>160.5</v>
      </c>
      <c r="F12" s="1"/>
      <c r="G12" s="1"/>
      <c r="H12" s="1"/>
      <c r="I12" s="1">
        <f t="shared" si="2"/>
        <v>0.55832199373669111</v>
      </c>
      <c r="J12" s="1">
        <f t="shared" si="3"/>
        <v>0.56827077380719404</v>
      </c>
      <c r="K12" s="1">
        <f t="shared" si="0"/>
        <v>1.0087665268011354</v>
      </c>
      <c r="L12" s="1">
        <f t="shared" si="4"/>
        <v>0.55346998428582539</v>
      </c>
      <c r="M12" s="1">
        <f t="shared" si="5"/>
        <v>0.56333230604827644</v>
      </c>
      <c r="N12" s="1">
        <f>AVERAGE(L66:L76)</f>
        <v>1.0410965285732923</v>
      </c>
      <c r="O12" s="1">
        <f>AVERAGE(M66:M76)</f>
        <v>0.67024676921983906</v>
      </c>
      <c r="P12" s="5">
        <f>(N12-L12)/(1-L12)</f>
        <v>1.092035310342045</v>
      </c>
      <c r="Q12" s="5">
        <f>(O12-M12)/(1-M12)</f>
        <v>0.2448417060671832</v>
      </c>
      <c r="R12">
        <f t="shared" si="6"/>
        <v>0</v>
      </c>
      <c r="S12">
        <f t="shared" si="7"/>
        <v>0</v>
      </c>
    </row>
    <row r="13" spans="1:19" x14ac:dyDescent="0.3">
      <c r="A13">
        <v>8.4473000000000003</v>
      </c>
      <c r="B13">
        <f t="shared" si="1"/>
        <v>0.50320000000000054</v>
      </c>
      <c r="C13">
        <v>319.11099999999999</v>
      </c>
      <c r="D13">
        <v>80.102000000000004</v>
      </c>
      <c r="E13">
        <v>155.839</v>
      </c>
      <c r="I13">
        <f t="shared" si="2"/>
        <v>0.65376513533967373</v>
      </c>
      <c r="J13">
        <f t="shared" si="3"/>
        <v>0.55986256101720511</v>
      </c>
      <c r="K13" s="4">
        <f t="shared" si="0"/>
        <v>0.9794714440508544</v>
      </c>
      <c r="L13" s="3">
        <f t="shared" si="4"/>
        <v>0.66746727463116329</v>
      </c>
      <c r="M13" s="3">
        <f t="shared" si="5"/>
        <v>0.5715966140898916</v>
      </c>
      <c r="R13">
        <f t="shared" si="6"/>
        <v>0.23377991145234686</v>
      </c>
      <c r="S13">
        <f t="shared" si="7"/>
        <v>7.7298316770796974E-2</v>
      </c>
    </row>
    <row r="14" spans="1:19" x14ac:dyDescent="0.3">
      <c r="A14">
        <v>8.9466999999999999</v>
      </c>
      <c r="B14">
        <f t="shared" si="1"/>
        <v>1.0026000000000002</v>
      </c>
      <c r="C14">
        <v>338.39699999999999</v>
      </c>
      <c r="D14">
        <v>82.236999999999995</v>
      </c>
      <c r="E14">
        <v>156.554</v>
      </c>
      <c r="I14">
        <f t="shared" si="2"/>
        <v>0.69327651037895777</v>
      </c>
      <c r="J14">
        <f t="shared" si="3"/>
        <v>0.57478486717400179</v>
      </c>
      <c r="K14" s="4">
        <f t="shared" si="0"/>
        <v>0.98396532608613674</v>
      </c>
      <c r="L14" s="3">
        <f t="shared" si="4"/>
        <v>0.70457412674953146</v>
      </c>
      <c r="M14" s="3">
        <f t="shared" si="5"/>
        <v>0.5841515467422933</v>
      </c>
      <c r="R14">
        <f t="shared" si="6"/>
        <v>0.30987677810793407</v>
      </c>
      <c r="S14">
        <f t="shared" si="7"/>
        <v>0.19472801037787391</v>
      </c>
    </row>
    <row r="15" spans="1:19" x14ac:dyDescent="0.3">
      <c r="A15">
        <v>9.4468999999999994</v>
      </c>
      <c r="B15">
        <f t="shared" si="1"/>
        <v>1.5027999999999997</v>
      </c>
      <c r="C15">
        <v>350.15899999999999</v>
      </c>
      <c r="D15">
        <v>81.492000000000004</v>
      </c>
      <c r="E15">
        <v>153.857</v>
      </c>
      <c r="I15">
        <f t="shared" si="2"/>
        <v>0.71737340933219107</v>
      </c>
      <c r="J15">
        <f t="shared" si="3"/>
        <v>0.56957778610289478</v>
      </c>
      <c r="K15" s="4">
        <f t="shared" si="0"/>
        <v>0.96701427734605783</v>
      </c>
      <c r="L15" s="3">
        <f t="shared" si="4"/>
        <v>0.74184365850419631</v>
      </c>
      <c r="M15" s="3">
        <f t="shared" si="5"/>
        <v>0.58900659426258339</v>
      </c>
      <c r="R15">
        <f t="shared" si="6"/>
        <v>0.38630725998238596</v>
      </c>
      <c r="S15">
        <f t="shared" si="7"/>
        <v>0.24013858792058981</v>
      </c>
    </row>
    <row r="16" spans="1:19" x14ac:dyDescent="0.3">
      <c r="A16">
        <v>9.9464000000000006</v>
      </c>
      <c r="B16">
        <f t="shared" si="1"/>
        <v>2.0023000000000009</v>
      </c>
      <c r="C16">
        <v>357.762</v>
      </c>
      <c r="D16">
        <v>84.254000000000005</v>
      </c>
      <c r="E16">
        <v>156.804</v>
      </c>
      <c r="I16">
        <f t="shared" si="2"/>
        <v>0.73294973331973001</v>
      </c>
      <c r="J16">
        <f t="shared" si="3"/>
        <v>0.5888824276040997</v>
      </c>
      <c r="K16" s="4">
        <f t="shared" si="0"/>
        <v>0.98553661351106059</v>
      </c>
      <c r="L16" s="3">
        <f t="shared" si="4"/>
        <v>0.74370624416330133</v>
      </c>
      <c r="M16" s="3">
        <f t="shared" si="5"/>
        <v>0.59752465766457363</v>
      </c>
      <c r="R16">
        <f t="shared" si="6"/>
        <v>0.3901269570044722</v>
      </c>
      <c r="S16">
        <f t="shared" si="7"/>
        <v>0.31981034746842146</v>
      </c>
    </row>
    <row r="17" spans="1:19" x14ac:dyDescent="0.3">
      <c r="A17">
        <v>10.4473</v>
      </c>
      <c r="B17">
        <f t="shared" si="1"/>
        <v>2.5032000000000005</v>
      </c>
      <c r="C17">
        <v>369.38099999999997</v>
      </c>
      <c r="D17">
        <v>84.305000000000007</v>
      </c>
      <c r="E17">
        <v>156.83199999999999</v>
      </c>
      <c r="I17">
        <f t="shared" si="2"/>
        <v>0.75675366708419334</v>
      </c>
      <c r="J17">
        <f t="shared" si="3"/>
        <v>0.58923888550292725</v>
      </c>
      <c r="K17" s="4">
        <f t="shared" si="0"/>
        <v>0.98571259770265207</v>
      </c>
      <c r="L17" s="3">
        <f t="shared" si="4"/>
        <v>0.76772242624058862</v>
      </c>
      <c r="M17" s="3">
        <f t="shared" si="5"/>
        <v>0.59777960317869017</v>
      </c>
      <c r="R17">
        <f t="shared" si="6"/>
        <v>0.43937813571620615</v>
      </c>
      <c r="S17">
        <f t="shared" si="7"/>
        <v>0.32219492207651196</v>
      </c>
    </row>
    <row r="18" spans="1:19" x14ac:dyDescent="0.3">
      <c r="A18">
        <v>10.9467</v>
      </c>
      <c r="B18">
        <f t="shared" si="1"/>
        <v>3.0026000000000002</v>
      </c>
      <c r="C18">
        <v>396.85700000000003</v>
      </c>
      <c r="D18">
        <v>82.373000000000005</v>
      </c>
      <c r="E18">
        <v>152.446</v>
      </c>
      <c r="I18">
        <f t="shared" si="2"/>
        <v>0.81304395748030289</v>
      </c>
      <c r="J18">
        <f t="shared" si="3"/>
        <v>0.57573542157087509</v>
      </c>
      <c r="K18" s="4">
        <f t="shared" si="0"/>
        <v>0.95814593111978741</v>
      </c>
      <c r="L18" s="3">
        <f t="shared" si="4"/>
        <v>0.84855963071313834</v>
      </c>
      <c r="M18" s="3">
        <f t="shared" si="5"/>
        <v>0.60088489954553348</v>
      </c>
      <c r="R18">
        <f t="shared" si="6"/>
        <v>0.6051550102927763</v>
      </c>
      <c r="S18">
        <f t="shared" si="7"/>
        <v>0.35123960204521115</v>
      </c>
    </row>
    <row r="19" spans="1:19" x14ac:dyDescent="0.3">
      <c r="A19">
        <v>11.4473</v>
      </c>
      <c r="B19">
        <f t="shared" si="1"/>
        <v>3.5032000000000005</v>
      </c>
      <c r="C19">
        <v>404.84100000000001</v>
      </c>
      <c r="D19">
        <v>85.915000000000006</v>
      </c>
      <c r="E19">
        <v>156.911</v>
      </c>
      <c r="I19">
        <f t="shared" si="2"/>
        <v>0.82940083906869044</v>
      </c>
      <c r="J19">
        <f t="shared" si="3"/>
        <v>0.60049177211297067</v>
      </c>
      <c r="K19" s="4">
        <f t="shared" si="0"/>
        <v>0.98620912452892806</v>
      </c>
      <c r="L19" s="3">
        <f t="shared" si="4"/>
        <v>0.84099895087146093</v>
      </c>
      <c r="M19" s="3">
        <f t="shared" si="5"/>
        <v>0.60888888287238385</v>
      </c>
      <c r="R19">
        <f t="shared" si="6"/>
        <v>0.58964994821145489</v>
      </c>
      <c r="S19">
        <f t="shared" si="7"/>
        <v>0.42610303108386804</v>
      </c>
    </row>
    <row r="20" spans="1:19" x14ac:dyDescent="0.3">
      <c r="A20">
        <v>11.946899999999999</v>
      </c>
      <c r="B20">
        <f t="shared" si="1"/>
        <v>4.0027999999999997</v>
      </c>
      <c r="C20">
        <v>422.68299999999999</v>
      </c>
      <c r="D20">
        <v>88.948999999999998</v>
      </c>
      <c r="E20">
        <v>159.911</v>
      </c>
      <c r="I20">
        <f t="shared" si="2"/>
        <v>0.86595388031368181</v>
      </c>
      <c r="J20">
        <f t="shared" si="3"/>
        <v>0.62169752240792198</v>
      </c>
      <c r="K20" s="4">
        <f t="shared" si="0"/>
        <v>1.0050645736280146</v>
      </c>
      <c r="L20" s="3">
        <f t="shared" si="4"/>
        <v>0.86159029283841893</v>
      </c>
      <c r="M20" s="3">
        <f t="shared" si="5"/>
        <v>0.61856475565919111</v>
      </c>
      <c r="R20">
        <f t="shared" si="6"/>
        <v>0.63187763702000121</v>
      </c>
      <c r="S20">
        <f t="shared" si="7"/>
        <v>0.51660409613884251</v>
      </c>
    </row>
    <row r="21" spans="1:19" x14ac:dyDescent="0.3">
      <c r="A21">
        <v>12.447100000000001</v>
      </c>
      <c r="B21">
        <f t="shared" si="1"/>
        <v>4.503000000000001</v>
      </c>
      <c r="C21">
        <v>414.524</v>
      </c>
      <c r="D21">
        <v>85.644000000000005</v>
      </c>
      <c r="E21">
        <v>156.036</v>
      </c>
      <c r="I21">
        <f t="shared" si="2"/>
        <v>0.8492384748928834</v>
      </c>
      <c r="J21">
        <f t="shared" si="3"/>
        <v>0.59859765268978937</v>
      </c>
      <c r="K21" s="4">
        <f t="shared" si="0"/>
        <v>0.98070961854169447</v>
      </c>
      <c r="L21" s="3">
        <f t="shared" si="4"/>
        <v>0.86594284264866561</v>
      </c>
      <c r="M21" s="3">
        <f t="shared" si="5"/>
        <v>0.61037196064202792</v>
      </c>
      <c r="R21">
        <f t="shared" si="6"/>
        <v>0.64080362733212981</v>
      </c>
      <c r="S21">
        <f t="shared" si="7"/>
        <v>0.43997466010064773</v>
      </c>
    </row>
    <row r="22" spans="1:19" x14ac:dyDescent="0.3">
      <c r="A22">
        <v>12.9465</v>
      </c>
      <c r="B22">
        <f t="shared" si="1"/>
        <v>5.0024000000000006</v>
      </c>
      <c r="C22">
        <v>421.61900000000003</v>
      </c>
      <c r="D22">
        <v>89.763000000000005</v>
      </c>
      <c r="E22">
        <v>158.286</v>
      </c>
      <c r="I22">
        <f t="shared" si="2"/>
        <v>0.8637740554126242</v>
      </c>
      <c r="J22">
        <f t="shared" si="3"/>
        <v>0.62738687004803095</v>
      </c>
      <c r="K22" s="4">
        <f t="shared" si="0"/>
        <v>0.99485120536600946</v>
      </c>
      <c r="L22" s="3">
        <f t="shared" si="4"/>
        <v>0.86824446786978415</v>
      </c>
      <c r="M22" s="3">
        <f t="shared" si="5"/>
        <v>0.63063387435632945</v>
      </c>
      <c r="R22">
        <f t="shared" si="6"/>
        <v>0.64552368461383858</v>
      </c>
      <c r="S22">
        <f t="shared" si="7"/>
        <v>0.62948983992985197</v>
      </c>
    </row>
    <row r="23" spans="1:19" x14ac:dyDescent="0.3">
      <c r="A23">
        <v>13.4472</v>
      </c>
      <c r="B23">
        <f t="shared" si="1"/>
        <v>5.5031000000000008</v>
      </c>
      <c r="C23">
        <v>432</v>
      </c>
      <c r="D23">
        <v>86.39</v>
      </c>
      <c r="E23">
        <v>155.982</v>
      </c>
      <c r="I23">
        <f t="shared" si="2"/>
        <v>0.88504168915123282</v>
      </c>
      <c r="J23">
        <f t="shared" si="3"/>
        <v>0.6038117231314617</v>
      </c>
      <c r="K23" s="4">
        <f t="shared" si="0"/>
        <v>0.98037022045791089</v>
      </c>
      <c r="L23" s="3">
        <f t="shared" si="4"/>
        <v>0.90276272237017552</v>
      </c>
      <c r="M23" s="3">
        <f t="shared" si="5"/>
        <v>0.61590173847736174</v>
      </c>
      <c r="R23">
        <f t="shared" si="6"/>
        <v>0.71631198542471908</v>
      </c>
      <c r="S23">
        <f t="shared" si="7"/>
        <v>0.49169617346091532</v>
      </c>
    </row>
    <row r="24" spans="1:19" x14ac:dyDescent="0.3">
      <c r="A24">
        <v>13.9466</v>
      </c>
      <c r="B24">
        <f t="shared" si="1"/>
        <v>6.0025000000000004</v>
      </c>
      <c r="C24">
        <v>430.048</v>
      </c>
      <c r="D24">
        <v>92.034000000000006</v>
      </c>
      <c r="E24">
        <v>162.214</v>
      </c>
      <c r="I24">
        <f t="shared" si="2"/>
        <v>0.88104261188914212</v>
      </c>
      <c r="J24">
        <f t="shared" si="3"/>
        <v>0.64325973060170094</v>
      </c>
      <c r="K24" s="4">
        <f t="shared" si="0"/>
        <v>1.0195392733864135</v>
      </c>
      <c r="L24" s="3">
        <f t="shared" si="4"/>
        <v>0.86415760028816468</v>
      </c>
      <c r="M24" s="3">
        <f t="shared" si="5"/>
        <v>0.63093178202454625</v>
      </c>
      <c r="R24">
        <f t="shared" si="6"/>
        <v>0.6371425420581327</v>
      </c>
      <c r="S24">
        <f t="shared" si="7"/>
        <v>0.6322762512289366</v>
      </c>
    </row>
    <row r="25" spans="1:19" x14ac:dyDescent="0.3">
      <c r="A25">
        <v>14.4472</v>
      </c>
      <c r="B25">
        <f t="shared" si="1"/>
        <v>6.5031000000000008</v>
      </c>
      <c r="C25">
        <v>435.38099999999997</v>
      </c>
      <c r="D25">
        <v>89.186000000000007</v>
      </c>
      <c r="E25">
        <v>160.518</v>
      </c>
      <c r="I25">
        <f t="shared" si="2"/>
        <v>0.89196836959340942</v>
      </c>
      <c r="J25">
        <f t="shared" si="3"/>
        <v>0.62335400323188506</v>
      </c>
      <c r="K25" s="4">
        <f t="shared" si="0"/>
        <v>1.0088796594957299</v>
      </c>
      <c r="L25" s="3">
        <f t="shared" si="4"/>
        <v>0.88411770541517665</v>
      </c>
      <c r="M25" s="3">
        <f t="shared" si="5"/>
        <v>0.61786754977640956</v>
      </c>
      <c r="R25">
        <f t="shared" si="6"/>
        <v>0.67807572209282141</v>
      </c>
      <c r="S25">
        <f t="shared" si="7"/>
        <v>0.51008294023439993</v>
      </c>
    </row>
    <row r="26" spans="1:19" x14ac:dyDescent="0.3">
      <c r="A26">
        <v>14.9466</v>
      </c>
      <c r="B26">
        <f t="shared" si="1"/>
        <v>7.0025000000000004</v>
      </c>
      <c r="C26">
        <v>433.25400000000002</v>
      </c>
      <c r="D26">
        <v>83.932000000000002</v>
      </c>
      <c r="E26">
        <v>151.107</v>
      </c>
      <c r="I26">
        <f t="shared" si="2"/>
        <v>0.88761076849890796</v>
      </c>
      <c r="J26">
        <f t="shared" si="3"/>
        <v>0.58663185028209097</v>
      </c>
      <c r="K26" s="4">
        <f t="shared" si="0"/>
        <v>0.94973011567189514</v>
      </c>
      <c r="L26" s="3">
        <f t="shared" si="4"/>
        <v>0.93459263200362952</v>
      </c>
      <c r="M26" s="3">
        <f t="shared" si="5"/>
        <v>0.61768268753599853</v>
      </c>
      <c r="R26">
        <f t="shared" si="6"/>
        <v>0.78158716374784487</v>
      </c>
      <c r="S26">
        <f t="shared" si="7"/>
        <v>0.50835387351202022</v>
      </c>
    </row>
    <row r="27" spans="1:19" x14ac:dyDescent="0.3">
      <c r="A27">
        <v>15.4468</v>
      </c>
      <c r="B27">
        <f t="shared" si="1"/>
        <v>7.5026999999999999</v>
      </c>
      <c r="C27">
        <v>440.39699999999999</v>
      </c>
      <c r="D27">
        <v>87.457999999999998</v>
      </c>
      <c r="E27">
        <v>156.286</v>
      </c>
      <c r="I27">
        <f t="shared" si="2"/>
        <v>0.90224468698410998</v>
      </c>
      <c r="J27">
        <f t="shared" si="3"/>
        <v>0.61127637089514264</v>
      </c>
      <c r="K27" s="4">
        <f t="shared" si="0"/>
        <v>0.98228090596661832</v>
      </c>
      <c r="L27" s="3">
        <f t="shared" si="4"/>
        <v>0.9185200297630256</v>
      </c>
      <c r="M27" s="3">
        <f t="shared" si="5"/>
        <v>0.62230301656287734</v>
      </c>
      <c r="R27">
        <f t="shared" si="6"/>
        <v>0.74862627917563684</v>
      </c>
      <c r="S27">
        <f t="shared" si="7"/>
        <v>0.55156906526268823</v>
      </c>
    </row>
    <row r="28" spans="1:19" x14ac:dyDescent="0.3">
      <c r="A28">
        <v>15.946999999999999</v>
      </c>
      <c r="B28">
        <f t="shared" si="1"/>
        <v>8.0029000000000003</v>
      </c>
      <c r="C28">
        <v>446.20600000000002</v>
      </c>
      <c r="D28">
        <v>87.287999999999997</v>
      </c>
      <c r="E28">
        <v>156.089</v>
      </c>
      <c r="I28">
        <f t="shared" si="2"/>
        <v>0.91414562951253475</v>
      </c>
      <c r="J28">
        <f t="shared" si="3"/>
        <v>0.61008817789905112</v>
      </c>
      <c r="K28" s="4">
        <f t="shared" si="0"/>
        <v>0.98104273147577825</v>
      </c>
      <c r="L28" s="3">
        <f t="shared" si="4"/>
        <v>0.93181020579744733</v>
      </c>
      <c r="M28" s="3">
        <f t="shared" si="5"/>
        <v>0.62187727233990941</v>
      </c>
      <c r="R28">
        <f t="shared" si="6"/>
        <v>0.77588110397981502</v>
      </c>
      <c r="S28">
        <f t="shared" si="7"/>
        <v>0.54758696396097062</v>
      </c>
    </row>
    <row r="29" spans="1:19" x14ac:dyDescent="0.3">
      <c r="A29">
        <v>16.447199999999999</v>
      </c>
      <c r="B29">
        <f t="shared" si="1"/>
        <v>8.5030999999999999</v>
      </c>
      <c r="C29">
        <v>443.50799999999998</v>
      </c>
      <c r="D29">
        <v>87.864000000000004</v>
      </c>
      <c r="E29">
        <v>157.143</v>
      </c>
      <c r="I29">
        <f t="shared" si="2"/>
        <v>0.90861821637056706</v>
      </c>
      <c r="J29">
        <f t="shared" si="3"/>
        <v>0.61411405534463193</v>
      </c>
      <c r="K29" s="4">
        <f t="shared" si="0"/>
        <v>0.98766727925925746</v>
      </c>
      <c r="L29" s="3">
        <f t="shared" si="4"/>
        <v>0.91996387391918399</v>
      </c>
      <c r="M29" s="3">
        <f t="shared" si="5"/>
        <v>0.62178232309691639</v>
      </c>
      <c r="R29">
        <f t="shared" si="6"/>
        <v>0.75158724217708328</v>
      </c>
      <c r="S29">
        <f t="shared" si="7"/>
        <v>0.54669887791370997</v>
      </c>
    </row>
    <row r="30" spans="1:19" x14ac:dyDescent="0.3">
      <c r="A30">
        <v>16.9466</v>
      </c>
      <c r="B30">
        <f t="shared" si="1"/>
        <v>9.0025000000000013</v>
      </c>
      <c r="C30">
        <v>450.36500000000001</v>
      </c>
      <c r="D30">
        <v>88.712000000000003</v>
      </c>
      <c r="E30">
        <v>156.625</v>
      </c>
      <c r="I30">
        <f t="shared" si="2"/>
        <v>0.92266620447822911</v>
      </c>
      <c r="J30">
        <f t="shared" si="3"/>
        <v>0.62004104158395912</v>
      </c>
      <c r="K30" s="4">
        <f t="shared" si="0"/>
        <v>0.98441157171481508</v>
      </c>
      <c r="L30" s="3">
        <f t="shared" si="4"/>
        <v>0.93727687787230352</v>
      </c>
      <c r="M30" s="3">
        <f t="shared" si="5"/>
        <v>0.62985956219903683</v>
      </c>
      <c r="R30">
        <f t="shared" si="6"/>
        <v>0.7870918802160517</v>
      </c>
      <c r="S30">
        <f t="shared" si="7"/>
        <v>0.62224748810650599</v>
      </c>
    </row>
    <row r="31" spans="1:19" x14ac:dyDescent="0.3">
      <c r="A31">
        <v>17.447299999999998</v>
      </c>
      <c r="B31">
        <f t="shared" si="1"/>
        <v>9.5031999999999996</v>
      </c>
      <c r="C31">
        <v>454.11099999999999</v>
      </c>
      <c r="D31">
        <v>89.271000000000001</v>
      </c>
      <c r="E31">
        <v>157.411</v>
      </c>
      <c r="I31">
        <f t="shared" si="2"/>
        <v>0.93034066319943398</v>
      </c>
      <c r="J31">
        <f t="shared" si="3"/>
        <v>0.62394809972993071</v>
      </c>
      <c r="K31" s="4">
        <f t="shared" si="0"/>
        <v>0.98935169937877587</v>
      </c>
      <c r="L31" s="3">
        <f t="shared" si="4"/>
        <v>0.94035383350895796</v>
      </c>
      <c r="M31" s="3">
        <f t="shared" si="5"/>
        <v>0.63066359528337002</v>
      </c>
      <c r="R31">
        <f t="shared" si="6"/>
        <v>0.79340194613166048</v>
      </c>
      <c r="S31">
        <f t="shared" si="7"/>
        <v>0.62976782782932705</v>
      </c>
    </row>
    <row r="32" spans="1:19" x14ac:dyDescent="0.3">
      <c r="A32">
        <v>17.9467</v>
      </c>
      <c r="B32">
        <f t="shared" si="1"/>
        <v>10.002600000000001</v>
      </c>
      <c r="C32">
        <v>462.952</v>
      </c>
      <c r="D32">
        <v>87.305000000000007</v>
      </c>
      <c r="E32">
        <v>154.839</v>
      </c>
      <c r="I32">
        <f t="shared" si="2"/>
        <v>0.94845328721282762</v>
      </c>
      <c r="J32">
        <f t="shared" si="3"/>
        <v>0.61020699719866034</v>
      </c>
      <c r="K32" s="4">
        <f t="shared" si="0"/>
        <v>0.97318629435115889</v>
      </c>
      <c r="L32" s="3">
        <f t="shared" si="4"/>
        <v>0.97458553692967775</v>
      </c>
      <c r="M32" s="3">
        <f t="shared" si="5"/>
        <v>0.6270197193904139</v>
      </c>
      <c r="R32">
        <f t="shared" si="6"/>
        <v>0.86360260239564646</v>
      </c>
      <c r="S32">
        <f t="shared" si="7"/>
        <v>0.59568566733520478</v>
      </c>
    </row>
    <row r="33" spans="1:19" x14ac:dyDescent="0.3">
      <c r="A33">
        <v>18.447299999999998</v>
      </c>
      <c r="B33">
        <f t="shared" si="1"/>
        <v>10.5032</v>
      </c>
      <c r="C33">
        <v>456.44400000000002</v>
      </c>
      <c r="D33">
        <v>93.084999999999994</v>
      </c>
      <c r="E33">
        <v>161.268</v>
      </c>
      <c r="I33">
        <f t="shared" si="2"/>
        <v>0.93512029806237351</v>
      </c>
      <c r="J33">
        <f t="shared" si="3"/>
        <v>0.65060555906577278</v>
      </c>
      <c r="K33" s="4">
        <f t="shared" si="0"/>
        <v>1.0135935217705017</v>
      </c>
      <c r="L33" s="3">
        <f t="shared" si="4"/>
        <v>0.92257919765405116</v>
      </c>
      <c r="M33" s="3">
        <f t="shared" si="5"/>
        <v>0.64188014730927134</v>
      </c>
      <c r="R33">
        <f t="shared" si="6"/>
        <v>0.75695061659856555</v>
      </c>
      <c r="S33">
        <f t="shared" si="7"/>
        <v>0.73467928408293459</v>
      </c>
    </row>
    <row r="34" spans="1:19" x14ac:dyDescent="0.3">
      <c r="A34">
        <v>18.9467</v>
      </c>
      <c r="B34">
        <f t="shared" si="1"/>
        <v>11.002600000000001</v>
      </c>
      <c r="C34">
        <v>451.93700000000001</v>
      </c>
      <c r="D34">
        <v>89.881</v>
      </c>
      <c r="E34">
        <v>156.125</v>
      </c>
      <c r="I34">
        <f t="shared" si="2"/>
        <v>0.92588677284708498</v>
      </c>
      <c r="J34">
        <f t="shared" si="3"/>
        <v>0.62821161577472984</v>
      </c>
      <c r="K34" s="4">
        <f t="shared" si="0"/>
        <v>0.98126899686496738</v>
      </c>
      <c r="L34" s="3">
        <f t="shared" si="4"/>
        <v>0.94356060958328269</v>
      </c>
      <c r="M34" s="3">
        <f t="shared" si="5"/>
        <v>0.64020326514114678</v>
      </c>
      <c r="R34">
        <f t="shared" si="6"/>
        <v>0.79997824127369499</v>
      </c>
      <c r="S34">
        <f t="shared" si="7"/>
        <v>0.71899494991166613</v>
      </c>
    </row>
    <row r="35" spans="1:19" x14ac:dyDescent="0.3">
      <c r="A35">
        <v>19.446899999999999</v>
      </c>
      <c r="B35">
        <f t="shared" si="1"/>
        <v>11.502800000000001</v>
      </c>
      <c r="C35">
        <v>467.58699999999999</v>
      </c>
      <c r="D35">
        <v>90.39</v>
      </c>
      <c r="E35">
        <v>158.232</v>
      </c>
      <c r="I35">
        <f t="shared" si="2"/>
        <v>0.95794904700267947</v>
      </c>
      <c r="J35">
        <f t="shared" si="3"/>
        <v>0.63176920539243919</v>
      </c>
      <c r="K35" s="4">
        <f t="shared" si="0"/>
        <v>0.99451180728222588</v>
      </c>
      <c r="L35" s="3">
        <f t="shared" si="4"/>
        <v>0.96323546888853528</v>
      </c>
      <c r="M35" s="3">
        <f t="shared" si="5"/>
        <v>0.63525561060850599</v>
      </c>
      <c r="R35">
        <f t="shared" si="6"/>
        <v>0.84032645351878932</v>
      </c>
      <c r="S35">
        <f t="shared" si="7"/>
        <v>0.67271819384077403</v>
      </c>
    </row>
    <row r="36" spans="1:19" x14ac:dyDescent="0.3">
      <c r="A36">
        <v>19.9465</v>
      </c>
      <c r="B36">
        <f t="shared" si="1"/>
        <v>12.002400000000002</v>
      </c>
      <c r="C36">
        <v>470.06299999999999</v>
      </c>
      <c r="D36">
        <v>93.441000000000003</v>
      </c>
      <c r="E36">
        <v>156.839</v>
      </c>
      <c r="I36">
        <f t="shared" si="2"/>
        <v>0.96302164705438875</v>
      </c>
      <c r="J36">
        <f t="shared" si="3"/>
        <v>0.65309377498699983</v>
      </c>
      <c r="K36" s="4">
        <f t="shared" si="0"/>
        <v>0.98575659375054991</v>
      </c>
      <c r="L36" s="3">
        <f t="shared" si="4"/>
        <v>0.97693655123354484</v>
      </c>
      <c r="M36" s="3">
        <f t="shared" si="5"/>
        <v>0.66253046556061701</v>
      </c>
      <c r="R36">
        <f t="shared" si="6"/>
        <v>0.86842394432505776</v>
      </c>
      <c r="S36">
        <f t="shared" si="7"/>
        <v>0.92782731699414778</v>
      </c>
    </row>
    <row r="37" spans="1:19" x14ac:dyDescent="0.3">
      <c r="A37">
        <v>20.447299999999998</v>
      </c>
      <c r="B37">
        <f t="shared" si="1"/>
        <v>12.5032</v>
      </c>
      <c r="C37">
        <v>461.17500000000001</v>
      </c>
      <c r="D37">
        <v>91.948999999999998</v>
      </c>
      <c r="E37">
        <v>153.786</v>
      </c>
      <c r="I37">
        <f t="shared" si="2"/>
        <v>0.94481273378314778</v>
      </c>
      <c r="J37">
        <f t="shared" si="3"/>
        <v>0.64266563410365518</v>
      </c>
      <c r="K37" s="4">
        <f t="shared" si="0"/>
        <v>0.96656803171737948</v>
      </c>
      <c r="L37" s="3">
        <f t="shared" si="4"/>
        <v>0.97749222277134773</v>
      </c>
      <c r="M37" s="3">
        <f t="shared" si="5"/>
        <v>0.66489436130199675</v>
      </c>
      <c r="R37">
        <f t="shared" si="6"/>
        <v>0.86956348757657387</v>
      </c>
      <c r="S37">
        <f t="shared" si="7"/>
        <v>0.94993747563177255</v>
      </c>
    </row>
    <row r="38" spans="1:19" x14ac:dyDescent="0.3">
      <c r="A38">
        <v>20.9467</v>
      </c>
      <c r="B38">
        <f t="shared" si="1"/>
        <v>13.002600000000001</v>
      </c>
      <c r="C38">
        <v>469.98399999999998</v>
      </c>
      <c r="D38">
        <v>91.406999999999996</v>
      </c>
      <c r="E38">
        <v>152.554</v>
      </c>
      <c r="I38">
        <f t="shared" si="2"/>
        <v>0.96285979915290043</v>
      </c>
      <c r="J38">
        <f t="shared" si="3"/>
        <v>0.6388773952572927</v>
      </c>
      <c r="K38" s="4">
        <f t="shared" si="0"/>
        <v>0.95882472728735457</v>
      </c>
      <c r="L38" s="3">
        <f t="shared" si="4"/>
        <v>1.0042083519028151</v>
      </c>
      <c r="M38" s="3">
        <f t="shared" si="5"/>
        <v>0.66631301537744403</v>
      </c>
      <c r="R38">
        <f t="shared" si="6"/>
        <v>0.9243515819583219</v>
      </c>
      <c r="S38">
        <f t="shared" si="7"/>
        <v>0.96320653234649234</v>
      </c>
    </row>
    <row r="39" spans="1:19" x14ac:dyDescent="0.3">
      <c r="A39">
        <v>21.4468</v>
      </c>
      <c r="B39">
        <f t="shared" si="1"/>
        <v>13.502700000000001</v>
      </c>
      <c r="C39">
        <v>464.714</v>
      </c>
      <c r="D39">
        <v>88.661000000000001</v>
      </c>
      <c r="E39">
        <v>150</v>
      </c>
      <c r="I39">
        <f t="shared" si="2"/>
        <v>0.95206311002830102</v>
      </c>
      <c r="J39">
        <f t="shared" si="3"/>
        <v>0.61968458368513168</v>
      </c>
      <c r="K39" s="4">
        <f t="shared" si="0"/>
        <v>0.94277245495433215</v>
      </c>
      <c r="L39" s="3">
        <f t="shared" si="4"/>
        <v>1.009854610224499</v>
      </c>
      <c r="M39" s="3">
        <f t="shared" si="5"/>
        <v>0.65730026416093068</v>
      </c>
      <c r="R39">
        <f t="shared" si="6"/>
        <v>0.93593064464026487</v>
      </c>
      <c r="S39">
        <f t="shared" si="7"/>
        <v>0.87890782336779372</v>
      </c>
    </row>
    <row r="40" spans="1:19" x14ac:dyDescent="0.3">
      <c r="A40">
        <v>21.946999999999999</v>
      </c>
      <c r="B40">
        <f t="shared" si="1"/>
        <v>14.0029</v>
      </c>
      <c r="C40">
        <v>464.238</v>
      </c>
      <c r="D40">
        <v>87.186000000000007</v>
      </c>
      <c r="E40">
        <v>149.482</v>
      </c>
      <c r="I40">
        <f t="shared" si="2"/>
        <v>0.95108792520414365</v>
      </c>
      <c r="J40">
        <f t="shared" si="3"/>
        <v>0.60937526210139625</v>
      </c>
      <c r="K40" s="4">
        <f t="shared" si="0"/>
        <v>0.93951674740988977</v>
      </c>
      <c r="L40" s="3">
        <f t="shared" si="4"/>
        <v>1.0123160952970278</v>
      </c>
      <c r="M40" s="3">
        <f t="shared" si="5"/>
        <v>0.64860500228586104</v>
      </c>
      <c r="R40">
        <f t="shared" si="6"/>
        <v>0.94097853446776736</v>
      </c>
      <c r="S40">
        <f t="shared" si="7"/>
        <v>0.79757867839405339</v>
      </c>
    </row>
    <row r="41" spans="1:19" x14ac:dyDescent="0.3">
      <c r="A41">
        <v>22.447199999999999</v>
      </c>
      <c r="B41">
        <f t="shared" si="1"/>
        <v>14.5031</v>
      </c>
      <c r="C41">
        <v>471.07900000000001</v>
      </c>
      <c r="D41">
        <v>94.424000000000007</v>
      </c>
      <c r="E41">
        <v>157.554</v>
      </c>
      <c r="I41">
        <f t="shared" si="2"/>
        <v>0.96510313398998526</v>
      </c>
      <c r="J41">
        <f t="shared" si="3"/>
        <v>0.65996432625263501</v>
      </c>
      <c r="K41" s="4">
        <f t="shared" si="0"/>
        <v>0.99025047578583225</v>
      </c>
      <c r="L41" s="3">
        <f t="shared" si="4"/>
        <v>0.97460506971643635</v>
      </c>
      <c r="M41" s="3">
        <f t="shared" si="5"/>
        <v>0.6664620137939421</v>
      </c>
      <c r="R41">
        <f t="shared" si="6"/>
        <v>0.86364265925265604</v>
      </c>
      <c r="S41">
        <f t="shared" si="7"/>
        <v>0.96460015498722873</v>
      </c>
    </row>
    <row r="42" spans="1:19" x14ac:dyDescent="0.3">
      <c r="A42">
        <v>22.9468</v>
      </c>
      <c r="B42">
        <f t="shared" si="1"/>
        <v>15.002700000000001</v>
      </c>
      <c r="C42">
        <v>470.98399999999998</v>
      </c>
      <c r="D42">
        <v>89.271000000000001</v>
      </c>
      <c r="E42">
        <v>150.554</v>
      </c>
      <c r="I42">
        <f t="shared" si="2"/>
        <v>0.9649085067666765</v>
      </c>
      <c r="J42">
        <f t="shared" si="3"/>
        <v>0.62394809972993071</v>
      </c>
      <c r="K42" s="4">
        <f t="shared" si="0"/>
        <v>0.94625442788796343</v>
      </c>
      <c r="L42" s="3">
        <f t="shared" si="4"/>
        <v>1.0197135974521661</v>
      </c>
      <c r="M42" s="3">
        <f t="shared" si="5"/>
        <v>0.65938724442492769</v>
      </c>
      <c r="R42">
        <f t="shared" si="6"/>
        <v>0.95614895995382787</v>
      </c>
      <c r="S42">
        <f t="shared" si="7"/>
        <v>0.89842791636632546</v>
      </c>
    </row>
    <row r="43" spans="1:19" x14ac:dyDescent="0.3">
      <c r="A43">
        <v>23.446999999999999</v>
      </c>
      <c r="B43">
        <f t="shared" si="1"/>
        <v>15.5029</v>
      </c>
      <c r="C43">
        <v>476.96800000000002</v>
      </c>
      <c r="D43">
        <v>89.287999999999997</v>
      </c>
      <c r="E43">
        <v>148.821</v>
      </c>
      <c r="I43">
        <f t="shared" si="2"/>
        <v>0.97716797312751214</v>
      </c>
      <c r="J43">
        <f t="shared" si="3"/>
        <v>0.62406691902953981</v>
      </c>
      <c r="K43" s="4">
        <f t="shared" si="0"/>
        <v>0.93536226345839102</v>
      </c>
      <c r="L43" s="3">
        <f t="shared" si="4"/>
        <v>1.0446946721097659</v>
      </c>
      <c r="M43" s="3">
        <f t="shared" si="5"/>
        <v>0.66719274810395535</v>
      </c>
      <c r="R43">
        <f t="shared" si="6"/>
        <v>1.0073788918561259</v>
      </c>
      <c r="S43">
        <f t="shared" si="7"/>
        <v>0.97143491137412341</v>
      </c>
    </row>
    <row r="44" spans="1:19" x14ac:dyDescent="0.3">
      <c r="A44">
        <v>23.9465</v>
      </c>
      <c r="B44">
        <f t="shared" si="1"/>
        <v>16.002400000000002</v>
      </c>
      <c r="C44">
        <v>475.01600000000002</v>
      </c>
      <c r="D44">
        <v>93.831000000000003</v>
      </c>
      <c r="E44">
        <v>156.089</v>
      </c>
      <c r="I44">
        <f t="shared" si="2"/>
        <v>0.97316889586542143</v>
      </c>
      <c r="J44">
        <f t="shared" si="3"/>
        <v>0.6558196295074451</v>
      </c>
      <c r="K44" s="4">
        <f t="shared" si="0"/>
        <v>0.98104273147577825</v>
      </c>
      <c r="L44" s="3">
        <f t="shared" si="4"/>
        <v>0.99197401361048543</v>
      </c>
      <c r="M44" s="3">
        <f t="shared" si="5"/>
        <v>0.66849241981630969</v>
      </c>
      <c r="R44">
        <f t="shared" si="6"/>
        <v>0.89926201610991874</v>
      </c>
      <c r="S44">
        <f t="shared" si="7"/>
        <v>0.98359109374459275</v>
      </c>
    </row>
    <row r="45" spans="1:19" x14ac:dyDescent="0.3">
      <c r="A45">
        <v>24.4467</v>
      </c>
      <c r="B45">
        <f t="shared" si="1"/>
        <v>16.502600000000001</v>
      </c>
      <c r="C45">
        <v>477.73</v>
      </c>
      <c r="D45">
        <v>88.236999999999995</v>
      </c>
      <c r="E45">
        <v>151.911</v>
      </c>
      <c r="I45">
        <f t="shared" si="2"/>
        <v>0.97872908832920946</v>
      </c>
      <c r="J45">
        <f t="shared" si="3"/>
        <v>0.61672109056546798</v>
      </c>
      <c r="K45" s="4">
        <f t="shared" si="0"/>
        <v>0.95478337603045027</v>
      </c>
      <c r="L45" s="3">
        <f t="shared" si="4"/>
        <v>1.0250797331624211</v>
      </c>
      <c r="M45" s="3">
        <f t="shared" si="5"/>
        <v>0.64592776335246882</v>
      </c>
      <c r="R45">
        <f t="shared" si="6"/>
        <v>0.96715356126833629</v>
      </c>
      <c r="S45">
        <f t="shared" si="7"/>
        <v>0.772537735812729</v>
      </c>
    </row>
    <row r="46" spans="1:19" x14ac:dyDescent="0.3">
      <c r="A46">
        <v>24.9468</v>
      </c>
      <c r="B46">
        <f t="shared" si="1"/>
        <v>17.002700000000001</v>
      </c>
      <c r="C46">
        <v>467.49200000000002</v>
      </c>
      <c r="D46">
        <v>93.661000000000001</v>
      </c>
      <c r="E46">
        <v>152.268</v>
      </c>
      <c r="I46">
        <f t="shared" si="2"/>
        <v>0.9577544197793707</v>
      </c>
      <c r="J46">
        <f t="shared" si="3"/>
        <v>0.65463143651135358</v>
      </c>
      <c r="K46" s="4">
        <f t="shared" si="0"/>
        <v>0.95702717447324159</v>
      </c>
      <c r="L46" s="3">
        <f t="shared" si="4"/>
        <v>1.0007599003722432</v>
      </c>
      <c r="M46" s="3">
        <f t="shared" si="5"/>
        <v>0.68402596495932311</v>
      </c>
      <c r="R46">
        <f t="shared" si="6"/>
        <v>0.91727967094164231</v>
      </c>
      <c r="S46">
        <f t="shared" si="7"/>
        <v>1.1288805586328667</v>
      </c>
    </row>
    <row r="47" spans="1:19" x14ac:dyDescent="0.3">
      <c r="A47">
        <v>25.4468</v>
      </c>
      <c r="B47">
        <f t="shared" si="1"/>
        <v>17.502700000000001</v>
      </c>
      <c r="C47">
        <v>482.07900000000001</v>
      </c>
      <c r="D47">
        <v>90.694999999999993</v>
      </c>
      <c r="E47">
        <v>153.214</v>
      </c>
      <c r="I47">
        <f t="shared" si="2"/>
        <v>0.98763891774152124</v>
      </c>
      <c r="J47">
        <f t="shared" si="3"/>
        <v>0.6339009634148387</v>
      </c>
      <c r="K47" s="4">
        <f t="shared" si="0"/>
        <v>0.96297292608915364</v>
      </c>
      <c r="L47" s="3">
        <f t="shared" si="4"/>
        <v>1.0256144186239395</v>
      </c>
      <c r="M47" s="3">
        <f t="shared" si="5"/>
        <v>0.65827495897444488</v>
      </c>
      <c r="R47">
        <f t="shared" si="6"/>
        <v>0.96825006732975205</v>
      </c>
      <c r="S47">
        <f t="shared" si="7"/>
        <v>0.88802440857619658</v>
      </c>
    </row>
    <row r="48" spans="1:19" x14ac:dyDescent="0.3">
      <c r="A48">
        <v>25.9468</v>
      </c>
      <c r="B48">
        <f t="shared" si="1"/>
        <v>18.002700000000001</v>
      </c>
      <c r="C48">
        <v>472.60300000000001</v>
      </c>
      <c r="D48">
        <v>93.102000000000004</v>
      </c>
      <c r="E48">
        <v>155.839</v>
      </c>
      <c r="I48">
        <f t="shared" si="2"/>
        <v>0.96822536439337992</v>
      </c>
      <c r="J48">
        <f t="shared" si="3"/>
        <v>0.65072437836538199</v>
      </c>
      <c r="K48" s="4">
        <f t="shared" si="0"/>
        <v>0.9794714440508544</v>
      </c>
      <c r="L48" s="3">
        <f t="shared" si="4"/>
        <v>0.98851821589513278</v>
      </c>
      <c r="M48" s="3">
        <f t="shared" si="5"/>
        <v>0.66436278700902707</v>
      </c>
      <c r="R48">
        <f t="shared" si="6"/>
        <v>0.89217503990684444</v>
      </c>
      <c r="S48">
        <f t="shared" si="7"/>
        <v>0.9449655169537714</v>
      </c>
    </row>
    <row r="49" spans="1:19" x14ac:dyDescent="0.3">
      <c r="A49">
        <v>26.4468</v>
      </c>
      <c r="B49">
        <f t="shared" si="1"/>
        <v>18.502700000000001</v>
      </c>
      <c r="C49">
        <v>472.524</v>
      </c>
      <c r="D49">
        <v>90.61</v>
      </c>
      <c r="E49">
        <v>155.375</v>
      </c>
      <c r="I49">
        <f t="shared" si="2"/>
        <v>0.9680635164918916</v>
      </c>
      <c r="J49">
        <f t="shared" si="3"/>
        <v>0.63330686691679294</v>
      </c>
      <c r="K49" s="4">
        <f t="shared" si="0"/>
        <v>0.97655513459019572</v>
      </c>
      <c r="L49" s="3">
        <f t="shared" si="4"/>
        <v>0.99130451748444537</v>
      </c>
      <c r="M49" s="3">
        <f t="shared" si="5"/>
        <v>0.6485111229101832</v>
      </c>
      <c r="R49">
        <f t="shared" si="6"/>
        <v>0.89788904711575057</v>
      </c>
      <c r="S49">
        <f t="shared" si="7"/>
        <v>0.79670059910624746</v>
      </c>
    </row>
    <row r="50" spans="1:19" x14ac:dyDescent="0.3">
      <c r="A50">
        <v>26.946899999999999</v>
      </c>
      <c r="B50">
        <f t="shared" si="1"/>
        <v>19.002800000000001</v>
      </c>
      <c r="C50">
        <v>484.41300000000001</v>
      </c>
      <c r="D50">
        <v>86.745999999999995</v>
      </c>
      <c r="E50">
        <v>149.089</v>
      </c>
      <c r="I50">
        <f t="shared" si="2"/>
        <v>0.99242060131207444</v>
      </c>
      <c r="J50">
        <f t="shared" si="3"/>
        <v>0.60629993905268864</v>
      </c>
      <c r="K50" s="4">
        <f t="shared" si="0"/>
        <v>0.93704668357790943</v>
      </c>
      <c r="L50" s="3">
        <f t="shared" si="4"/>
        <v>1.0590940864576051</v>
      </c>
      <c r="M50" s="3">
        <f t="shared" si="5"/>
        <v>0.64703279962281479</v>
      </c>
      <c r="R50">
        <f t="shared" si="6"/>
        <v>1.0369084868228642</v>
      </c>
      <c r="S50">
        <f t="shared" si="7"/>
        <v>0.78287344005297521</v>
      </c>
    </row>
    <row r="51" spans="1:19" x14ac:dyDescent="0.3">
      <c r="A51">
        <v>27.446899999999999</v>
      </c>
      <c r="B51">
        <f t="shared" si="1"/>
        <v>19.502800000000001</v>
      </c>
      <c r="C51">
        <v>487.41300000000001</v>
      </c>
      <c r="D51">
        <v>91.492000000000004</v>
      </c>
      <c r="E51">
        <v>149.214</v>
      </c>
      <c r="I51">
        <f t="shared" si="2"/>
        <v>0.99856672415340253</v>
      </c>
      <c r="J51">
        <f t="shared" si="3"/>
        <v>0.63947149175533857</v>
      </c>
      <c r="K51" s="4">
        <f t="shared" si="0"/>
        <v>0.93783232729037136</v>
      </c>
      <c r="L51" s="3">
        <f t="shared" si="4"/>
        <v>1.064760400229013</v>
      </c>
      <c r="M51" s="3">
        <f t="shared" si="5"/>
        <v>0.68186121670909905</v>
      </c>
      <c r="R51">
        <f t="shared" si="6"/>
        <v>1.0485286782127479</v>
      </c>
      <c r="S51">
        <f t="shared" si="7"/>
        <v>1.1086330805461055</v>
      </c>
    </row>
    <row r="52" spans="1:19" x14ac:dyDescent="0.3">
      <c r="A52">
        <v>27.946899999999999</v>
      </c>
      <c r="B52">
        <f t="shared" si="1"/>
        <v>20.002800000000001</v>
      </c>
      <c r="C52">
        <v>469.19</v>
      </c>
      <c r="D52">
        <v>90.846999999999994</v>
      </c>
      <c r="E52">
        <v>152.643</v>
      </c>
      <c r="I52">
        <f t="shared" si="2"/>
        <v>0.96123312530756233</v>
      </c>
      <c r="J52">
        <f t="shared" si="3"/>
        <v>0.6349633477407558</v>
      </c>
      <c r="K52" s="4">
        <f t="shared" si="0"/>
        <v>0.95938410561062748</v>
      </c>
      <c r="L52" s="3">
        <f t="shared" si="4"/>
        <v>1.0019272986555869</v>
      </c>
      <c r="M52" s="3">
        <f t="shared" si="5"/>
        <v>0.6618447648104564</v>
      </c>
      <c r="R52">
        <f t="shared" si="6"/>
        <v>0.91967371264634401</v>
      </c>
      <c r="S52">
        <f t="shared" si="7"/>
        <v>0.92141377171861027</v>
      </c>
    </row>
    <row r="53" spans="1:19" x14ac:dyDescent="0.3">
      <c r="A53">
        <v>28.446999999999999</v>
      </c>
      <c r="B53">
        <f t="shared" si="1"/>
        <v>20.5029</v>
      </c>
      <c r="C53">
        <v>482.85700000000003</v>
      </c>
      <c r="D53">
        <v>94.525000000000006</v>
      </c>
      <c r="E53">
        <v>156.875</v>
      </c>
      <c r="I53">
        <f t="shared" si="2"/>
        <v>0.98923281226503901</v>
      </c>
      <c r="J53">
        <f t="shared" si="3"/>
        <v>0.66067025267972468</v>
      </c>
      <c r="K53" s="4">
        <f t="shared" si="0"/>
        <v>0.98598285913973904</v>
      </c>
      <c r="L53" s="3">
        <f t="shared" si="4"/>
        <v>1.0032961558055233</v>
      </c>
      <c r="M53" s="3">
        <f t="shared" si="5"/>
        <v>0.6700626147356693</v>
      </c>
      <c r="R53">
        <f t="shared" si="6"/>
        <v>0.9224808960656482</v>
      </c>
      <c r="S53">
        <f t="shared" si="7"/>
        <v>0.9982775531138921</v>
      </c>
    </row>
    <row r="54" spans="1:19" x14ac:dyDescent="0.3">
      <c r="A54">
        <v>28.946999999999999</v>
      </c>
      <c r="B54">
        <f t="shared" si="1"/>
        <v>21.0029</v>
      </c>
      <c r="C54">
        <v>482.74599999999998</v>
      </c>
      <c r="D54">
        <v>94.338999999999999</v>
      </c>
      <c r="E54">
        <v>156.482</v>
      </c>
      <c r="I54">
        <f t="shared" si="2"/>
        <v>0.9890054057199098</v>
      </c>
      <c r="J54">
        <f t="shared" si="3"/>
        <v>0.65937022975458925</v>
      </c>
      <c r="K54" s="4">
        <f t="shared" si="0"/>
        <v>0.9835127953077587</v>
      </c>
      <c r="L54" s="3">
        <f t="shared" si="4"/>
        <v>1.0055846862779578</v>
      </c>
      <c r="M54" s="3">
        <f t="shared" si="5"/>
        <v>0.6704236415635656</v>
      </c>
      <c r="R54">
        <f t="shared" si="6"/>
        <v>0.92717409929513717</v>
      </c>
      <c r="S54">
        <f t="shared" si="7"/>
        <v>1.0016543350495313</v>
      </c>
    </row>
    <row r="55" spans="1:19" x14ac:dyDescent="0.3">
      <c r="A55">
        <v>29.446999999999999</v>
      </c>
      <c r="B55">
        <f t="shared" si="1"/>
        <v>21.5029</v>
      </c>
      <c r="C55">
        <v>478.34899999999999</v>
      </c>
      <c r="D55">
        <v>91.034000000000006</v>
      </c>
      <c r="E55">
        <v>149.625</v>
      </c>
      <c r="I55">
        <f t="shared" si="2"/>
        <v>0.9799972383421367</v>
      </c>
      <c r="J55">
        <f t="shared" si="3"/>
        <v>0.63627036003645665</v>
      </c>
      <c r="K55" s="4">
        <f t="shared" si="0"/>
        <v>0.94041552381694626</v>
      </c>
      <c r="L55" s="3">
        <f t="shared" si="4"/>
        <v>1.0420896013759287</v>
      </c>
      <c r="M55" s="3">
        <f t="shared" si="5"/>
        <v>0.67658427995102721</v>
      </c>
      <c r="R55">
        <f t="shared" si="6"/>
        <v>1.0020365437736527</v>
      </c>
      <c r="S55">
        <f t="shared" si="7"/>
        <v>1.0592764584246992</v>
      </c>
    </row>
    <row r="56" spans="1:19" x14ac:dyDescent="0.3">
      <c r="A56">
        <v>29.946400000000001</v>
      </c>
      <c r="B56">
        <f t="shared" si="1"/>
        <v>22.002300000000002</v>
      </c>
      <c r="C56">
        <v>477.77800000000002</v>
      </c>
      <c r="D56">
        <v>94.067999999999998</v>
      </c>
      <c r="E56">
        <v>154.518</v>
      </c>
      <c r="I56">
        <f t="shared" si="2"/>
        <v>0.97882742629467068</v>
      </c>
      <c r="J56">
        <f t="shared" si="3"/>
        <v>0.65747611033140796</v>
      </c>
      <c r="K56" s="4">
        <f t="shared" si="0"/>
        <v>0.97116876129755658</v>
      </c>
      <c r="L56" s="3">
        <f t="shared" si="4"/>
        <v>1.007886028981082</v>
      </c>
      <c r="M56" s="3">
        <f t="shared" si="5"/>
        <v>0.67699470630930203</v>
      </c>
      <c r="R56">
        <f t="shared" si="6"/>
        <v>0.93189357720314769</v>
      </c>
      <c r="S56">
        <f t="shared" si="7"/>
        <v>1.063115287579331</v>
      </c>
    </row>
    <row r="57" spans="1:19" x14ac:dyDescent="0.3">
      <c r="A57">
        <v>30.447199999999999</v>
      </c>
      <c r="B57">
        <f t="shared" si="1"/>
        <v>22.5031</v>
      </c>
      <c r="C57">
        <v>480.54</v>
      </c>
      <c r="D57">
        <v>93.287999999999997</v>
      </c>
      <c r="E57">
        <v>152.893</v>
      </c>
      <c r="I57">
        <f t="shared" si="2"/>
        <v>0.98448595672392003</v>
      </c>
      <c r="J57">
        <f t="shared" si="3"/>
        <v>0.65202440129051742</v>
      </c>
      <c r="K57" s="4">
        <f t="shared" si="0"/>
        <v>0.96095539303555133</v>
      </c>
      <c r="L57" s="3">
        <f t="shared" si="4"/>
        <v>1.0244866347167669</v>
      </c>
      <c r="M57" s="3">
        <f t="shared" si="5"/>
        <v>0.67851682400245938</v>
      </c>
      <c r="R57">
        <f t="shared" si="6"/>
        <v>0.96593726479595943</v>
      </c>
      <c r="S57">
        <f t="shared" si="7"/>
        <v>1.0773520675995876</v>
      </c>
    </row>
    <row r="58" spans="1:19" x14ac:dyDescent="0.3">
      <c r="A58">
        <v>30.9468</v>
      </c>
      <c r="B58">
        <f t="shared" si="1"/>
        <v>23.002700000000001</v>
      </c>
      <c r="C58">
        <v>478.11099999999999</v>
      </c>
      <c r="D58">
        <v>94.965999999999994</v>
      </c>
      <c r="E58">
        <v>158.893</v>
      </c>
      <c r="I58">
        <f t="shared" si="2"/>
        <v>0.97950964593005807</v>
      </c>
      <c r="J58">
        <f t="shared" si="3"/>
        <v>0.66375256509899738</v>
      </c>
      <c r="K58" s="4">
        <f t="shared" si="0"/>
        <v>0.99866629123372463</v>
      </c>
      <c r="L58" s="3">
        <f t="shared" si="4"/>
        <v>0.98081777118961233</v>
      </c>
      <c r="M58" s="3">
        <f t="shared" si="5"/>
        <v>0.66463899995965203</v>
      </c>
      <c r="R58">
        <f t="shared" si="6"/>
        <v>0.87638335506989085</v>
      </c>
      <c r="S58">
        <f t="shared" si="7"/>
        <v>0.94754901166937167</v>
      </c>
    </row>
    <row r="59" spans="1:19" x14ac:dyDescent="0.3">
      <c r="A59">
        <v>31.446999999999999</v>
      </c>
      <c r="B59">
        <f t="shared" si="1"/>
        <v>23.5029</v>
      </c>
      <c r="C59">
        <v>489.50799999999998</v>
      </c>
      <c r="D59">
        <v>90.644000000000005</v>
      </c>
      <c r="E59">
        <v>153.857</v>
      </c>
      <c r="I59">
        <f t="shared" si="2"/>
        <v>1.0028587666042632</v>
      </c>
      <c r="J59">
        <f t="shared" si="3"/>
        <v>0.63354450551601127</v>
      </c>
      <c r="K59" s="4">
        <f t="shared" si="0"/>
        <v>0.96701427734605783</v>
      </c>
      <c r="L59" s="3">
        <f t="shared" si="4"/>
        <v>1.0370671768741404</v>
      </c>
      <c r="M59" s="3">
        <f t="shared" si="5"/>
        <v>0.65515527573673005</v>
      </c>
      <c r="R59">
        <f t="shared" si="6"/>
        <v>0.99173680812425902</v>
      </c>
      <c r="S59">
        <f t="shared" si="7"/>
        <v>0.85884516429837832</v>
      </c>
    </row>
    <row r="60" spans="1:19" x14ac:dyDescent="0.3">
      <c r="A60">
        <v>31.946400000000001</v>
      </c>
      <c r="B60">
        <f t="shared" si="1"/>
        <v>24.002300000000002</v>
      </c>
      <c r="C60">
        <v>487.952</v>
      </c>
      <c r="D60">
        <v>92.22</v>
      </c>
      <c r="E60">
        <v>153.536</v>
      </c>
      <c r="I60">
        <f t="shared" si="2"/>
        <v>0.99967097755722767</v>
      </c>
      <c r="J60">
        <f t="shared" si="3"/>
        <v>0.64455975352683637</v>
      </c>
      <c r="K60" s="4">
        <f t="shared" si="0"/>
        <v>0.96499674429245563</v>
      </c>
      <c r="L60" s="3">
        <f t="shared" si="4"/>
        <v>1.0359319691696944</v>
      </c>
      <c r="M60" s="3">
        <f t="shared" si="5"/>
        <v>0.66793982191041834</v>
      </c>
      <c r="R60">
        <f t="shared" si="6"/>
        <v>0.98940878124027387</v>
      </c>
      <c r="S60">
        <f t="shared" si="7"/>
        <v>0.978422495507284</v>
      </c>
    </row>
    <row r="61" spans="1:19" x14ac:dyDescent="0.3">
      <c r="A61">
        <v>32.447099999999999</v>
      </c>
      <c r="B61">
        <f t="shared" si="1"/>
        <v>24.503</v>
      </c>
      <c r="C61">
        <v>482.07900000000001</v>
      </c>
      <c r="D61">
        <v>95.897999999999996</v>
      </c>
      <c r="E61">
        <v>158.786</v>
      </c>
      <c r="I61">
        <f t="shared" si="2"/>
        <v>0.98763891774152124</v>
      </c>
      <c r="J61">
        <f t="shared" si="3"/>
        <v>0.67026665846580524</v>
      </c>
      <c r="K61" s="4">
        <f t="shared" si="0"/>
        <v>0.99799378021585716</v>
      </c>
      <c r="L61" s="3">
        <f t="shared" si="4"/>
        <v>0.98962432163445324</v>
      </c>
      <c r="M61" s="3">
        <f t="shared" si="5"/>
        <v>0.67161406388808609</v>
      </c>
      <c r="R61">
        <f t="shared" si="6"/>
        <v>0.8944433859439469</v>
      </c>
      <c r="S61">
        <f t="shared" si="7"/>
        <v>1.0127886782357312</v>
      </c>
    </row>
    <row r="62" spans="1:19" x14ac:dyDescent="0.3">
      <c r="A62">
        <v>32.9465</v>
      </c>
      <c r="B62">
        <f t="shared" si="1"/>
        <v>25.002400000000002</v>
      </c>
      <c r="C62">
        <v>486.524</v>
      </c>
      <c r="D62">
        <v>94.507999999999996</v>
      </c>
      <c r="E62">
        <v>156.857</v>
      </c>
      <c r="I62">
        <f t="shared" si="2"/>
        <v>0.99674542308475556</v>
      </c>
      <c r="J62">
        <f t="shared" si="3"/>
        <v>0.66055143338011546</v>
      </c>
      <c r="K62" s="4">
        <f t="shared" si="0"/>
        <v>0.98586972644514448</v>
      </c>
      <c r="L62" s="3">
        <f t="shared" si="4"/>
        <v>1.0110315758237416</v>
      </c>
      <c r="M62" s="3">
        <f t="shared" si="5"/>
        <v>0.67001898492403877</v>
      </c>
      <c r="R62">
        <f t="shared" si="6"/>
        <v>0.93834430651538381</v>
      </c>
      <c r="S62">
        <f t="shared" si="7"/>
        <v>0.99786947164075679</v>
      </c>
    </row>
    <row r="63" spans="1:19" x14ac:dyDescent="0.3">
      <c r="A63">
        <v>33.447299999999998</v>
      </c>
      <c r="B63">
        <f t="shared" si="1"/>
        <v>25.5032</v>
      </c>
      <c r="C63">
        <v>485.19</v>
      </c>
      <c r="D63">
        <v>94.051000000000002</v>
      </c>
      <c r="E63">
        <v>157.321</v>
      </c>
      <c r="I63">
        <f t="shared" si="2"/>
        <v>0.99401244712797843</v>
      </c>
      <c r="J63">
        <f t="shared" si="3"/>
        <v>0.65735729103179885</v>
      </c>
      <c r="K63" s="4">
        <f t="shared" si="0"/>
        <v>0.98878603590580316</v>
      </c>
      <c r="L63" s="3">
        <f t="shared" si="4"/>
        <v>1.0052856847006213</v>
      </c>
      <c r="M63" s="3">
        <f t="shared" si="5"/>
        <v>0.66481247424738321</v>
      </c>
      <c r="R63">
        <f t="shared" si="6"/>
        <v>0.92656092189362094</v>
      </c>
      <c r="S63">
        <f t="shared" si="7"/>
        <v>0.94917156377864809</v>
      </c>
    </row>
    <row r="64" spans="1:19" x14ac:dyDescent="0.3">
      <c r="A64">
        <v>33.946899999999999</v>
      </c>
      <c r="B64">
        <f t="shared" si="1"/>
        <v>26.002800000000001</v>
      </c>
      <c r="C64">
        <v>484.42899999999997</v>
      </c>
      <c r="D64">
        <v>97.22</v>
      </c>
      <c r="E64">
        <v>159.304</v>
      </c>
      <c r="I64">
        <f t="shared" si="2"/>
        <v>0.99245338063389477</v>
      </c>
      <c r="J64">
        <f t="shared" si="3"/>
        <v>0.67950660635305826</v>
      </c>
      <c r="K64" s="4">
        <f t="shared" si="0"/>
        <v>1.0012494877602995</v>
      </c>
      <c r="L64" s="3">
        <f t="shared" si="4"/>
        <v>0.99121486978626994</v>
      </c>
      <c r="M64" s="3">
        <f t="shared" si="5"/>
        <v>0.67865863070057619</v>
      </c>
      <c r="R64">
        <f t="shared" si="6"/>
        <v>0.89770520212366456</v>
      </c>
      <c r="S64">
        <f t="shared" si="7"/>
        <v>1.0786784241458414</v>
      </c>
    </row>
    <row r="65" spans="1:19" x14ac:dyDescent="0.3">
      <c r="A65">
        <v>34.447299999999998</v>
      </c>
      <c r="B65">
        <f t="shared" si="1"/>
        <v>26.5032</v>
      </c>
      <c r="C65">
        <v>486.14299999999997</v>
      </c>
      <c r="D65">
        <v>93.831000000000003</v>
      </c>
      <c r="E65">
        <v>156.946</v>
      </c>
      <c r="I65">
        <f t="shared" si="2"/>
        <v>0.99596486548390684</v>
      </c>
      <c r="J65">
        <f t="shared" si="3"/>
        <v>0.6558196295074451</v>
      </c>
      <c r="K65" s="4">
        <f t="shared" si="0"/>
        <v>0.98642910476841739</v>
      </c>
      <c r="L65" s="3">
        <f t="shared" si="4"/>
        <v>1.0096669498795132</v>
      </c>
      <c r="M65" s="3">
        <f t="shared" si="5"/>
        <v>0.66484213243222479</v>
      </c>
      <c r="R65">
        <f t="shared" si="6"/>
        <v>0.93554580024000789</v>
      </c>
      <c r="S65">
        <f t="shared" si="7"/>
        <v>0.94944896483330232</v>
      </c>
    </row>
    <row r="66" spans="1:19" x14ac:dyDescent="0.3">
      <c r="A66">
        <v>34.946800000000003</v>
      </c>
      <c r="B66">
        <f t="shared" si="1"/>
        <v>27.002700000000004</v>
      </c>
      <c r="C66">
        <v>485.524</v>
      </c>
      <c r="D66">
        <v>91.016999999999996</v>
      </c>
      <c r="E66">
        <v>150.321</v>
      </c>
      <c r="I66">
        <f t="shared" si="2"/>
        <v>0.9946967154709796</v>
      </c>
      <c r="J66">
        <f t="shared" si="3"/>
        <v>0.63615154073684743</v>
      </c>
      <c r="K66" s="4">
        <f t="shared" ref="K66:K76" si="8">E66/$H$2</f>
        <v>0.94478998800793434</v>
      </c>
      <c r="L66" s="3">
        <f t="shared" si="4"/>
        <v>1.0528230909477272</v>
      </c>
      <c r="M66" s="3">
        <f t="shared" si="5"/>
        <v>0.6733258700996152</v>
      </c>
      <c r="R66">
        <f t="shared" si="6"/>
        <v>1.0240482445260852</v>
      </c>
      <c r="S66">
        <f t="shared" si="7"/>
        <v>1.0287996664664087</v>
      </c>
    </row>
    <row r="67" spans="1:19" x14ac:dyDescent="0.3">
      <c r="A67">
        <v>35.446800000000003</v>
      </c>
      <c r="B67">
        <f t="shared" ref="B67:B76" si="9">A67-$A$12</f>
        <v>27.502700000000004</v>
      </c>
      <c r="C67">
        <v>489.44400000000002</v>
      </c>
      <c r="D67">
        <v>88.373000000000005</v>
      </c>
      <c r="E67">
        <v>148.98599999999999</v>
      </c>
      <c r="I67">
        <f t="shared" ref="I67:I76" si="10">C67/$F$2</f>
        <v>1.0027276493169814</v>
      </c>
      <c r="J67">
        <f t="shared" ref="J67:J76" si="11">D67/$G$2</f>
        <v>0.61767164496234128</v>
      </c>
      <c r="K67" s="4">
        <f t="shared" si="8"/>
        <v>0.93639931315884073</v>
      </c>
      <c r="L67" s="3">
        <f t="shared" ref="L67:L76" si="12">I67/K67</f>
        <v>1.0708333883056678</v>
      </c>
      <c r="M67" s="3">
        <f t="shared" ref="M67:M76" si="13">J67/K67</f>
        <v>0.65962419694509755</v>
      </c>
      <c r="R67">
        <f t="shared" ref="R67:R76" si="14">(L67-$L$12)/($N$12-$L$12)</f>
        <v>1.0609828568209465</v>
      </c>
      <c r="S67">
        <f t="shared" ref="S67:S76" si="15">(M67-$M$12)/($O$12-$M$12)</f>
        <v>0.90064419761715719</v>
      </c>
    </row>
    <row r="68" spans="1:19" x14ac:dyDescent="0.3">
      <c r="A68">
        <v>35.946800000000003</v>
      </c>
      <c r="B68">
        <f t="shared" si="9"/>
        <v>28.002700000000004</v>
      </c>
      <c r="C68">
        <v>486.38099999999997</v>
      </c>
      <c r="D68">
        <v>92.677999999999997</v>
      </c>
      <c r="E68">
        <v>153.768</v>
      </c>
      <c r="I68">
        <f t="shared" si="10"/>
        <v>0.99645245789598558</v>
      </c>
      <c r="J68">
        <f t="shared" si="11"/>
        <v>0.64776088524571829</v>
      </c>
      <c r="K68" s="4">
        <f t="shared" si="8"/>
        <v>0.96645489902278492</v>
      </c>
      <c r="L68" s="3">
        <f t="shared" si="12"/>
        <v>1.0310387571148247</v>
      </c>
      <c r="M68" s="3">
        <f t="shared" si="13"/>
        <v>0.67024429789811313</v>
      </c>
      <c r="R68">
        <f t="shared" si="14"/>
        <v>0.97937402798044104</v>
      </c>
      <c r="S68">
        <f t="shared" si="15"/>
        <v>0.99997688505696403</v>
      </c>
    </row>
    <row r="69" spans="1:19" x14ac:dyDescent="0.3">
      <c r="A69">
        <v>36.447000000000003</v>
      </c>
      <c r="B69">
        <f t="shared" si="9"/>
        <v>28.502900000000004</v>
      </c>
      <c r="C69">
        <v>489.74599999999998</v>
      </c>
      <c r="D69">
        <v>94.287999999999997</v>
      </c>
      <c r="E69">
        <v>155.929</v>
      </c>
      <c r="I69">
        <f t="shared" si="10"/>
        <v>1.0033463590163418</v>
      </c>
      <c r="J69">
        <f t="shared" si="11"/>
        <v>0.65901377185576171</v>
      </c>
      <c r="K69" s="4">
        <f t="shared" si="8"/>
        <v>0.980037107523827</v>
      </c>
      <c r="L69" s="3">
        <f t="shared" si="12"/>
        <v>1.0237840499237914</v>
      </c>
      <c r="M69" s="3">
        <f t="shared" si="13"/>
        <v>0.67243757077814481</v>
      </c>
      <c r="R69">
        <f t="shared" si="14"/>
        <v>0.96449643922728123</v>
      </c>
      <c r="S69">
        <f t="shared" si="15"/>
        <v>1.0204911617504007</v>
      </c>
    </row>
    <row r="70" spans="1:19" x14ac:dyDescent="0.3">
      <c r="A70">
        <v>36.946599999999997</v>
      </c>
      <c r="B70">
        <f t="shared" si="9"/>
        <v>29.002499999999998</v>
      </c>
      <c r="C70">
        <v>487.238</v>
      </c>
      <c r="D70">
        <v>91.067999999999998</v>
      </c>
      <c r="E70">
        <v>150.821</v>
      </c>
      <c r="I70">
        <f t="shared" si="10"/>
        <v>0.99820820032099167</v>
      </c>
      <c r="J70">
        <f t="shared" si="11"/>
        <v>0.63650799863567487</v>
      </c>
      <c r="K70" s="4">
        <f t="shared" si="8"/>
        <v>0.94793256285778216</v>
      </c>
      <c r="L70" s="3">
        <f t="shared" si="12"/>
        <v>1.053037145713869</v>
      </c>
      <c r="M70" s="3">
        <f t="shared" si="13"/>
        <v>0.67146970530979622</v>
      </c>
      <c r="R70">
        <f t="shared" si="14"/>
        <v>1.0244872172781829</v>
      </c>
      <c r="S70">
        <f t="shared" si="15"/>
        <v>1.0114384532614147</v>
      </c>
    </row>
    <row r="71" spans="1:19" x14ac:dyDescent="0.3">
      <c r="A71">
        <v>37.446800000000003</v>
      </c>
      <c r="B71">
        <f t="shared" si="9"/>
        <v>29.502700000000004</v>
      </c>
      <c r="C71">
        <v>491.81</v>
      </c>
      <c r="D71">
        <v>92.728999999999999</v>
      </c>
      <c r="E71">
        <v>152.929</v>
      </c>
      <c r="I71">
        <f t="shared" si="10"/>
        <v>1.0075748915311755</v>
      </c>
      <c r="J71">
        <f t="shared" si="11"/>
        <v>0.64811734314454583</v>
      </c>
      <c r="K71" s="4">
        <f t="shared" si="8"/>
        <v>0.96118165842474035</v>
      </c>
      <c r="L71" s="3">
        <f t="shared" si="12"/>
        <v>1.0482668730721183</v>
      </c>
      <c r="M71" s="3">
        <f t="shared" si="13"/>
        <v>0.67429225002767035</v>
      </c>
      <c r="R71">
        <f t="shared" si="14"/>
        <v>1.0147045819855922</v>
      </c>
      <c r="S71">
        <f t="shared" si="15"/>
        <v>1.0378384802937244</v>
      </c>
    </row>
    <row r="72" spans="1:19" x14ac:dyDescent="0.3">
      <c r="A72">
        <v>37.946800000000003</v>
      </c>
      <c r="B72">
        <f t="shared" si="9"/>
        <v>30.002700000000004</v>
      </c>
      <c r="C72">
        <v>486.15899999999999</v>
      </c>
      <c r="D72">
        <v>90.813999999999993</v>
      </c>
      <c r="E72">
        <v>150.446</v>
      </c>
      <c r="I72">
        <f t="shared" si="10"/>
        <v>0.99599764480572728</v>
      </c>
      <c r="J72">
        <f t="shared" si="11"/>
        <v>0.63473269851210279</v>
      </c>
      <c r="K72" s="4">
        <f t="shared" si="8"/>
        <v>0.94557563172039627</v>
      </c>
      <c r="L72" s="3">
        <f t="shared" si="12"/>
        <v>1.0533241460480451</v>
      </c>
      <c r="M72" s="3">
        <f t="shared" si="13"/>
        <v>0.67126592227980686</v>
      </c>
      <c r="R72">
        <f t="shared" si="14"/>
        <v>1.0250757831336279</v>
      </c>
      <c r="S72">
        <f t="shared" si="15"/>
        <v>1.0095324152573484</v>
      </c>
    </row>
    <row r="73" spans="1:19" x14ac:dyDescent="0.3">
      <c r="A73">
        <v>38.446800000000003</v>
      </c>
      <c r="B73">
        <f t="shared" si="9"/>
        <v>30.502700000000004</v>
      </c>
      <c r="C73">
        <v>489.57100000000003</v>
      </c>
      <c r="D73">
        <v>91.932000000000002</v>
      </c>
      <c r="E73">
        <v>152.125</v>
      </c>
      <c r="I73">
        <f t="shared" si="10"/>
        <v>1.0029878351839312</v>
      </c>
      <c r="J73">
        <f t="shared" si="11"/>
        <v>0.64254681480404607</v>
      </c>
      <c r="K73" s="4">
        <f t="shared" si="8"/>
        <v>0.95612839806618521</v>
      </c>
      <c r="L73" s="3">
        <f t="shared" si="12"/>
        <v>1.0490095652555884</v>
      </c>
      <c r="M73" s="3">
        <f t="shared" si="13"/>
        <v>0.67202984045200131</v>
      </c>
      <c r="R73">
        <f t="shared" si="14"/>
        <v>1.0162276577741658</v>
      </c>
      <c r="S73">
        <f t="shared" si="15"/>
        <v>1.0166775493162326</v>
      </c>
    </row>
    <row r="74" spans="1:19" x14ac:dyDescent="0.3">
      <c r="A74">
        <v>38.946899999999999</v>
      </c>
      <c r="B74">
        <f t="shared" si="9"/>
        <v>31.002800000000001</v>
      </c>
      <c r="C74">
        <v>485.87299999999999</v>
      </c>
      <c r="D74">
        <v>92.831000000000003</v>
      </c>
      <c r="E74">
        <v>153.393</v>
      </c>
      <c r="I74">
        <f t="shared" si="10"/>
        <v>0.99541171442818743</v>
      </c>
      <c r="J74">
        <f t="shared" si="11"/>
        <v>0.6488302589422007</v>
      </c>
      <c r="K74" s="4">
        <f t="shared" si="8"/>
        <v>0.96409796788539914</v>
      </c>
      <c r="L74" s="3">
        <f t="shared" si="12"/>
        <v>1.0324798387569161</v>
      </c>
      <c r="M74" s="3">
        <f t="shared" si="13"/>
        <v>0.67299204080401731</v>
      </c>
      <c r="R74">
        <f t="shared" si="14"/>
        <v>0.98232932575693321</v>
      </c>
      <c r="S74">
        <f t="shared" si="15"/>
        <v>1.0256772704341506</v>
      </c>
    </row>
    <row r="75" spans="1:19" x14ac:dyDescent="0.3">
      <c r="A75">
        <v>39.446899999999999</v>
      </c>
      <c r="B75">
        <f t="shared" si="9"/>
        <v>31.502800000000001</v>
      </c>
      <c r="C75">
        <v>482.85700000000003</v>
      </c>
      <c r="D75">
        <v>92.78</v>
      </c>
      <c r="E75">
        <v>154.036</v>
      </c>
      <c r="I75">
        <f t="shared" si="10"/>
        <v>0.98923281226503901</v>
      </c>
      <c r="J75">
        <f t="shared" si="11"/>
        <v>0.64847380104337327</v>
      </c>
      <c r="K75" s="4">
        <f t="shared" si="8"/>
        <v>0.96813931914230333</v>
      </c>
      <c r="L75" s="3">
        <f t="shared" si="12"/>
        <v>1.0217876628969298</v>
      </c>
      <c r="M75" s="3">
        <f t="shared" si="13"/>
        <v>0.66981454861049439</v>
      </c>
      <c r="R75">
        <f t="shared" si="14"/>
        <v>0.96040234908750277</v>
      </c>
      <c r="S75">
        <f t="shared" si="15"/>
        <v>0.99595732329824171</v>
      </c>
    </row>
    <row r="76" spans="1:19" x14ac:dyDescent="0.3">
      <c r="A76">
        <v>39.946899999999999</v>
      </c>
      <c r="B76">
        <f t="shared" si="9"/>
        <v>32.002800000000001</v>
      </c>
      <c r="C76">
        <v>495.38099999999997</v>
      </c>
      <c r="D76">
        <v>95.102000000000004</v>
      </c>
      <c r="E76">
        <v>158.982</v>
      </c>
      <c r="I76">
        <f t="shared" si="10"/>
        <v>1.0148908264199696</v>
      </c>
      <c r="J76">
        <f t="shared" si="11"/>
        <v>0.66470311949587069</v>
      </c>
      <c r="K76" s="4">
        <f t="shared" si="8"/>
        <v>0.99922566955699754</v>
      </c>
      <c r="L76" s="3">
        <f t="shared" si="12"/>
        <v>1.0156772962707385</v>
      </c>
      <c r="M76" s="3">
        <f t="shared" si="13"/>
        <v>0.66521821821347327</v>
      </c>
      <c r="R76">
        <f t="shared" si="14"/>
        <v>0.94787151642924405</v>
      </c>
      <c r="S76">
        <f t="shared" si="15"/>
        <v>0.95296659724796429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35CD-19F0-4330-A480-D5DB63099304}">
  <dimension ref="A1:S152"/>
  <sheetViews>
    <sheetView topLeftCell="C1" workbookViewId="0">
      <selection sqref="A1:E1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16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A2-$A$7</f>
        <v>-5.0107999999999997</v>
      </c>
      <c r="C2">
        <v>541.24099999999999</v>
      </c>
      <c r="D2">
        <v>45.804000000000002</v>
      </c>
      <c r="E2">
        <v>36.204000000000001</v>
      </c>
      <c r="F2">
        <f>AVERAGE(C2:C6)</f>
        <v>524.75859999999989</v>
      </c>
      <c r="G2">
        <f>AVERAGE(D2:D6)</f>
        <v>43.575200000000002</v>
      </c>
      <c r="H2">
        <f>AVERAGE(E2:E6)</f>
        <v>37.374199999999995</v>
      </c>
      <c r="I2">
        <f>C2/$F$2</f>
        <v>1.0314094900016886</v>
      </c>
      <c r="J2">
        <f>D2/$G$2</f>
        <v>1.0511483596173969</v>
      </c>
      <c r="K2" s="4">
        <f>E2/$H$2</f>
        <v>0.96868963081484039</v>
      </c>
      <c r="L2" s="3">
        <f>I2/K2</f>
        <v>1.064747115269614</v>
      </c>
      <c r="M2" s="3">
        <f>J2/K2</f>
        <v>1.085123992432121</v>
      </c>
      <c r="R2">
        <f>(L2-$L$7)/($N$7-$L$7)</f>
        <v>1.6163547428907841</v>
      </c>
      <c r="S2">
        <f>(M2-$M$7)/($O$7-$M$7)</f>
        <v>3.5756830702671074</v>
      </c>
    </row>
    <row r="3" spans="1:19" x14ac:dyDescent="0.3">
      <c r="A3">
        <v>0.50280000000000002</v>
      </c>
      <c r="B3">
        <f t="shared" ref="B3:B66" si="0">A3-$A$7</f>
        <v>-4.508</v>
      </c>
      <c r="C3">
        <v>526.48299999999995</v>
      </c>
      <c r="D3">
        <v>43.320999999999998</v>
      </c>
      <c r="E3">
        <v>38.055999999999997</v>
      </c>
      <c r="I3">
        <f t="shared" ref="I3:I66" si="1">C3/$F$2</f>
        <v>1.0032860824005554</v>
      </c>
      <c r="J3">
        <f t="shared" ref="J3:J66" si="2">D3/$G$2</f>
        <v>0.99416640657988942</v>
      </c>
      <c r="K3" s="4">
        <f t="shared" ref="K3:K66" si="3">E3/$H$2</f>
        <v>1.0182425309438061</v>
      </c>
      <c r="L3" s="3">
        <f t="shared" ref="L3:L66" si="4">I3/K3</f>
        <v>0.98531150674939139</v>
      </c>
      <c r="M3" s="3">
        <f t="shared" ref="M3:M66" si="5">J3/K3</f>
        <v>0.97635521633377398</v>
      </c>
      <c r="R3">
        <f t="shared" ref="R3:R66" si="6">(L3-$L$7)/($N$7-$L$7)</f>
        <v>1.4606306608408179</v>
      </c>
      <c r="S3">
        <f t="shared" ref="S3:S66" si="7">(M3-$M$7)/($O$7-$M$7)</f>
        <v>2.8498997644194426</v>
      </c>
    </row>
    <row r="4" spans="1:19" x14ac:dyDescent="0.3">
      <c r="A4">
        <v>1.0029999999999999</v>
      </c>
      <c r="B4">
        <f t="shared" si="0"/>
        <v>-4.0077999999999996</v>
      </c>
      <c r="C4">
        <v>535.22400000000005</v>
      </c>
      <c r="D4">
        <v>42.554000000000002</v>
      </c>
      <c r="E4">
        <v>37.648000000000003</v>
      </c>
      <c r="I4">
        <f t="shared" si="1"/>
        <v>1.0199432653414353</v>
      </c>
      <c r="J4">
        <f t="shared" si="2"/>
        <v>0.9765646514531201</v>
      </c>
      <c r="K4" s="4">
        <f t="shared" si="3"/>
        <v>1.0073259093171227</v>
      </c>
      <c r="L4" s="3">
        <f t="shared" si="4"/>
        <v>1.0125255946537364</v>
      </c>
      <c r="M4" s="3">
        <f t="shared" si="5"/>
        <v>0.96946245740382475</v>
      </c>
      <c r="R4">
        <f t="shared" si="6"/>
        <v>1.5139806500544379</v>
      </c>
      <c r="S4">
        <f t="shared" si="7"/>
        <v>2.8039063319102246</v>
      </c>
    </row>
    <row r="5" spans="1:19" x14ac:dyDescent="0.3">
      <c r="A5">
        <v>1.5028999999999999</v>
      </c>
      <c r="B5">
        <f t="shared" si="0"/>
        <v>-3.5078999999999998</v>
      </c>
      <c r="C5">
        <v>519.43100000000004</v>
      </c>
      <c r="D5">
        <v>43.286000000000001</v>
      </c>
      <c r="E5">
        <v>38.610999999999997</v>
      </c>
      <c r="I5">
        <f t="shared" si="1"/>
        <v>0.98984752227024031</v>
      </c>
      <c r="J5">
        <f t="shared" si="2"/>
        <v>0.99336319741504342</v>
      </c>
      <c r="K5" s="4">
        <f t="shared" si="3"/>
        <v>1.0330923471271627</v>
      </c>
      <c r="L5" s="3">
        <f t="shared" si="4"/>
        <v>0.95814040731481731</v>
      </c>
      <c r="M5" s="3">
        <f t="shared" si="5"/>
        <v>0.96154346721994544</v>
      </c>
      <c r="R5">
        <f t="shared" si="6"/>
        <v>1.4073649454197514</v>
      </c>
      <c r="S5">
        <f t="shared" si="7"/>
        <v>2.7510651482470534</v>
      </c>
    </row>
    <row r="6" spans="1:19" x14ac:dyDescent="0.3">
      <c r="A6">
        <v>2.0026999999999999</v>
      </c>
      <c r="B6">
        <f t="shared" si="0"/>
        <v>-3.0080999999999998</v>
      </c>
      <c r="C6">
        <v>501.41399999999999</v>
      </c>
      <c r="D6">
        <v>42.911000000000001</v>
      </c>
      <c r="E6">
        <v>36.351999999999997</v>
      </c>
      <c r="I6">
        <f t="shared" si="1"/>
        <v>0.95551363998608141</v>
      </c>
      <c r="J6">
        <f t="shared" si="2"/>
        <v>0.9847573849345499</v>
      </c>
      <c r="K6" s="4">
        <f t="shared" si="3"/>
        <v>0.97264958179706862</v>
      </c>
      <c r="L6" s="3">
        <f t="shared" si="4"/>
        <v>0.98238220410342769</v>
      </c>
      <c r="M6" s="3">
        <f t="shared" si="5"/>
        <v>1.0124482684864891</v>
      </c>
      <c r="R6">
        <f t="shared" si="6"/>
        <v>1.4548881106912446</v>
      </c>
      <c r="S6">
        <f t="shared" si="7"/>
        <v>3.0907385018696458</v>
      </c>
    </row>
    <row r="7" spans="1:19" x14ac:dyDescent="0.3">
      <c r="A7" s="1">
        <v>5.0107999999999997</v>
      </c>
      <c r="B7" s="1">
        <f t="shared" si="0"/>
        <v>0</v>
      </c>
      <c r="C7" s="1">
        <v>121.431</v>
      </c>
      <c r="D7" s="1">
        <v>23.053999999999998</v>
      </c>
      <c r="E7" s="1">
        <v>36</v>
      </c>
      <c r="F7" s="1"/>
      <c r="G7" s="1"/>
      <c r="H7" s="1"/>
      <c r="I7" s="1">
        <f t="shared" si="1"/>
        <v>0.23140354441070624</v>
      </c>
      <c r="J7" s="1">
        <f t="shared" si="2"/>
        <v>0.5290624024674585</v>
      </c>
      <c r="K7" s="1">
        <f t="shared" si="3"/>
        <v>0.96323132000149847</v>
      </c>
      <c r="L7" s="1">
        <f t="shared" si="4"/>
        <v>0.24023673193096157</v>
      </c>
      <c r="M7" s="1">
        <f t="shared" si="5"/>
        <v>0.54925789006386905</v>
      </c>
      <c r="N7" s="1">
        <f>AVERAGE(L61:L71)</f>
        <v>0.75034157553976588</v>
      </c>
      <c r="O7" s="1">
        <f>AVERAGE(M61:M71)</f>
        <v>0.69912187180882335</v>
      </c>
      <c r="P7" s="5">
        <f>(N7-L7)/(1-L7)</f>
        <v>0.67139971757946559</v>
      </c>
      <c r="Q7" s="5">
        <f>(O7-M7)/(1-M7)</f>
        <v>0.33248276218565348</v>
      </c>
      <c r="R7">
        <f t="shared" si="6"/>
        <v>0</v>
      </c>
      <c r="S7">
        <f t="shared" si="7"/>
        <v>0</v>
      </c>
    </row>
    <row r="8" spans="1:19" x14ac:dyDescent="0.3">
      <c r="A8">
        <v>5.5133000000000001</v>
      </c>
      <c r="B8">
        <f t="shared" si="0"/>
        <v>0.50250000000000039</v>
      </c>
      <c r="C8">
        <v>154.69</v>
      </c>
      <c r="D8">
        <v>24.821000000000002</v>
      </c>
      <c r="E8">
        <v>36.055999999999997</v>
      </c>
      <c r="I8">
        <f t="shared" si="1"/>
        <v>0.29478316315349579</v>
      </c>
      <c r="J8">
        <f t="shared" si="2"/>
        <v>0.56961299087554385</v>
      </c>
      <c r="K8" s="4">
        <f t="shared" si="3"/>
        <v>0.96472967983261182</v>
      </c>
      <c r="L8" s="3">
        <f t="shared" si="4"/>
        <v>0.30556037542521031</v>
      </c>
      <c r="M8" s="3">
        <f t="shared" si="5"/>
        <v>0.59043792554861185</v>
      </c>
      <c r="R8">
        <f t="shared" si="6"/>
        <v>0.12805924960858631</v>
      </c>
      <c r="S8">
        <f t="shared" si="7"/>
        <v>0.27478273969008082</v>
      </c>
    </row>
    <row r="9" spans="1:19" x14ac:dyDescent="0.3">
      <c r="A9">
        <v>6.0138999999999996</v>
      </c>
      <c r="B9">
        <f t="shared" si="0"/>
        <v>1.0030999999999999</v>
      </c>
      <c r="C9">
        <v>188.94800000000001</v>
      </c>
      <c r="D9">
        <v>25.071000000000002</v>
      </c>
      <c r="E9">
        <v>36.148000000000003</v>
      </c>
      <c r="I9">
        <f t="shared" si="1"/>
        <v>0.36006651439347548</v>
      </c>
      <c r="J9">
        <f t="shared" si="2"/>
        <v>0.57535019919587294</v>
      </c>
      <c r="K9" s="4">
        <f t="shared" si="3"/>
        <v>0.96719127098372693</v>
      </c>
      <c r="L9" s="3">
        <f t="shared" si="4"/>
        <v>0.37228056662179454</v>
      </c>
      <c r="M9" s="3">
        <f t="shared" si="5"/>
        <v>0.59486703039687927</v>
      </c>
      <c r="R9">
        <f t="shared" si="6"/>
        <v>0.25885626522710781</v>
      </c>
      <c r="S9">
        <f t="shared" si="7"/>
        <v>0.30433690471824004</v>
      </c>
    </row>
    <row r="10" spans="1:19" x14ac:dyDescent="0.3">
      <c r="A10">
        <v>6.5133000000000001</v>
      </c>
      <c r="B10">
        <f t="shared" si="0"/>
        <v>1.5025000000000004</v>
      </c>
      <c r="C10">
        <v>223.24100000000001</v>
      </c>
      <c r="D10">
        <v>25.803999999999998</v>
      </c>
      <c r="E10">
        <v>36</v>
      </c>
      <c r="I10">
        <f t="shared" si="1"/>
        <v>0.42541656296819158</v>
      </c>
      <c r="J10">
        <f t="shared" si="2"/>
        <v>0.59217169399107739</v>
      </c>
      <c r="K10" s="4">
        <f t="shared" si="3"/>
        <v>0.96323132000149847</v>
      </c>
      <c r="L10" s="3">
        <f t="shared" si="4"/>
        <v>0.44165565854682731</v>
      </c>
      <c r="M10" s="3">
        <f t="shared" si="5"/>
        <v>0.61477620348781448</v>
      </c>
      <c r="R10">
        <f t="shared" si="6"/>
        <v>0.3948578986055119</v>
      </c>
      <c r="S10">
        <f t="shared" si="7"/>
        <v>0.43718519060468869</v>
      </c>
    </row>
    <row r="11" spans="1:19" x14ac:dyDescent="0.3">
      <c r="A11">
        <v>7.0134999999999996</v>
      </c>
      <c r="B11">
        <f t="shared" si="0"/>
        <v>2.0026999999999999</v>
      </c>
      <c r="C11">
        <v>231.328</v>
      </c>
      <c r="D11">
        <v>26.178999999999998</v>
      </c>
      <c r="E11">
        <v>37.5</v>
      </c>
      <c r="I11">
        <f t="shared" si="1"/>
        <v>0.44082745856856859</v>
      </c>
      <c r="J11">
        <f t="shared" si="2"/>
        <v>0.60077750647157091</v>
      </c>
      <c r="K11" s="4">
        <f t="shared" si="3"/>
        <v>1.0033659583348942</v>
      </c>
      <c r="L11" s="3">
        <f t="shared" si="4"/>
        <v>0.4393486293875572</v>
      </c>
      <c r="M11" s="3">
        <f t="shared" si="5"/>
        <v>0.59876209819652759</v>
      </c>
      <c r="R11">
        <f t="shared" si="6"/>
        <v>0.39033524176706919</v>
      </c>
      <c r="S11">
        <f t="shared" si="7"/>
        <v>0.33032759143492646</v>
      </c>
    </row>
    <row r="12" spans="1:19" x14ac:dyDescent="0.3">
      <c r="A12">
        <v>7.5133999999999999</v>
      </c>
      <c r="B12">
        <f t="shared" si="0"/>
        <v>2.5026000000000002</v>
      </c>
      <c r="C12">
        <v>249.79300000000001</v>
      </c>
      <c r="D12">
        <v>26.213999999999999</v>
      </c>
      <c r="E12">
        <v>36.277999999999999</v>
      </c>
      <c r="I12">
        <f t="shared" si="1"/>
        <v>0.47601506673735328</v>
      </c>
      <c r="J12">
        <f t="shared" si="2"/>
        <v>0.60158071563641702</v>
      </c>
      <c r="K12" s="4">
        <f t="shared" si="3"/>
        <v>0.97066960630595445</v>
      </c>
      <c r="L12" s="3">
        <f t="shared" si="4"/>
        <v>0.49039865227562673</v>
      </c>
      <c r="M12" s="3">
        <f t="shared" si="5"/>
        <v>0.61975847572464238</v>
      </c>
      <c r="R12">
        <f t="shared" si="6"/>
        <v>0.49041275235667542</v>
      </c>
      <c r="S12">
        <f t="shared" si="7"/>
        <v>0.47043048529669124</v>
      </c>
    </row>
    <row r="13" spans="1:19" x14ac:dyDescent="0.3">
      <c r="A13">
        <v>8.0134000000000007</v>
      </c>
      <c r="B13">
        <f t="shared" si="0"/>
        <v>3.002600000000001</v>
      </c>
      <c r="C13">
        <v>255.62100000000001</v>
      </c>
      <c r="D13">
        <v>27</v>
      </c>
      <c r="E13">
        <v>35.648000000000003</v>
      </c>
      <c r="I13">
        <f t="shared" si="1"/>
        <v>0.48712112579003003</v>
      </c>
      <c r="J13">
        <f t="shared" si="2"/>
        <v>0.61961849859553142</v>
      </c>
      <c r="K13" s="4">
        <f t="shared" si="3"/>
        <v>0.95381305820592832</v>
      </c>
      <c r="L13" s="3">
        <f t="shared" si="4"/>
        <v>0.51070922294383236</v>
      </c>
      <c r="M13" s="3">
        <f t="shared" si="5"/>
        <v>0.64962257883216745</v>
      </c>
      <c r="R13">
        <f t="shared" si="6"/>
        <v>0.53022921542829771</v>
      </c>
      <c r="S13">
        <f t="shared" si="7"/>
        <v>0.66970520601210126</v>
      </c>
    </row>
    <row r="14" spans="1:19" x14ac:dyDescent="0.3">
      <c r="A14">
        <v>8.5134000000000007</v>
      </c>
      <c r="B14">
        <f t="shared" si="0"/>
        <v>3.502600000000001</v>
      </c>
      <c r="C14">
        <v>275.5</v>
      </c>
      <c r="D14">
        <v>27.606999999999999</v>
      </c>
      <c r="E14">
        <v>37.389000000000003</v>
      </c>
      <c r="I14">
        <f t="shared" si="1"/>
        <v>0.52500330628216485</v>
      </c>
      <c r="J14">
        <f t="shared" si="2"/>
        <v>0.63354844039729019</v>
      </c>
      <c r="K14" s="4">
        <f t="shared" si="3"/>
        <v>1.0003959950982231</v>
      </c>
      <c r="L14" s="3">
        <f t="shared" si="4"/>
        <v>0.52479548984061841</v>
      </c>
      <c r="M14" s="3">
        <f t="shared" si="5"/>
        <v>0.63329765762915291</v>
      </c>
      <c r="R14">
        <f t="shared" si="6"/>
        <v>0.55784366973759403</v>
      </c>
      <c r="S14">
        <f t="shared" si="7"/>
        <v>0.56077362009710086</v>
      </c>
    </row>
    <row r="15" spans="1:19" x14ac:dyDescent="0.3">
      <c r="A15">
        <v>9.0135000000000005</v>
      </c>
      <c r="B15">
        <f t="shared" si="0"/>
        <v>4.0027000000000008</v>
      </c>
      <c r="C15">
        <v>269.08600000000001</v>
      </c>
      <c r="D15">
        <v>27</v>
      </c>
      <c r="E15">
        <v>35.426000000000002</v>
      </c>
      <c r="I15">
        <f t="shared" si="1"/>
        <v>0.51278054328218736</v>
      </c>
      <c r="J15">
        <f t="shared" si="2"/>
        <v>0.61961849859553142</v>
      </c>
      <c r="K15" s="4">
        <f t="shared" si="3"/>
        <v>0.94787313173258581</v>
      </c>
      <c r="L15" s="3">
        <f t="shared" si="4"/>
        <v>0.5409801439828692</v>
      </c>
      <c r="M15" s="3">
        <f t="shared" si="5"/>
        <v>0.65369349320298942</v>
      </c>
      <c r="R15">
        <f t="shared" si="6"/>
        <v>0.5895717631776608</v>
      </c>
      <c r="S15">
        <f t="shared" si="7"/>
        <v>0.69686926720560438</v>
      </c>
    </row>
    <row r="16" spans="1:19" x14ac:dyDescent="0.3">
      <c r="A16">
        <v>9.5137</v>
      </c>
      <c r="B16">
        <f t="shared" si="0"/>
        <v>4.5029000000000003</v>
      </c>
      <c r="C16">
        <v>296.75900000000001</v>
      </c>
      <c r="D16">
        <v>26.411000000000001</v>
      </c>
      <c r="E16">
        <v>34.777999999999999</v>
      </c>
      <c r="I16">
        <f t="shared" si="1"/>
        <v>0.56551526740104896</v>
      </c>
      <c r="J16">
        <f t="shared" si="2"/>
        <v>0.60610163579283627</v>
      </c>
      <c r="K16" s="4">
        <f t="shared" si="3"/>
        <v>0.93053496797255875</v>
      </c>
      <c r="L16" s="3">
        <f t="shared" si="4"/>
        <v>0.60773134472655932</v>
      </c>
      <c r="M16" s="3">
        <f t="shared" si="5"/>
        <v>0.65134751154317727</v>
      </c>
      <c r="R16">
        <f t="shared" si="6"/>
        <v>0.72042956933266589</v>
      </c>
      <c r="S16">
        <f t="shared" si="7"/>
        <v>0.68121519454253676</v>
      </c>
    </row>
    <row r="17" spans="1:19" x14ac:dyDescent="0.3">
      <c r="A17">
        <v>10.013500000000001</v>
      </c>
      <c r="B17">
        <f t="shared" si="0"/>
        <v>5.0027000000000008</v>
      </c>
      <c r="C17">
        <v>294.58600000000001</v>
      </c>
      <c r="D17">
        <v>26.893000000000001</v>
      </c>
      <c r="E17">
        <v>35.036999999999999</v>
      </c>
      <c r="I17">
        <f t="shared" si="1"/>
        <v>0.56137431573298668</v>
      </c>
      <c r="J17">
        <f t="shared" si="2"/>
        <v>0.61716297343443061</v>
      </c>
      <c r="K17" s="4">
        <f t="shared" si="3"/>
        <v>0.9374648821914584</v>
      </c>
      <c r="L17" s="3">
        <f t="shared" si="4"/>
        <v>0.5988217013747692</v>
      </c>
      <c r="M17" s="3">
        <f t="shared" si="5"/>
        <v>0.65833183211271207</v>
      </c>
      <c r="R17">
        <f t="shared" si="6"/>
        <v>0.70296327105414402</v>
      </c>
      <c r="S17">
        <f t="shared" si="7"/>
        <v>0.72781959199823132</v>
      </c>
    </row>
    <row r="18" spans="1:19" x14ac:dyDescent="0.3">
      <c r="A18">
        <v>10.5131</v>
      </c>
      <c r="B18">
        <f t="shared" si="0"/>
        <v>5.5023</v>
      </c>
      <c r="C18">
        <v>306.25900000000001</v>
      </c>
      <c r="D18">
        <v>28.143000000000001</v>
      </c>
      <c r="E18">
        <v>37</v>
      </c>
      <c r="I18">
        <f t="shared" si="1"/>
        <v>0.58361882968664081</v>
      </c>
      <c r="J18">
        <f t="shared" si="2"/>
        <v>0.6458490150360755</v>
      </c>
      <c r="K18" s="4">
        <f t="shared" si="3"/>
        <v>0.98998774555709568</v>
      </c>
      <c r="L18" s="3">
        <f t="shared" si="4"/>
        <v>0.58952126660741755</v>
      </c>
      <c r="M18" s="3">
        <f t="shared" si="5"/>
        <v>0.65238081777733214</v>
      </c>
      <c r="R18">
        <f t="shared" si="6"/>
        <v>0.68473087258963528</v>
      </c>
      <c r="S18">
        <f t="shared" si="7"/>
        <v>0.6881101550402059</v>
      </c>
    </row>
    <row r="19" spans="1:19" x14ac:dyDescent="0.3">
      <c r="A19">
        <v>11.0136</v>
      </c>
      <c r="B19">
        <f t="shared" si="0"/>
        <v>6.0028000000000006</v>
      </c>
      <c r="C19">
        <v>304.43099999999998</v>
      </c>
      <c r="D19">
        <v>27.838999999999999</v>
      </c>
      <c r="E19">
        <v>35.926000000000002</v>
      </c>
      <c r="I19">
        <f t="shared" si="1"/>
        <v>0.58013532317526584</v>
      </c>
      <c r="J19">
        <f t="shared" si="2"/>
        <v>0.63887256971855544</v>
      </c>
      <c r="K19" s="4">
        <f t="shared" si="3"/>
        <v>0.96125134451038441</v>
      </c>
      <c r="L19" s="3">
        <f t="shared" si="4"/>
        <v>0.60352094848903348</v>
      </c>
      <c r="M19" s="3">
        <f t="shared" si="5"/>
        <v>0.66462593094625699</v>
      </c>
      <c r="R19">
        <f t="shared" si="6"/>
        <v>0.71217558725372931</v>
      </c>
      <c r="S19">
        <f t="shared" si="7"/>
        <v>0.7698183348599853</v>
      </c>
    </row>
    <row r="20" spans="1:19" x14ac:dyDescent="0.3">
      <c r="A20">
        <v>11.5136</v>
      </c>
      <c r="B20">
        <f t="shared" si="0"/>
        <v>6.5028000000000006</v>
      </c>
      <c r="C20">
        <v>312.25900000000001</v>
      </c>
      <c r="D20">
        <v>27.018000000000001</v>
      </c>
      <c r="E20">
        <v>36.048000000000002</v>
      </c>
      <c r="I20">
        <f t="shared" si="1"/>
        <v>0.59505265849859357</v>
      </c>
      <c r="J20">
        <f t="shared" si="2"/>
        <v>0.62003157759459504</v>
      </c>
      <c r="K20" s="4">
        <f t="shared" si="3"/>
        <v>0.96451562842816718</v>
      </c>
      <c r="L20" s="3">
        <f t="shared" si="4"/>
        <v>0.61694454808194998</v>
      </c>
      <c r="M20" s="3">
        <f t="shared" si="5"/>
        <v>0.64284243750931847</v>
      </c>
      <c r="R20">
        <f t="shared" si="6"/>
        <v>0.73849096096778677</v>
      </c>
      <c r="S20">
        <f t="shared" si="7"/>
        <v>0.62446323897036238</v>
      </c>
    </row>
    <row r="21" spans="1:19" x14ac:dyDescent="0.3">
      <c r="A21">
        <v>12.0136</v>
      </c>
      <c r="B21">
        <f t="shared" si="0"/>
        <v>7.0028000000000006</v>
      </c>
      <c r="C21">
        <v>315.983</v>
      </c>
      <c r="D21">
        <v>27.946000000000002</v>
      </c>
      <c r="E21">
        <v>35.555999999999997</v>
      </c>
      <c r="I21">
        <f t="shared" si="1"/>
        <v>0.60214925491454563</v>
      </c>
      <c r="J21">
        <f t="shared" si="2"/>
        <v>0.64132809487965636</v>
      </c>
      <c r="K21" s="4">
        <f t="shared" si="3"/>
        <v>0.95135146705481333</v>
      </c>
      <c r="L21" s="3">
        <f t="shared" si="4"/>
        <v>0.63294090119887525</v>
      </c>
      <c r="M21" s="3">
        <f t="shared" si="5"/>
        <v>0.67412319956269684</v>
      </c>
      <c r="R21">
        <f t="shared" si="6"/>
        <v>0.76984991259772406</v>
      </c>
      <c r="S21">
        <f t="shared" si="7"/>
        <v>0.83319092449665155</v>
      </c>
    </row>
    <row r="22" spans="1:19" x14ac:dyDescent="0.3">
      <c r="A22">
        <v>12.513199999999999</v>
      </c>
      <c r="B22">
        <f t="shared" si="0"/>
        <v>7.5023999999999997</v>
      </c>
      <c r="C22">
        <v>320.43099999999998</v>
      </c>
      <c r="D22">
        <v>26.571000000000002</v>
      </c>
      <c r="E22">
        <v>34.259</v>
      </c>
      <c r="I22">
        <f t="shared" si="1"/>
        <v>0.6106255333404732</v>
      </c>
      <c r="J22">
        <f t="shared" si="2"/>
        <v>0.60977344911784681</v>
      </c>
      <c r="K22" s="4">
        <f t="shared" si="3"/>
        <v>0.91664838310920382</v>
      </c>
      <c r="L22" s="3">
        <f t="shared" si="4"/>
        <v>0.66615023229439008</v>
      </c>
      <c r="M22" s="3">
        <f t="shared" si="5"/>
        <v>0.66522066732888374</v>
      </c>
      <c r="R22">
        <f t="shared" si="6"/>
        <v>0.83495286449398731</v>
      </c>
      <c r="S22">
        <f t="shared" si="7"/>
        <v>0.77378684267421705</v>
      </c>
    </row>
    <row r="23" spans="1:19" x14ac:dyDescent="0.3">
      <c r="A23">
        <v>13.0136</v>
      </c>
      <c r="B23">
        <f t="shared" si="0"/>
        <v>8.0028000000000006</v>
      </c>
      <c r="C23">
        <v>330.84500000000003</v>
      </c>
      <c r="D23">
        <v>27.875</v>
      </c>
      <c r="E23">
        <v>35.167000000000002</v>
      </c>
      <c r="I23">
        <f t="shared" si="1"/>
        <v>0.63047084888175264</v>
      </c>
      <c r="J23">
        <f t="shared" si="2"/>
        <v>0.6396987277166829</v>
      </c>
      <c r="K23" s="4">
        <f t="shared" si="3"/>
        <v>0.94094321751368604</v>
      </c>
      <c r="L23" s="3">
        <f t="shared" si="4"/>
        <v>0.67004133421322254</v>
      </c>
      <c r="M23" s="3">
        <f t="shared" si="5"/>
        <v>0.67984838597062147</v>
      </c>
      <c r="R23">
        <f t="shared" si="6"/>
        <v>0.8425809079591392</v>
      </c>
      <c r="S23">
        <f t="shared" si="7"/>
        <v>0.87139347551166491</v>
      </c>
    </row>
    <row r="24" spans="1:19" x14ac:dyDescent="0.3">
      <c r="A24">
        <v>13.513199999999999</v>
      </c>
      <c r="B24">
        <f t="shared" si="0"/>
        <v>8.5023999999999997</v>
      </c>
      <c r="C24">
        <v>334.20699999999999</v>
      </c>
      <c r="D24">
        <v>27.25</v>
      </c>
      <c r="E24">
        <v>34.073999999999998</v>
      </c>
      <c r="I24">
        <f t="shared" si="1"/>
        <v>0.63687760429271678</v>
      </c>
      <c r="J24">
        <f t="shared" si="2"/>
        <v>0.6253557069158604</v>
      </c>
      <c r="K24" s="4">
        <f t="shared" si="3"/>
        <v>0.91169844438141823</v>
      </c>
      <c r="L24" s="3">
        <f t="shared" si="4"/>
        <v>0.69856168804240348</v>
      </c>
      <c r="M24" s="3">
        <f t="shared" si="5"/>
        <v>0.68592384989771527</v>
      </c>
      <c r="R24">
        <f t="shared" si="6"/>
        <v>0.89849167647372519</v>
      </c>
      <c r="S24">
        <f t="shared" si="7"/>
        <v>0.91193332942688587</v>
      </c>
    </row>
    <row r="25" spans="1:19" x14ac:dyDescent="0.3">
      <c r="A25">
        <v>14.0137</v>
      </c>
      <c r="B25">
        <f t="shared" si="0"/>
        <v>9.0029000000000003</v>
      </c>
      <c r="C25">
        <v>330.06900000000002</v>
      </c>
      <c r="D25">
        <v>27.071000000000002</v>
      </c>
      <c r="E25">
        <v>36.481000000000002</v>
      </c>
      <c r="I25">
        <f t="shared" si="1"/>
        <v>0.62899207368874011</v>
      </c>
      <c r="J25">
        <f t="shared" si="2"/>
        <v>0.62124786575850488</v>
      </c>
      <c r="K25" s="4">
        <f t="shared" si="3"/>
        <v>0.97610116069374075</v>
      </c>
      <c r="L25" s="3">
        <f t="shared" si="4"/>
        <v>0.64439230175866091</v>
      </c>
      <c r="M25" s="3">
        <f t="shared" si="5"/>
        <v>0.63645848481213529</v>
      </c>
      <c r="R25">
        <f t="shared" si="6"/>
        <v>0.79229902419362896</v>
      </c>
      <c r="S25">
        <f t="shared" si="7"/>
        <v>0.58186492666842649</v>
      </c>
    </row>
    <row r="26" spans="1:19" x14ac:dyDescent="0.3">
      <c r="A26">
        <v>14.5131</v>
      </c>
      <c r="B26">
        <f t="shared" si="0"/>
        <v>9.5023</v>
      </c>
      <c r="C26">
        <v>329.32799999999997</v>
      </c>
      <c r="D26">
        <v>27.5</v>
      </c>
      <c r="E26">
        <v>35.704000000000001</v>
      </c>
      <c r="I26">
        <f t="shared" si="1"/>
        <v>0.62757999583046387</v>
      </c>
      <c r="J26">
        <f t="shared" si="2"/>
        <v>0.63109291523618938</v>
      </c>
      <c r="K26" s="4">
        <f t="shared" si="3"/>
        <v>0.95531141803704178</v>
      </c>
      <c r="L26" s="3">
        <f t="shared" si="4"/>
        <v>0.6569376058751657</v>
      </c>
      <c r="M26" s="3">
        <f t="shared" si="5"/>
        <v>0.66061485639201167</v>
      </c>
      <c r="R26">
        <f t="shared" si="6"/>
        <v>0.81689260387374218</v>
      </c>
      <c r="S26">
        <f t="shared" si="7"/>
        <v>0.74305356785231591</v>
      </c>
    </row>
    <row r="27" spans="1:19" x14ac:dyDescent="0.3">
      <c r="A27">
        <v>15.0137</v>
      </c>
      <c r="B27">
        <f t="shared" si="0"/>
        <v>10.0029</v>
      </c>
      <c r="C27">
        <v>335.36200000000002</v>
      </c>
      <c r="D27">
        <v>30.643000000000001</v>
      </c>
      <c r="E27">
        <v>37.889000000000003</v>
      </c>
      <c r="I27">
        <f t="shared" si="1"/>
        <v>0.63907861633901775</v>
      </c>
      <c r="J27">
        <f t="shared" si="2"/>
        <v>0.70322109823936552</v>
      </c>
      <c r="K27" s="4">
        <f t="shared" si="3"/>
        <v>1.0137742078760217</v>
      </c>
      <c r="L27" s="3">
        <f t="shared" si="4"/>
        <v>0.63039541879642402</v>
      </c>
      <c r="M27" s="3">
        <f t="shared" si="5"/>
        <v>0.69366639314359546</v>
      </c>
      <c r="R27">
        <f t="shared" si="6"/>
        <v>0.76485979647876534</v>
      </c>
      <c r="S27">
        <f t="shared" si="7"/>
        <v>0.96359713253507251</v>
      </c>
    </row>
    <row r="28" spans="1:19" x14ac:dyDescent="0.3">
      <c r="A28">
        <v>15.513199999999999</v>
      </c>
      <c r="B28">
        <f t="shared" si="0"/>
        <v>10.5024</v>
      </c>
      <c r="C28">
        <v>344.17200000000003</v>
      </c>
      <c r="D28">
        <v>27.481999999999999</v>
      </c>
      <c r="E28">
        <v>35.741</v>
      </c>
      <c r="I28">
        <f t="shared" si="1"/>
        <v>0.65586728831123509</v>
      </c>
      <c r="J28">
        <f t="shared" si="2"/>
        <v>0.63067983623712565</v>
      </c>
      <c r="K28" s="4">
        <f t="shared" si="3"/>
        <v>0.95630140578259881</v>
      </c>
      <c r="L28" s="3">
        <f t="shared" si="4"/>
        <v>0.6858374194007375</v>
      </c>
      <c r="M28" s="3">
        <f t="shared" si="5"/>
        <v>0.65949901612975514</v>
      </c>
      <c r="R28">
        <f t="shared" si="6"/>
        <v>0.87354725808387712</v>
      </c>
      <c r="S28">
        <f t="shared" si="7"/>
        <v>0.7356078811084823</v>
      </c>
    </row>
    <row r="29" spans="1:19" x14ac:dyDescent="0.3">
      <c r="A29">
        <v>16.013999999999999</v>
      </c>
      <c r="B29">
        <f t="shared" si="0"/>
        <v>11.0032</v>
      </c>
      <c r="C29">
        <v>336.05200000000002</v>
      </c>
      <c r="D29">
        <v>27.518000000000001</v>
      </c>
      <c r="E29">
        <v>35.369999999999997</v>
      </c>
      <c r="I29">
        <f t="shared" si="1"/>
        <v>0.64039350665239236</v>
      </c>
      <c r="J29">
        <f t="shared" si="2"/>
        <v>0.63150599423525311</v>
      </c>
      <c r="K29" s="4">
        <f t="shared" si="3"/>
        <v>0.94637477190147223</v>
      </c>
      <c r="L29" s="3">
        <f t="shared" si="4"/>
        <v>0.6766806614737868</v>
      </c>
      <c r="M29" s="3">
        <f t="shared" si="5"/>
        <v>0.66728954848027122</v>
      </c>
      <c r="R29">
        <f t="shared" si="6"/>
        <v>0.85559652101153338</v>
      </c>
      <c r="S29">
        <f t="shared" si="7"/>
        <v>0.78759190195062412</v>
      </c>
    </row>
    <row r="30" spans="1:19" x14ac:dyDescent="0.3">
      <c r="A30">
        <v>16.5136</v>
      </c>
      <c r="B30">
        <f t="shared" si="0"/>
        <v>11.502800000000001</v>
      </c>
      <c r="C30">
        <v>347.36200000000002</v>
      </c>
      <c r="D30">
        <v>27.571000000000002</v>
      </c>
      <c r="E30">
        <v>35.093000000000004</v>
      </c>
      <c r="I30">
        <f t="shared" si="1"/>
        <v>0.66194627396292338</v>
      </c>
      <c r="J30">
        <f t="shared" si="2"/>
        <v>0.63272228239916284</v>
      </c>
      <c r="K30" s="4">
        <f t="shared" si="3"/>
        <v>0.93896324202257198</v>
      </c>
      <c r="L30" s="3">
        <f t="shared" si="4"/>
        <v>0.70497570547816046</v>
      </c>
      <c r="M30" s="3">
        <f t="shared" si="5"/>
        <v>0.67385202538519895</v>
      </c>
      <c r="R30">
        <f t="shared" si="6"/>
        <v>0.9110655963572929</v>
      </c>
      <c r="S30">
        <f t="shared" si="7"/>
        <v>0.83138145584153877</v>
      </c>
    </row>
    <row r="31" spans="1:19" x14ac:dyDescent="0.3">
      <c r="A31">
        <v>17.0138</v>
      </c>
      <c r="B31">
        <f t="shared" si="0"/>
        <v>12.003</v>
      </c>
      <c r="C31">
        <v>346.62099999999998</v>
      </c>
      <c r="D31">
        <v>26.963999999999999</v>
      </c>
      <c r="E31">
        <v>34.406999999999996</v>
      </c>
      <c r="I31">
        <f t="shared" si="1"/>
        <v>0.66053419610464703</v>
      </c>
      <c r="J31">
        <f t="shared" si="2"/>
        <v>0.61879234059740396</v>
      </c>
      <c r="K31" s="4">
        <f t="shared" si="3"/>
        <v>0.92060833409143206</v>
      </c>
      <c r="L31" s="3">
        <f t="shared" si="4"/>
        <v>0.71749751945982787</v>
      </c>
      <c r="M31" s="3">
        <f t="shared" si="5"/>
        <v>0.67215591873617275</v>
      </c>
      <c r="R31">
        <f t="shared" si="6"/>
        <v>0.93561312641617289</v>
      </c>
      <c r="S31">
        <f t="shared" si="7"/>
        <v>0.82006381547673979</v>
      </c>
    </row>
    <row r="32" spans="1:19" x14ac:dyDescent="0.3">
      <c r="A32">
        <v>17.513200000000001</v>
      </c>
      <c r="B32">
        <f t="shared" si="0"/>
        <v>12.502400000000002</v>
      </c>
      <c r="C32">
        <v>343.017</v>
      </c>
      <c r="D32">
        <v>26.946000000000002</v>
      </c>
      <c r="E32">
        <v>33.667000000000002</v>
      </c>
      <c r="I32">
        <f t="shared" si="1"/>
        <v>0.65366627626493412</v>
      </c>
      <c r="J32">
        <f t="shared" si="2"/>
        <v>0.61837926159834034</v>
      </c>
      <c r="K32" s="4">
        <f t="shared" si="3"/>
        <v>0.90080857918029034</v>
      </c>
      <c r="L32" s="3">
        <f t="shared" si="4"/>
        <v>0.7256439285466747</v>
      </c>
      <c r="M32" s="3">
        <f t="shared" si="5"/>
        <v>0.68647132797186228</v>
      </c>
      <c r="R32">
        <f t="shared" si="6"/>
        <v>0.9515831945088693</v>
      </c>
      <c r="S32">
        <f t="shared" si="7"/>
        <v>0.91558649590339614</v>
      </c>
    </row>
    <row r="33" spans="1:19" x14ac:dyDescent="0.3">
      <c r="A33">
        <v>18.0138</v>
      </c>
      <c r="B33">
        <f t="shared" si="0"/>
        <v>13.003</v>
      </c>
      <c r="C33">
        <v>347.67200000000003</v>
      </c>
      <c r="D33">
        <v>28.588999999999999</v>
      </c>
      <c r="E33">
        <v>35.314999999999998</v>
      </c>
      <c r="I33">
        <f t="shared" si="1"/>
        <v>0.66253702178487428</v>
      </c>
      <c r="J33">
        <f t="shared" si="2"/>
        <v>0.65608419467954238</v>
      </c>
      <c r="K33" s="4">
        <f t="shared" si="3"/>
        <v>0.94490316849591438</v>
      </c>
      <c r="L33" s="3">
        <f t="shared" si="4"/>
        <v>0.70116922439734519</v>
      </c>
      <c r="M33" s="3">
        <f t="shared" si="5"/>
        <v>0.69434013616854451</v>
      </c>
      <c r="R33">
        <f t="shared" si="6"/>
        <v>0.90360344200116915</v>
      </c>
      <c r="S33">
        <f t="shared" si="7"/>
        <v>0.96809282934696994</v>
      </c>
    </row>
    <row r="34" spans="1:19" x14ac:dyDescent="0.3">
      <c r="A34">
        <v>18.513200000000001</v>
      </c>
      <c r="B34">
        <f t="shared" si="0"/>
        <v>13.502400000000002</v>
      </c>
      <c r="C34">
        <v>348.81</v>
      </c>
      <c r="D34">
        <v>28.106999999999999</v>
      </c>
      <c r="E34">
        <v>34.619</v>
      </c>
      <c r="I34">
        <f t="shared" si="1"/>
        <v>0.66470563798287452</v>
      </c>
      <c r="J34">
        <f t="shared" si="2"/>
        <v>0.64502285703794815</v>
      </c>
      <c r="K34" s="4">
        <f t="shared" si="3"/>
        <v>0.92628069630921883</v>
      </c>
      <c r="L34" s="3">
        <f t="shared" si="4"/>
        <v>0.71760713640196261</v>
      </c>
      <c r="M34" s="3">
        <f t="shared" si="5"/>
        <v>0.69635787467886645</v>
      </c>
      <c r="R34">
        <f t="shared" si="6"/>
        <v>0.93582801742045985</v>
      </c>
      <c r="S34">
        <f t="shared" si="7"/>
        <v>0.98155662823198708</v>
      </c>
    </row>
    <row r="35" spans="1:19" x14ac:dyDescent="0.3">
      <c r="A35">
        <v>19.013400000000001</v>
      </c>
      <c r="B35">
        <f t="shared" si="0"/>
        <v>14.002600000000001</v>
      </c>
      <c r="C35">
        <v>350.17200000000003</v>
      </c>
      <c r="D35">
        <v>28.286000000000001</v>
      </c>
      <c r="E35">
        <v>35.83</v>
      </c>
      <c r="I35">
        <f t="shared" si="1"/>
        <v>0.66730111712318785</v>
      </c>
      <c r="J35">
        <f t="shared" si="2"/>
        <v>0.64913069819530378</v>
      </c>
      <c r="K35" s="4">
        <f t="shared" si="3"/>
        <v>0.95868272765704687</v>
      </c>
      <c r="L35" s="3">
        <f t="shared" si="4"/>
        <v>0.69606043571268339</v>
      </c>
      <c r="M35" s="3">
        <f t="shared" si="5"/>
        <v>0.67710690874939772</v>
      </c>
      <c r="R35">
        <f t="shared" si="6"/>
        <v>0.89358826816255399</v>
      </c>
      <c r="S35">
        <f t="shared" si="7"/>
        <v>0.85310037273070893</v>
      </c>
    </row>
    <row r="36" spans="1:19" x14ac:dyDescent="0.3">
      <c r="A36">
        <v>19.5136</v>
      </c>
      <c r="B36">
        <f t="shared" si="0"/>
        <v>14.502800000000001</v>
      </c>
      <c r="C36">
        <v>350.89699999999999</v>
      </c>
      <c r="D36">
        <v>27.678999999999998</v>
      </c>
      <c r="E36">
        <v>35.463000000000001</v>
      </c>
      <c r="I36">
        <f t="shared" si="1"/>
        <v>0.66868270477129876</v>
      </c>
      <c r="J36">
        <f t="shared" si="2"/>
        <v>0.6352007563935449</v>
      </c>
      <c r="K36" s="4">
        <f t="shared" si="3"/>
        <v>0.94886311947814284</v>
      </c>
      <c r="L36" s="3">
        <f t="shared" si="4"/>
        <v>0.70471988113423767</v>
      </c>
      <c r="M36" s="3">
        <f t="shared" si="5"/>
        <v>0.66943349715488321</v>
      </c>
      <c r="R36">
        <f t="shared" si="6"/>
        <v>0.91056408309560155</v>
      </c>
      <c r="S36">
        <f t="shared" si="7"/>
        <v>0.80189786559611609</v>
      </c>
    </row>
    <row r="37" spans="1:19" x14ac:dyDescent="0.3">
      <c r="A37">
        <v>20.0136</v>
      </c>
      <c r="B37">
        <f t="shared" si="0"/>
        <v>15.002800000000001</v>
      </c>
      <c r="C37">
        <v>340.19</v>
      </c>
      <c r="D37">
        <v>29.071000000000002</v>
      </c>
      <c r="E37">
        <v>35.837000000000003</v>
      </c>
      <c r="I37">
        <f t="shared" si="1"/>
        <v>0.64827903725636904</v>
      </c>
      <c r="J37">
        <f t="shared" si="2"/>
        <v>0.66714553232113682</v>
      </c>
      <c r="K37" s="4">
        <f t="shared" si="3"/>
        <v>0.95887002263593624</v>
      </c>
      <c r="L37" s="3">
        <f t="shared" si="4"/>
        <v>0.67608645796877476</v>
      </c>
      <c r="M37" s="3">
        <f t="shared" si="5"/>
        <v>0.69576221653812054</v>
      </c>
      <c r="R37">
        <f t="shared" si="6"/>
        <v>0.85443165556777811</v>
      </c>
      <c r="S37">
        <f t="shared" si="7"/>
        <v>0.9775819697863064</v>
      </c>
    </row>
    <row r="38" spans="1:19" x14ac:dyDescent="0.3">
      <c r="A38">
        <v>20.5137</v>
      </c>
      <c r="B38">
        <f t="shared" si="0"/>
        <v>15.5029</v>
      </c>
      <c r="C38">
        <v>342.93099999999998</v>
      </c>
      <c r="D38">
        <v>29.125</v>
      </c>
      <c r="E38">
        <v>35.826000000000001</v>
      </c>
      <c r="I38">
        <f t="shared" si="1"/>
        <v>0.65350239138529609</v>
      </c>
      <c r="J38">
        <f t="shared" si="2"/>
        <v>0.6683847693183278</v>
      </c>
      <c r="K38" s="4">
        <f t="shared" si="3"/>
        <v>0.95857570195482455</v>
      </c>
      <c r="L38" s="3">
        <f t="shared" si="4"/>
        <v>0.68174312164663453</v>
      </c>
      <c r="M38" s="3">
        <f t="shared" si="5"/>
        <v>0.69726863298880826</v>
      </c>
      <c r="R38">
        <f t="shared" si="6"/>
        <v>0.86552087330160898</v>
      </c>
      <c r="S38">
        <f t="shared" si="7"/>
        <v>0.98763386106229967</v>
      </c>
    </row>
    <row r="39" spans="1:19" x14ac:dyDescent="0.3">
      <c r="A39">
        <v>21.0137</v>
      </c>
      <c r="B39">
        <f t="shared" si="0"/>
        <v>16.0029</v>
      </c>
      <c r="C39">
        <v>348.58600000000001</v>
      </c>
      <c r="D39">
        <v>28.231999999999999</v>
      </c>
      <c r="E39">
        <v>35.277999999999999</v>
      </c>
      <c r="I39">
        <f t="shared" si="1"/>
        <v>0.66427877504056165</v>
      </c>
      <c r="J39">
        <f t="shared" si="2"/>
        <v>0.64789146119811258</v>
      </c>
      <c r="K39" s="4">
        <f t="shared" si="3"/>
        <v>0.94391318075035735</v>
      </c>
      <c r="L39" s="3">
        <f t="shared" si="4"/>
        <v>0.70374986660584371</v>
      </c>
      <c r="M39" s="3">
        <f t="shared" si="5"/>
        <v>0.68638882728925943</v>
      </c>
      <c r="R39">
        <f t="shared" si="6"/>
        <v>0.90866248474665934</v>
      </c>
      <c r="S39">
        <f t="shared" si="7"/>
        <v>0.91503599216232212</v>
      </c>
    </row>
    <row r="40" spans="1:19" x14ac:dyDescent="0.3">
      <c r="A40">
        <v>21.513100000000001</v>
      </c>
      <c r="B40">
        <f t="shared" si="0"/>
        <v>16.502300000000002</v>
      </c>
      <c r="C40">
        <v>356.15499999999997</v>
      </c>
      <c r="D40">
        <v>28.125</v>
      </c>
      <c r="E40">
        <v>34.795999999999999</v>
      </c>
      <c r="I40">
        <f t="shared" si="1"/>
        <v>0.67870255008684</v>
      </c>
      <c r="J40">
        <f t="shared" si="2"/>
        <v>0.64543593603701188</v>
      </c>
      <c r="K40" s="4">
        <f t="shared" si="3"/>
        <v>0.93101658363255946</v>
      </c>
      <c r="L40" s="3">
        <f t="shared" si="4"/>
        <v>0.72899082789560787</v>
      </c>
      <c r="M40" s="3">
        <f t="shared" si="5"/>
        <v>0.69325933327493061</v>
      </c>
      <c r="R40">
        <f t="shared" si="6"/>
        <v>0.95814439342879154</v>
      </c>
      <c r="S40">
        <f t="shared" si="7"/>
        <v>0.96088093706285016</v>
      </c>
    </row>
    <row r="41" spans="1:19" x14ac:dyDescent="0.3">
      <c r="A41">
        <v>22.0136</v>
      </c>
      <c r="B41">
        <f t="shared" si="0"/>
        <v>17.002800000000001</v>
      </c>
      <c r="C41">
        <v>357.17200000000003</v>
      </c>
      <c r="D41">
        <v>28.071000000000002</v>
      </c>
      <c r="E41">
        <v>35.110999999999997</v>
      </c>
      <c r="I41">
        <f t="shared" si="1"/>
        <v>0.68064058407046613</v>
      </c>
      <c r="J41">
        <f t="shared" si="2"/>
        <v>0.6441966990398208</v>
      </c>
      <c r="K41" s="4">
        <f t="shared" si="3"/>
        <v>0.93944485768257258</v>
      </c>
      <c r="L41" s="3">
        <f t="shared" si="4"/>
        <v>0.72451360875983062</v>
      </c>
      <c r="M41" s="3">
        <f t="shared" si="5"/>
        <v>0.68572060805029955</v>
      </c>
      <c r="R41">
        <f t="shared" si="6"/>
        <v>0.94936733672785412</v>
      </c>
      <c r="S41">
        <f t="shared" si="7"/>
        <v>0.91057715401335926</v>
      </c>
    </row>
    <row r="42" spans="1:19" x14ac:dyDescent="0.3">
      <c r="A42">
        <v>22.5136</v>
      </c>
      <c r="B42">
        <f t="shared" si="0"/>
        <v>17.502800000000001</v>
      </c>
      <c r="C42">
        <v>365.06900000000002</v>
      </c>
      <c r="D42">
        <v>29.893000000000001</v>
      </c>
      <c r="E42">
        <v>36.630000000000003</v>
      </c>
      <c r="I42">
        <f t="shared" si="1"/>
        <v>0.69568940842513127</v>
      </c>
      <c r="J42">
        <f t="shared" si="2"/>
        <v>0.68600947327837847</v>
      </c>
      <c r="K42" s="4">
        <f t="shared" si="3"/>
        <v>0.98008786810152482</v>
      </c>
      <c r="L42" s="3">
        <f t="shared" si="4"/>
        <v>0.70982350773580494</v>
      </c>
      <c r="M42" s="3">
        <f t="shared" si="5"/>
        <v>0.69994690844118934</v>
      </c>
      <c r="R42">
        <f t="shared" si="6"/>
        <v>0.92056913728301337</v>
      </c>
      <c r="S42">
        <f t="shared" si="7"/>
        <v>1.0055052363000077</v>
      </c>
    </row>
    <row r="43" spans="1:19" x14ac:dyDescent="0.3">
      <c r="A43">
        <v>23.0136</v>
      </c>
      <c r="B43">
        <f t="shared" si="0"/>
        <v>18.002800000000001</v>
      </c>
      <c r="C43">
        <v>360.39699999999999</v>
      </c>
      <c r="D43">
        <v>29.161000000000001</v>
      </c>
      <c r="E43">
        <v>36.125999999999998</v>
      </c>
      <c r="I43">
        <f t="shared" si="1"/>
        <v>0.68678626705689072</v>
      </c>
      <c r="J43">
        <f t="shared" si="2"/>
        <v>0.66921092731645526</v>
      </c>
      <c r="K43" s="4">
        <f t="shared" si="3"/>
        <v>0.96660262962150367</v>
      </c>
      <c r="L43" s="3">
        <f t="shared" si="4"/>
        <v>0.71051562039078897</v>
      </c>
      <c r="M43" s="3">
        <f t="shared" si="5"/>
        <v>0.69233302994271884</v>
      </c>
      <c r="R43">
        <f t="shared" si="6"/>
        <v>0.9219259419941539</v>
      </c>
      <c r="S43">
        <f t="shared" si="7"/>
        <v>0.9546999766918105</v>
      </c>
    </row>
    <row r="44" spans="1:19" x14ac:dyDescent="0.3">
      <c r="A44">
        <v>23.513200000000001</v>
      </c>
      <c r="B44">
        <f t="shared" si="0"/>
        <v>18.502400000000002</v>
      </c>
      <c r="C44">
        <v>357.39699999999999</v>
      </c>
      <c r="D44">
        <v>29.536000000000001</v>
      </c>
      <c r="E44">
        <v>36.756</v>
      </c>
      <c r="I44">
        <f t="shared" si="1"/>
        <v>0.68106935265091428</v>
      </c>
      <c r="J44">
        <f t="shared" si="2"/>
        <v>0.67781673979694868</v>
      </c>
      <c r="K44" s="4">
        <f t="shared" si="3"/>
        <v>0.98345917772153002</v>
      </c>
      <c r="L44" s="3">
        <f t="shared" si="4"/>
        <v>0.69252427358379032</v>
      </c>
      <c r="M44" s="3">
        <f t="shared" si="5"/>
        <v>0.68921695496025448</v>
      </c>
      <c r="R44">
        <f t="shared" si="6"/>
        <v>0.88665604202669523</v>
      </c>
      <c r="S44">
        <f t="shared" si="7"/>
        <v>0.93390728890798103</v>
      </c>
    </row>
    <row r="45" spans="1:19" x14ac:dyDescent="0.3">
      <c r="A45">
        <v>24.013400000000001</v>
      </c>
      <c r="B45">
        <f t="shared" si="0"/>
        <v>19.002600000000001</v>
      </c>
      <c r="C45">
        <v>361.36200000000002</v>
      </c>
      <c r="D45">
        <v>27.536000000000001</v>
      </c>
      <c r="E45">
        <v>34.741</v>
      </c>
      <c r="I45">
        <f t="shared" si="1"/>
        <v>0.68862520785747983</v>
      </c>
      <c r="J45">
        <f t="shared" si="2"/>
        <v>0.63191907323431673</v>
      </c>
      <c r="K45" s="4">
        <f t="shared" si="3"/>
        <v>0.9295449802270016</v>
      </c>
      <c r="L45" s="3">
        <f t="shared" si="4"/>
        <v>0.74081967253409575</v>
      </c>
      <c r="M45" s="3">
        <f t="shared" si="5"/>
        <v>0.6798154867987104</v>
      </c>
      <c r="R45">
        <f t="shared" si="6"/>
        <v>0.98133343934100647</v>
      </c>
      <c r="S45">
        <f t="shared" si="7"/>
        <v>0.87117394863450592</v>
      </c>
    </row>
    <row r="46" spans="1:19" x14ac:dyDescent="0.3">
      <c r="A46">
        <v>24.513400000000001</v>
      </c>
      <c r="B46">
        <f t="shared" si="0"/>
        <v>19.502600000000001</v>
      </c>
      <c r="C46">
        <v>360.75900000000001</v>
      </c>
      <c r="D46">
        <v>27.786000000000001</v>
      </c>
      <c r="E46">
        <v>35.481000000000002</v>
      </c>
      <c r="I46">
        <f t="shared" si="1"/>
        <v>0.68747610806187853</v>
      </c>
      <c r="J46">
        <f t="shared" si="2"/>
        <v>0.63765628155464571</v>
      </c>
      <c r="K46" s="4">
        <f t="shared" si="3"/>
        <v>0.94934473513814355</v>
      </c>
      <c r="L46" s="3">
        <f t="shared" si="4"/>
        <v>0.72415855127888895</v>
      </c>
      <c r="M46" s="3">
        <f t="shared" si="5"/>
        <v>0.67168043172626579</v>
      </c>
      <c r="R46">
        <f t="shared" si="6"/>
        <v>0.94867128867932016</v>
      </c>
      <c r="S46">
        <f t="shared" si="7"/>
        <v>0.81689102502789024</v>
      </c>
    </row>
    <row r="47" spans="1:19" x14ac:dyDescent="0.3">
      <c r="A47">
        <v>25.013500000000001</v>
      </c>
      <c r="B47">
        <f t="shared" si="0"/>
        <v>20.002700000000001</v>
      </c>
      <c r="C47">
        <v>350.56900000000002</v>
      </c>
      <c r="D47">
        <v>29.161000000000001</v>
      </c>
      <c r="E47">
        <v>35.878</v>
      </c>
      <c r="I47">
        <f t="shared" si="1"/>
        <v>0.66805765546291207</v>
      </c>
      <c r="J47">
        <f t="shared" si="2"/>
        <v>0.66921092731645526</v>
      </c>
      <c r="K47" s="4">
        <f t="shared" si="3"/>
        <v>0.9599670360837157</v>
      </c>
      <c r="L47" s="3">
        <f t="shared" si="4"/>
        <v>0.69591728710635947</v>
      </c>
      <c r="M47" s="3">
        <f t="shared" si="5"/>
        <v>0.69711865320560396</v>
      </c>
      <c r="R47">
        <f t="shared" si="6"/>
        <v>0.89330764231059934</v>
      </c>
      <c r="S47">
        <f t="shared" si="7"/>
        <v>0.9866330883518859</v>
      </c>
    </row>
    <row r="48" spans="1:19" x14ac:dyDescent="0.3">
      <c r="A48">
        <v>25.513500000000001</v>
      </c>
      <c r="B48">
        <f t="shared" si="0"/>
        <v>20.502700000000001</v>
      </c>
      <c r="C48">
        <v>368.983</v>
      </c>
      <c r="D48">
        <v>27.5</v>
      </c>
      <c r="E48">
        <v>35.795999999999999</v>
      </c>
      <c r="I48">
        <f t="shared" si="1"/>
        <v>0.70314807608679508</v>
      </c>
      <c r="J48">
        <f t="shared" si="2"/>
        <v>0.63109291523618938</v>
      </c>
      <c r="K48" s="4">
        <f t="shared" si="3"/>
        <v>0.95777300918815667</v>
      </c>
      <c r="L48" s="3">
        <f t="shared" si="4"/>
        <v>0.73414897824570047</v>
      </c>
      <c r="M48" s="3">
        <f t="shared" si="5"/>
        <v>0.65891699722372288</v>
      </c>
      <c r="R48">
        <f t="shared" si="6"/>
        <v>0.96825633495359764</v>
      </c>
      <c r="S48">
        <f t="shared" si="7"/>
        <v>0.73172423342172332</v>
      </c>
    </row>
    <row r="49" spans="1:19" x14ac:dyDescent="0.3">
      <c r="A49">
        <v>26.0137</v>
      </c>
      <c r="B49">
        <f t="shared" si="0"/>
        <v>21.0029</v>
      </c>
      <c r="C49">
        <v>365.17200000000003</v>
      </c>
      <c r="D49">
        <v>27.661000000000001</v>
      </c>
      <c r="E49">
        <v>34.110999999999997</v>
      </c>
      <c r="I49">
        <f t="shared" si="1"/>
        <v>0.69588568915306981</v>
      </c>
      <c r="J49">
        <f t="shared" si="2"/>
        <v>0.63478767739448128</v>
      </c>
      <c r="K49" s="4">
        <f t="shared" si="3"/>
        <v>0.91268843212697537</v>
      </c>
      <c r="L49" s="3">
        <f t="shared" si="4"/>
        <v>0.76245700576191433</v>
      </c>
      <c r="M49" s="3">
        <f t="shared" si="5"/>
        <v>0.6955141043205072</v>
      </c>
      <c r="R49">
        <f t="shared" si="6"/>
        <v>1.0237508629332672</v>
      </c>
      <c r="S49">
        <f t="shared" si="7"/>
        <v>0.97592638707240531</v>
      </c>
    </row>
    <row r="50" spans="1:19" x14ac:dyDescent="0.3">
      <c r="A50">
        <v>26.513500000000001</v>
      </c>
      <c r="B50">
        <f t="shared" si="0"/>
        <v>21.502700000000001</v>
      </c>
      <c r="C50">
        <v>363.70699999999999</v>
      </c>
      <c r="D50">
        <v>28.375</v>
      </c>
      <c r="E50">
        <v>34.619</v>
      </c>
      <c r="I50">
        <f t="shared" si="1"/>
        <v>0.69309392928481794</v>
      </c>
      <c r="J50">
        <f t="shared" si="2"/>
        <v>0.65117314435734086</v>
      </c>
      <c r="K50" s="4">
        <f t="shared" si="3"/>
        <v>0.92628069630921883</v>
      </c>
      <c r="L50" s="3">
        <f t="shared" si="4"/>
        <v>0.74825474831383454</v>
      </c>
      <c r="M50" s="3">
        <f t="shared" si="5"/>
        <v>0.70299764094399386</v>
      </c>
      <c r="R50">
        <f t="shared" si="6"/>
        <v>0.99590902291543082</v>
      </c>
      <c r="S50">
        <f t="shared" si="7"/>
        <v>1.0258619121822512</v>
      </c>
    </row>
    <row r="51" spans="1:19" x14ac:dyDescent="0.3">
      <c r="A51">
        <v>27.013400000000001</v>
      </c>
      <c r="B51">
        <f t="shared" si="0"/>
        <v>22.002600000000001</v>
      </c>
      <c r="C51">
        <v>348.34500000000003</v>
      </c>
      <c r="D51">
        <v>29.606999999999999</v>
      </c>
      <c r="E51">
        <v>36.17</v>
      </c>
      <c r="I51">
        <f t="shared" si="1"/>
        <v>0.66381951624994828</v>
      </c>
      <c r="J51">
        <f t="shared" si="2"/>
        <v>0.67944610695992214</v>
      </c>
      <c r="K51" s="4">
        <f t="shared" si="3"/>
        <v>0.96777991234595007</v>
      </c>
      <c r="L51" s="3">
        <f t="shared" si="4"/>
        <v>0.68591991606936165</v>
      </c>
      <c r="M51" s="3">
        <f t="shared" si="5"/>
        <v>0.70206675948967423</v>
      </c>
      <c r="R51">
        <f t="shared" si="6"/>
        <v>0.87370898301093436</v>
      </c>
      <c r="S51">
        <f t="shared" si="7"/>
        <v>1.0196504032961211</v>
      </c>
    </row>
    <row r="52" spans="1:19" x14ac:dyDescent="0.3">
      <c r="A52">
        <v>27.513200000000001</v>
      </c>
      <c r="B52">
        <f t="shared" si="0"/>
        <v>22.502400000000002</v>
      </c>
      <c r="C52">
        <v>360.34500000000003</v>
      </c>
      <c r="D52">
        <v>28.731999999999999</v>
      </c>
      <c r="E52">
        <v>35.204000000000001</v>
      </c>
      <c r="I52">
        <f t="shared" si="1"/>
        <v>0.68668717387385381</v>
      </c>
      <c r="J52">
        <f t="shared" si="2"/>
        <v>0.65936587783877065</v>
      </c>
      <c r="K52" s="4">
        <f t="shared" si="3"/>
        <v>0.94193320525924318</v>
      </c>
      <c r="L52" s="3">
        <f t="shared" si="4"/>
        <v>0.7290189686909494</v>
      </c>
      <c r="M52" s="3">
        <f t="shared" si="5"/>
        <v>0.70001341300766329</v>
      </c>
      <c r="R52">
        <f t="shared" si="6"/>
        <v>0.95819956011794194</v>
      </c>
      <c r="S52">
        <f t="shared" si="7"/>
        <v>1.0059490024785089</v>
      </c>
    </row>
    <row r="53" spans="1:19" x14ac:dyDescent="0.3">
      <c r="A53">
        <v>28.0137</v>
      </c>
      <c r="B53">
        <f t="shared" si="0"/>
        <v>23.0029</v>
      </c>
      <c r="C53">
        <v>357.017</v>
      </c>
      <c r="D53">
        <v>27.768000000000001</v>
      </c>
      <c r="E53">
        <v>34.204000000000001</v>
      </c>
      <c r="I53">
        <f t="shared" si="1"/>
        <v>0.68034521015949057</v>
      </c>
      <c r="J53">
        <f t="shared" si="2"/>
        <v>0.63724320255558209</v>
      </c>
      <c r="K53" s="4">
        <f t="shared" si="3"/>
        <v>0.91517677970364597</v>
      </c>
      <c r="L53" s="3">
        <f t="shared" si="4"/>
        <v>0.74340305091634984</v>
      </c>
      <c r="M53" s="3">
        <f t="shared" si="5"/>
        <v>0.6963061308897448</v>
      </c>
      <c r="R53">
        <f t="shared" si="6"/>
        <v>0.98639784603037994</v>
      </c>
      <c r="S53">
        <f t="shared" si="7"/>
        <v>0.98121135654949765</v>
      </c>
    </row>
    <row r="54" spans="1:19" x14ac:dyDescent="0.3">
      <c r="A54">
        <v>28.513500000000001</v>
      </c>
      <c r="B54">
        <f t="shared" si="0"/>
        <v>23.502700000000001</v>
      </c>
      <c r="C54">
        <v>369.15499999999997</v>
      </c>
      <c r="D54">
        <v>28.213999999999999</v>
      </c>
      <c r="E54">
        <v>34.741</v>
      </c>
      <c r="I54">
        <f t="shared" si="1"/>
        <v>0.70347584584607104</v>
      </c>
      <c r="J54">
        <f t="shared" si="2"/>
        <v>0.64747838219904896</v>
      </c>
      <c r="K54" s="4">
        <f t="shared" si="3"/>
        <v>0.9295449802270016</v>
      </c>
      <c r="L54" s="3">
        <f t="shared" si="4"/>
        <v>0.75679591715322603</v>
      </c>
      <c r="M54" s="3">
        <f t="shared" si="5"/>
        <v>0.69655411623107255</v>
      </c>
      <c r="R54">
        <f t="shared" si="6"/>
        <v>1.0126529706477556</v>
      </c>
      <c r="S54">
        <f t="shared" si="7"/>
        <v>0.98286609265379909</v>
      </c>
    </row>
    <row r="55" spans="1:19" x14ac:dyDescent="0.3">
      <c r="A55">
        <v>29.0137</v>
      </c>
      <c r="B55">
        <f t="shared" si="0"/>
        <v>24.0029</v>
      </c>
      <c r="C55">
        <v>352</v>
      </c>
      <c r="D55">
        <v>27.321000000000002</v>
      </c>
      <c r="E55">
        <v>34.406999999999996</v>
      </c>
      <c r="I55">
        <f t="shared" si="1"/>
        <v>0.67078462363456282</v>
      </c>
      <c r="J55">
        <f t="shared" si="2"/>
        <v>0.62698507407883386</v>
      </c>
      <c r="K55" s="4">
        <f t="shared" si="3"/>
        <v>0.92060833409143206</v>
      </c>
      <c r="L55" s="3">
        <f t="shared" si="4"/>
        <v>0.72863192608024174</v>
      </c>
      <c r="M55" s="3">
        <f t="shared" si="5"/>
        <v>0.68105517934249282</v>
      </c>
      <c r="R55">
        <f t="shared" si="6"/>
        <v>0.95744080901891404</v>
      </c>
      <c r="S55">
        <f t="shared" si="7"/>
        <v>0.87944606665344516</v>
      </c>
    </row>
    <row r="56" spans="1:19" x14ac:dyDescent="0.3">
      <c r="A56">
        <v>29.513100000000001</v>
      </c>
      <c r="B56">
        <f t="shared" si="0"/>
        <v>24.502300000000002</v>
      </c>
      <c r="C56">
        <v>358.69</v>
      </c>
      <c r="D56">
        <v>27.678999999999998</v>
      </c>
      <c r="E56">
        <v>34.536999999999999</v>
      </c>
      <c r="I56">
        <f t="shared" si="1"/>
        <v>0.68353334275989008</v>
      </c>
      <c r="J56">
        <f t="shared" si="2"/>
        <v>0.6352007563935449</v>
      </c>
      <c r="K56" s="4">
        <f t="shared" si="3"/>
        <v>0.9240866694136598</v>
      </c>
      <c r="L56" s="3">
        <f t="shared" si="4"/>
        <v>0.73968531890368827</v>
      </c>
      <c r="M56" s="3">
        <f t="shared" si="5"/>
        <v>0.68738223092925332</v>
      </c>
      <c r="R56">
        <f t="shared" si="6"/>
        <v>0.97910967368847457</v>
      </c>
      <c r="S56">
        <f t="shared" si="7"/>
        <v>0.92166469392526151</v>
      </c>
    </row>
    <row r="57" spans="1:19" x14ac:dyDescent="0.3">
      <c r="A57">
        <v>30.0136</v>
      </c>
      <c r="B57">
        <f t="shared" si="0"/>
        <v>25.002800000000001</v>
      </c>
      <c r="C57">
        <v>359.77600000000001</v>
      </c>
      <c r="D57">
        <v>29.571000000000002</v>
      </c>
      <c r="E57">
        <v>36.189</v>
      </c>
      <c r="I57">
        <f t="shared" si="1"/>
        <v>0.68560286577485363</v>
      </c>
      <c r="J57">
        <f t="shared" si="2"/>
        <v>0.67861994896179478</v>
      </c>
      <c r="K57" s="4">
        <f t="shared" si="3"/>
        <v>0.96828828443150639</v>
      </c>
      <c r="L57" s="3">
        <f t="shared" si="4"/>
        <v>0.70805655381587029</v>
      </c>
      <c r="M57" s="3">
        <f t="shared" si="5"/>
        <v>0.70084494449937573</v>
      </c>
      <c r="R57">
        <f t="shared" si="6"/>
        <v>0.91710523384811538</v>
      </c>
      <c r="S57">
        <f t="shared" si="7"/>
        <v>1.0114975771395478</v>
      </c>
    </row>
    <row r="58" spans="1:19" x14ac:dyDescent="0.3">
      <c r="A58">
        <v>30.5136</v>
      </c>
      <c r="B58">
        <f t="shared" si="0"/>
        <v>25.502800000000001</v>
      </c>
      <c r="C58">
        <v>361</v>
      </c>
      <c r="D58">
        <v>27.678999999999998</v>
      </c>
      <c r="E58">
        <v>34.130000000000003</v>
      </c>
      <c r="I58">
        <f t="shared" si="1"/>
        <v>0.6879353668524919</v>
      </c>
      <c r="J58">
        <f t="shared" si="2"/>
        <v>0.6352007563935449</v>
      </c>
      <c r="K58" s="4">
        <f t="shared" si="3"/>
        <v>0.9131968042125318</v>
      </c>
      <c r="L58" s="3">
        <f t="shared" si="4"/>
        <v>0.75332651590443589</v>
      </c>
      <c r="M58" s="3">
        <f t="shared" si="5"/>
        <v>0.69557925899805517</v>
      </c>
      <c r="R58">
        <f t="shared" si="6"/>
        <v>1.0058516212932869</v>
      </c>
      <c r="S58">
        <f t="shared" si="7"/>
        <v>0.97636114582356981</v>
      </c>
    </row>
    <row r="59" spans="1:19" x14ac:dyDescent="0.3">
      <c r="A59">
        <v>31.0138</v>
      </c>
      <c r="B59">
        <f t="shared" si="0"/>
        <v>26.003</v>
      </c>
      <c r="C59">
        <v>356.12099999999998</v>
      </c>
      <c r="D59">
        <v>27.518000000000001</v>
      </c>
      <c r="E59">
        <v>34.548000000000002</v>
      </c>
      <c r="I59">
        <f t="shared" si="1"/>
        <v>0.67863775839023899</v>
      </c>
      <c r="J59">
        <f t="shared" si="2"/>
        <v>0.63150599423525311</v>
      </c>
      <c r="K59" s="4">
        <f t="shared" si="3"/>
        <v>0.92438099009477148</v>
      </c>
      <c r="L59" s="3">
        <f t="shared" si="4"/>
        <v>0.73415373710861598</v>
      </c>
      <c r="M59" s="3">
        <f t="shared" si="5"/>
        <v>0.68316635781368507</v>
      </c>
      <c r="R59">
        <f t="shared" si="6"/>
        <v>0.96826566413949955</v>
      </c>
      <c r="S59">
        <f t="shared" si="7"/>
        <v>0.89353336399207561</v>
      </c>
    </row>
    <row r="60" spans="1:19" x14ac:dyDescent="0.3">
      <c r="A60">
        <v>31.5137</v>
      </c>
      <c r="B60">
        <f t="shared" si="0"/>
        <v>26.5029</v>
      </c>
      <c r="C60">
        <v>349.19</v>
      </c>
      <c r="D60">
        <v>27.268000000000001</v>
      </c>
      <c r="E60">
        <v>33.036999999999999</v>
      </c>
      <c r="I60">
        <f t="shared" si="1"/>
        <v>0.66542978047429824</v>
      </c>
      <c r="J60">
        <f t="shared" si="2"/>
        <v>0.62576878591492402</v>
      </c>
      <c r="K60" s="4">
        <f t="shared" si="3"/>
        <v>0.88395203108026399</v>
      </c>
      <c r="L60" s="3">
        <f t="shared" si="4"/>
        <v>0.75278946942526603</v>
      </c>
      <c r="M60" s="3">
        <f t="shared" si="5"/>
        <v>0.7079216562805809</v>
      </c>
      <c r="R60">
        <f t="shared" si="6"/>
        <v>1.004798805414554</v>
      </c>
      <c r="S60">
        <f t="shared" si="7"/>
        <v>1.0587184750418113</v>
      </c>
    </row>
    <row r="61" spans="1:19" x14ac:dyDescent="0.3">
      <c r="A61">
        <v>32.0139</v>
      </c>
      <c r="B61">
        <f t="shared" si="0"/>
        <v>27.0031</v>
      </c>
      <c r="C61">
        <v>340.87900000000002</v>
      </c>
      <c r="D61">
        <v>29.143000000000001</v>
      </c>
      <c r="E61">
        <v>35.289000000000001</v>
      </c>
      <c r="I61">
        <f t="shared" si="1"/>
        <v>0.64959202193160837</v>
      </c>
      <c r="J61">
        <f t="shared" si="2"/>
        <v>0.66879784831739153</v>
      </c>
      <c r="K61" s="4">
        <f t="shared" si="3"/>
        <v>0.94420750143146892</v>
      </c>
      <c r="L61" s="3">
        <f t="shared" si="4"/>
        <v>0.68797591731350605</v>
      </c>
      <c r="M61" s="3">
        <f t="shared" si="5"/>
        <v>0.70831660128039475</v>
      </c>
      <c r="R61">
        <f t="shared" si="6"/>
        <v>0.8777395294170397</v>
      </c>
      <c r="S61">
        <f t="shared" si="7"/>
        <v>1.0613538314177415</v>
      </c>
    </row>
    <row r="62" spans="1:19" x14ac:dyDescent="0.3">
      <c r="A62">
        <v>32.513399999999997</v>
      </c>
      <c r="B62">
        <f t="shared" si="0"/>
        <v>27.502599999999997</v>
      </c>
      <c r="C62">
        <v>355.03399999999999</v>
      </c>
      <c r="D62">
        <v>27.143000000000001</v>
      </c>
      <c r="E62">
        <v>32.804000000000002</v>
      </c>
      <c r="I62">
        <f t="shared" si="1"/>
        <v>0.67656632973714026</v>
      </c>
      <c r="J62">
        <f t="shared" si="2"/>
        <v>0.62290018175475959</v>
      </c>
      <c r="K62" s="4">
        <f t="shared" si="3"/>
        <v>0.87771778392581001</v>
      </c>
      <c r="L62" s="3">
        <f t="shared" si="4"/>
        <v>0.77082445192238203</v>
      </c>
      <c r="M62" s="3">
        <f t="shared" si="5"/>
        <v>0.70968162336723351</v>
      </c>
      <c r="R62">
        <f t="shared" si="6"/>
        <v>1.0401542479732349</v>
      </c>
      <c r="S62">
        <f t="shared" si="7"/>
        <v>1.0704622380605184</v>
      </c>
    </row>
    <row r="63" spans="1:19" x14ac:dyDescent="0.3">
      <c r="A63">
        <v>33.0139</v>
      </c>
      <c r="B63">
        <f t="shared" si="0"/>
        <v>28.0031</v>
      </c>
      <c r="C63">
        <v>353.36200000000002</v>
      </c>
      <c r="D63">
        <v>26.303999999999998</v>
      </c>
      <c r="E63">
        <v>32.481000000000002</v>
      </c>
      <c r="I63">
        <f t="shared" si="1"/>
        <v>0.67338010277487614</v>
      </c>
      <c r="J63">
        <f t="shared" si="2"/>
        <v>0.60364611063173546</v>
      </c>
      <c r="K63" s="4">
        <f t="shared" si="3"/>
        <v>0.86907545847135204</v>
      </c>
      <c r="L63" s="3">
        <f t="shared" si="4"/>
        <v>0.77482351642895142</v>
      </c>
      <c r="M63" s="3">
        <f t="shared" si="5"/>
        <v>0.69458423287376014</v>
      </c>
      <c r="R63">
        <f t="shared" si="6"/>
        <v>1.0479939392772375</v>
      </c>
      <c r="S63">
        <f t="shared" si="7"/>
        <v>0.96972161768138809</v>
      </c>
    </row>
    <row r="64" spans="1:19" x14ac:dyDescent="0.3">
      <c r="A64">
        <v>33.513300000000001</v>
      </c>
      <c r="B64">
        <f t="shared" si="0"/>
        <v>28.502500000000001</v>
      </c>
      <c r="C64">
        <v>361.46600000000001</v>
      </c>
      <c r="D64">
        <v>28.893000000000001</v>
      </c>
      <c r="E64">
        <v>35.173999999999999</v>
      </c>
      <c r="I64">
        <f t="shared" si="1"/>
        <v>0.68882339422355365</v>
      </c>
      <c r="J64">
        <f t="shared" si="2"/>
        <v>0.66306063999706255</v>
      </c>
      <c r="K64" s="4">
        <f t="shared" si="3"/>
        <v>0.94113051249257518</v>
      </c>
      <c r="L64" s="3">
        <f t="shared" si="4"/>
        <v>0.73191059590578089</v>
      </c>
      <c r="M64" s="3">
        <f t="shared" si="5"/>
        <v>0.70453633284182104</v>
      </c>
      <c r="R64">
        <f t="shared" si="6"/>
        <v>0.96386825205659188</v>
      </c>
      <c r="S64">
        <f t="shared" si="7"/>
        <v>1.0361291683962615</v>
      </c>
    </row>
    <row r="65" spans="1:19" x14ac:dyDescent="0.3">
      <c r="A65">
        <v>34.014000000000003</v>
      </c>
      <c r="B65">
        <f t="shared" si="0"/>
        <v>29.003200000000003</v>
      </c>
      <c r="C65">
        <v>359.41399999999999</v>
      </c>
      <c r="D65">
        <v>28.25</v>
      </c>
      <c r="E65">
        <v>34.295999999999999</v>
      </c>
      <c r="I65">
        <f t="shared" si="1"/>
        <v>0.68491302476986571</v>
      </c>
      <c r="J65">
        <f t="shared" si="2"/>
        <v>0.64830454019717632</v>
      </c>
      <c r="K65" s="4">
        <f t="shared" si="3"/>
        <v>0.91763837085476085</v>
      </c>
      <c r="L65" s="3">
        <f t="shared" si="4"/>
        <v>0.74638664480854655</v>
      </c>
      <c r="M65" s="3">
        <f t="shared" si="5"/>
        <v>0.70649240571020833</v>
      </c>
      <c r="R65">
        <f t="shared" si="6"/>
        <v>0.9922468277241997</v>
      </c>
      <c r="S65">
        <f t="shared" si="7"/>
        <v>1.0491814898787923</v>
      </c>
    </row>
    <row r="66" spans="1:19" x14ac:dyDescent="0.3">
      <c r="A66">
        <v>34.513399999999997</v>
      </c>
      <c r="B66">
        <f t="shared" si="0"/>
        <v>29.502599999999997</v>
      </c>
      <c r="C66">
        <v>357.89699999999999</v>
      </c>
      <c r="D66">
        <v>26.713999999999999</v>
      </c>
      <c r="E66">
        <v>32.704000000000001</v>
      </c>
      <c r="I66">
        <f t="shared" si="1"/>
        <v>0.68202217171857704</v>
      </c>
      <c r="J66">
        <f t="shared" si="2"/>
        <v>0.61305513227707498</v>
      </c>
      <c r="K66" s="4">
        <f t="shared" si="3"/>
        <v>0.87504214137025016</v>
      </c>
      <c r="L66" s="3">
        <f t="shared" si="4"/>
        <v>0.7794163726224449</v>
      </c>
      <c r="M66" s="3">
        <f t="shared" si="5"/>
        <v>0.70060069486148036</v>
      </c>
      <c r="R66">
        <f t="shared" si="6"/>
        <v>1.0569976887045132</v>
      </c>
      <c r="S66">
        <f t="shared" si="7"/>
        <v>1.0098677683285751</v>
      </c>
    </row>
    <row r="67" spans="1:19" x14ac:dyDescent="0.3">
      <c r="A67">
        <v>35.013399999999997</v>
      </c>
      <c r="B67">
        <f t="shared" ref="B67:B71" si="8">A67-$A$7</f>
        <v>30.002599999999997</v>
      </c>
      <c r="C67">
        <v>348.46600000000001</v>
      </c>
      <c r="D67">
        <v>28.213999999999999</v>
      </c>
      <c r="E67">
        <v>34.47</v>
      </c>
      <c r="I67">
        <f t="shared" ref="I67:I71" si="9">C67/$F$2</f>
        <v>0.66405009846432261</v>
      </c>
      <c r="J67">
        <f t="shared" ref="J67:J71" si="10">D67/$G$2</f>
        <v>0.64747838219904896</v>
      </c>
      <c r="K67" s="4">
        <f t="shared" ref="K67:K71" si="11">E67/$H$2</f>
        <v>0.92229398890143477</v>
      </c>
      <c r="L67" s="3">
        <f t="shared" ref="L67:L71" si="12">I67/K67</f>
        <v>0.71999829387946868</v>
      </c>
      <c r="M67" s="3">
        <f t="shared" ref="M67:M71" si="13">J67/K67</f>
        <v>0.70203036124118634</v>
      </c>
      <c r="R67">
        <f t="shared" ref="R67:R71" si="14">(L67-$L$7)/($N$7-$L$7)</f>
        <v>0.9405155978413583</v>
      </c>
      <c r="S67">
        <f t="shared" ref="S67:S71" si="15">(M67-$M$7)/($O$7-$M$7)</f>
        <v>1.0194075280697719</v>
      </c>
    </row>
    <row r="68" spans="1:19" x14ac:dyDescent="0.3">
      <c r="A68">
        <v>35.513599999999997</v>
      </c>
      <c r="B68">
        <f t="shared" si="8"/>
        <v>30.502799999999997</v>
      </c>
      <c r="C68">
        <v>367.41399999999999</v>
      </c>
      <c r="D68">
        <v>27.018000000000001</v>
      </c>
      <c r="E68">
        <v>33.893000000000001</v>
      </c>
      <c r="I68">
        <f t="shared" si="9"/>
        <v>0.70015812985246939</v>
      </c>
      <c r="J68">
        <f t="shared" si="10"/>
        <v>0.62003157759459504</v>
      </c>
      <c r="K68" s="4">
        <f t="shared" si="11"/>
        <v>0.90685553135585528</v>
      </c>
      <c r="L68" s="3">
        <f t="shared" si="12"/>
        <v>0.77207240364476903</v>
      </c>
      <c r="M68" s="3">
        <f t="shared" si="13"/>
        <v>0.68371593507024786</v>
      </c>
      <c r="R68">
        <f t="shared" si="14"/>
        <v>1.0426007092017902</v>
      </c>
      <c r="S68">
        <f t="shared" si="15"/>
        <v>0.8972005377196367</v>
      </c>
    </row>
    <row r="69" spans="1:19" x14ac:dyDescent="0.3">
      <c r="A69">
        <v>36.013800000000003</v>
      </c>
      <c r="B69">
        <f t="shared" si="8"/>
        <v>31.003000000000004</v>
      </c>
      <c r="C69">
        <v>365.13799999999998</v>
      </c>
      <c r="D69">
        <v>26.643000000000001</v>
      </c>
      <c r="E69">
        <v>34.173999999999999</v>
      </c>
      <c r="I69">
        <f t="shared" si="9"/>
        <v>0.69582089745646869</v>
      </c>
      <c r="J69">
        <f t="shared" si="10"/>
        <v>0.61142576511410163</v>
      </c>
      <c r="K69" s="4">
        <f t="shared" si="11"/>
        <v>0.91437408693697808</v>
      </c>
      <c r="L69" s="3">
        <f t="shared" si="12"/>
        <v>0.76098055204885429</v>
      </c>
      <c r="M69" s="3">
        <f t="shared" si="13"/>
        <v>0.66868229737600082</v>
      </c>
      <c r="R69">
        <f t="shared" si="14"/>
        <v>1.020856450673594</v>
      </c>
      <c r="S69">
        <f t="shared" si="15"/>
        <v>0.79688532175378834</v>
      </c>
    </row>
    <row r="70" spans="1:19" x14ac:dyDescent="0.3">
      <c r="A70">
        <v>36.513199999999998</v>
      </c>
      <c r="B70">
        <f t="shared" si="8"/>
        <v>31.502399999999998</v>
      </c>
      <c r="C70">
        <v>369.10300000000001</v>
      </c>
      <c r="D70">
        <v>28.5</v>
      </c>
      <c r="E70">
        <v>34.78</v>
      </c>
      <c r="I70">
        <f t="shared" si="9"/>
        <v>0.70337675266303423</v>
      </c>
      <c r="J70">
        <f t="shared" si="10"/>
        <v>0.65404174851750529</v>
      </c>
      <c r="K70" s="4">
        <f t="shared" si="11"/>
        <v>0.93058848082366996</v>
      </c>
      <c r="L70" s="3">
        <f t="shared" si="12"/>
        <v>0.75584081165551376</v>
      </c>
      <c r="M70" s="3">
        <f t="shared" si="13"/>
        <v>0.70282596657397767</v>
      </c>
      <c r="R70">
        <f t="shared" si="14"/>
        <v>1.0107805996838668</v>
      </c>
      <c r="S70">
        <f t="shared" si="15"/>
        <v>1.0247163776247326</v>
      </c>
    </row>
    <row r="71" spans="1:19" x14ac:dyDescent="0.3">
      <c r="A71">
        <v>37.0139</v>
      </c>
      <c r="B71">
        <f t="shared" si="8"/>
        <v>32.003100000000003</v>
      </c>
      <c r="C71">
        <v>353.17200000000003</v>
      </c>
      <c r="D71">
        <v>27.588999999999999</v>
      </c>
      <c r="E71">
        <v>33.381</v>
      </c>
      <c r="I71">
        <f t="shared" si="9"/>
        <v>0.67301803152916428</v>
      </c>
      <c r="J71">
        <f t="shared" si="10"/>
        <v>0.63313536139822646</v>
      </c>
      <c r="K71" s="4">
        <f t="shared" si="11"/>
        <v>0.8931562414713895</v>
      </c>
      <c r="L71" s="3">
        <f t="shared" si="12"/>
        <v>0.75352777070720733</v>
      </c>
      <c r="M71" s="3">
        <f t="shared" si="13"/>
        <v>0.70887413870074567</v>
      </c>
      <c r="R71">
        <f t="shared" si="14"/>
        <v>1.0062461574465758</v>
      </c>
      <c r="S71">
        <f t="shared" si="15"/>
        <v>1.0650741210687915</v>
      </c>
    </row>
    <row r="72" spans="1:19" x14ac:dyDescent="0.3">
      <c r="K72" s="4"/>
      <c r="L72" s="3"/>
      <c r="M72" s="3"/>
    </row>
    <row r="73" spans="1:19" x14ac:dyDescent="0.3">
      <c r="K73" s="4"/>
      <c r="L73" s="3"/>
      <c r="M73" s="3"/>
    </row>
    <row r="74" spans="1:19" x14ac:dyDescent="0.3">
      <c r="K74" s="4"/>
      <c r="L74" s="3"/>
      <c r="M74" s="3"/>
    </row>
    <row r="75" spans="1:19" x14ac:dyDescent="0.3">
      <c r="K75" s="4"/>
      <c r="L75" s="3"/>
      <c r="M75" s="3"/>
    </row>
    <row r="76" spans="1:19" x14ac:dyDescent="0.3">
      <c r="K76" s="4"/>
      <c r="L76" s="3"/>
      <c r="M76" s="3"/>
    </row>
    <row r="77" spans="1:19" x14ac:dyDescent="0.3">
      <c r="K77" s="4"/>
      <c r="L77" s="3"/>
      <c r="M77" s="3"/>
    </row>
    <row r="78" spans="1:19" x14ac:dyDescent="0.3">
      <c r="K78" s="4"/>
      <c r="L78" s="3"/>
      <c r="M78" s="3"/>
    </row>
    <row r="79" spans="1:19" x14ac:dyDescent="0.3">
      <c r="K79" s="4"/>
      <c r="L79" s="3"/>
      <c r="M79" s="3"/>
    </row>
    <row r="80" spans="1:19" x14ac:dyDescent="0.3">
      <c r="K80" s="4"/>
      <c r="L80" s="3"/>
      <c r="M80" s="3"/>
    </row>
    <row r="81" spans="11:13" x14ac:dyDescent="0.3">
      <c r="K81" s="4"/>
      <c r="L81" s="3"/>
      <c r="M81" s="3"/>
    </row>
    <row r="82" spans="11:13" x14ac:dyDescent="0.3">
      <c r="K82" s="4"/>
      <c r="L82" s="3"/>
      <c r="M82" s="3"/>
    </row>
    <row r="83" spans="11:13" x14ac:dyDescent="0.3">
      <c r="K83" s="4"/>
      <c r="L83" s="3"/>
      <c r="M83" s="3"/>
    </row>
    <row r="84" spans="11:13" x14ac:dyDescent="0.3">
      <c r="K84" s="4"/>
      <c r="L84" s="3"/>
      <c r="M84" s="3"/>
    </row>
    <row r="85" spans="11:13" x14ac:dyDescent="0.3">
      <c r="K85" s="4"/>
      <c r="L85" s="3"/>
      <c r="M85" s="3"/>
    </row>
    <row r="86" spans="11:13" x14ac:dyDescent="0.3">
      <c r="K86" s="4"/>
      <c r="L86" s="3"/>
      <c r="M86" s="3"/>
    </row>
    <row r="87" spans="11:13" x14ac:dyDescent="0.3">
      <c r="K87" s="4"/>
      <c r="L87" s="3"/>
      <c r="M87" s="3"/>
    </row>
    <row r="88" spans="11:13" x14ac:dyDescent="0.3">
      <c r="K88" s="4"/>
      <c r="L88" s="3"/>
      <c r="M88" s="3"/>
    </row>
    <row r="89" spans="11:13" x14ac:dyDescent="0.3">
      <c r="K89" s="4"/>
      <c r="L89" s="3"/>
      <c r="M89" s="3"/>
    </row>
    <row r="90" spans="11:13" x14ac:dyDescent="0.3">
      <c r="K90" s="4"/>
      <c r="L90" s="3"/>
      <c r="M90" s="3"/>
    </row>
    <row r="91" spans="11:13" x14ac:dyDescent="0.3">
      <c r="K91" s="4"/>
      <c r="L91" s="3"/>
      <c r="M91" s="3"/>
    </row>
    <row r="92" spans="11:13" x14ac:dyDescent="0.3">
      <c r="K92" s="4"/>
      <c r="L92" s="3"/>
      <c r="M92" s="3"/>
    </row>
    <row r="93" spans="11:13" x14ac:dyDescent="0.3">
      <c r="K93" s="4"/>
      <c r="L93" s="3"/>
      <c r="M93" s="3"/>
    </row>
    <row r="94" spans="11:13" x14ac:dyDescent="0.3">
      <c r="K94" s="4"/>
      <c r="L94" s="3"/>
      <c r="M94" s="3"/>
    </row>
    <row r="95" spans="11:13" x14ac:dyDescent="0.3">
      <c r="K95" s="4"/>
      <c r="L95" s="3"/>
      <c r="M95" s="3"/>
    </row>
    <row r="96" spans="11:13" x14ac:dyDescent="0.3">
      <c r="K96" s="4"/>
      <c r="L96" s="3"/>
      <c r="M96" s="3"/>
    </row>
    <row r="97" spans="11:13" x14ac:dyDescent="0.3">
      <c r="K97" s="4"/>
      <c r="L97" s="3"/>
      <c r="M97" s="3"/>
    </row>
    <row r="98" spans="11:13" x14ac:dyDescent="0.3">
      <c r="K98" s="4"/>
      <c r="L98" s="3"/>
      <c r="M98" s="3"/>
    </row>
    <row r="99" spans="11:13" x14ac:dyDescent="0.3">
      <c r="K99" s="4"/>
      <c r="L99" s="3"/>
      <c r="M99" s="3"/>
    </row>
    <row r="100" spans="11:13" x14ac:dyDescent="0.3">
      <c r="K100" s="4"/>
      <c r="L100" s="3"/>
      <c r="M100" s="3"/>
    </row>
    <row r="101" spans="11:13" x14ac:dyDescent="0.3">
      <c r="K101" s="4"/>
      <c r="L101" s="3"/>
      <c r="M101" s="3"/>
    </row>
    <row r="102" spans="11:13" x14ac:dyDescent="0.3">
      <c r="K102" s="4"/>
      <c r="L102" s="3"/>
      <c r="M102" s="3"/>
    </row>
    <row r="103" spans="11:13" x14ac:dyDescent="0.3">
      <c r="K103" s="4"/>
      <c r="L103" s="3"/>
      <c r="M103" s="3"/>
    </row>
    <row r="104" spans="11:13" x14ac:dyDescent="0.3">
      <c r="K104" s="4"/>
      <c r="L104" s="3"/>
      <c r="M104" s="3"/>
    </row>
    <row r="105" spans="11:13" x14ac:dyDescent="0.3">
      <c r="K105" s="4"/>
      <c r="L105" s="3"/>
      <c r="M105" s="3"/>
    </row>
    <row r="106" spans="11:13" x14ac:dyDescent="0.3">
      <c r="K106" s="4"/>
      <c r="L106" s="3"/>
      <c r="M106" s="3"/>
    </row>
    <row r="107" spans="11:13" x14ac:dyDescent="0.3">
      <c r="K107" s="4"/>
      <c r="L107" s="3"/>
      <c r="M107" s="3"/>
    </row>
    <row r="108" spans="11:13" x14ac:dyDescent="0.3">
      <c r="K108" s="4"/>
      <c r="L108" s="3"/>
      <c r="M108" s="3"/>
    </row>
    <row r="109" spans="11:13" x14ac:dyDescent="0.3">
      <c r="K109" s="4"/>
      <c r="L109" s="3"/>
      <c r="M109" s="3"/>
    </row>
    <row r="110" spans="11:13" x14ac:dyDescent="0.3">
      <c r="K110" s="4"/>
      <c r="L110" s="3"/>
      <c r="M110" s="3"/>
    </row>
    <row r="111" spans="11:13" x14ac:dyDescent="0.3">
      <c r="K111" s="4"/>
      <c r="L111" s="3"/>
      <c r="M111" s="3"/>
    </row>
    <row r="112" spans="11:13" x14ac:dyDescent="0.3">
      <c r="K112" s="4"/>
      <c r="L112" s="3"/>
      <c r="M112" s="3"/>
    </row>
    <row r="113" spans="11:13" x14ac:dyDescent="0.3">
      <c r="K113" s="4"/>
      <c r="L113" s="3"/>
      <c r="M113" s="3"/>
    </row>
    <row r="114" spans="11:13" x14ac:dyDescent="0.3">
      <c r="K114" s="4"/>
      <c r="L114" s="3"/>
      <c r="M114" s="3"/>
    </row>
    <row r="115" spans="11:13" x14ac:dyDescent="0.3">
      <c r="K115" s="4"/>
      <c r="L115" s="3"/>
      <c r="M115" s="3"/>
    </row>
    <row r="116" spans="11:13" x14ac:dyDescent="0.3">
      <c r="K116" s="4"/>
      <c r="L116" s="3"/>
      <c r="M116" s="3"/>
    </row>
    <row r="117" spans="11:13" x14ac:dyDescent="0.3">
      <c r="K117" s="4"/>
      <c r="L117" s="3"/>
      <c r="M117" s="3"/>
    </row>
    <row r="118" spans="11:13" x14ac:dyDescent="0.3">
      <c r="K118" s="4"/>
      <c r="L118" s="3"/>
      <c r="M118" s="3"/>
    </row>
    <row r="119" spans="11:13" x14ac:dyDescent="0.3">
      <c r="K119" s="4"/>
      <c r="L119" s="3"/>
      <c r="M119" s="3"/>
    </row>
    <row r="120" spans="11:13" x14ac:dyDescent="0.3">
      <c r="K120" s="4"/>
      <c r="L120" s="3"/>
      <c r="M120" s="3"/>
    </row>
    <row r="121" spans="11:13" x14ac:dyDescent="0.3">
      <c r="K121" s="4"/>
      <c r="L121" s="3"/>
      <c r="M121" s="3"/>
    </row>
    <row r="122" spans="11:13" x14ac:dyDescent="0.3">
      <c r="K122" s="4"/>
      <c r="L122" s="3"/>
      <c r="M122" s="3"/>
    </row>
    <row r="123" spans="11:13" x14ac:dyDescent="0.3">
      <c r="K123" s="4"/>
      <c r="L123" s="3"/>
      <c r="M123" s="3"/>
    </row>
    <row r="124" spans="11:13" x14ac:dyDescent="0.3">
      <c r="K124" s="4"/>
      <c r="L124" s="3"/>
      <c r="M124" s="3"/>
    </row>
    <row r="125" spans="11:13" x14ac:dyDescent="0.3">
      <c r="K125" s="4"/>
      <c r="L125" s="3"/>
      <c r="M125" s="3"/>
    </row>
    <row r="126" spans="11:13" x14ac:dyDescent="0.3">
      <c r="K126" s="4"/>
      <c r="L126" s="3"/>
      <c r="M126" s="3"/>
    </row>
    <row r="127" spans="11:13" x14ac:dyDescent="0.3">
      <c r="K127" s="4"/>
      <c r="L127" s="3"/>
      <c r="M127" s="3"/>
    </row>
    <row r="128" spans="11:13" x14ac:dyDescent="0.3">
      <c r="K128" s="4"/>
      <c r="L128" s="3"/>
      <c r="M128" s="3"/>
    </row>
    <row r="129" spans="11:13" x14ac:dyDescent="0.3">
      <c r="K129" s="4"/>
      <c r="L129" s="3"/>
      <c r="M129" s="3"/>
    </row>
    <row r="130" spans="11:13" x14ac:dyDescent="0.3">
      <c r="K130" s="4"/>
      <c r="L130" s="3"/>
      <c r="M130" s="3"/>
    </row>
    <row r="131" spans="11:13" x14ac:dyDescent="0.3">
      <c r="K131" s="4"/>
      <c r="L131" s="3"/>
      <c r="M131" s="3"/>
    </row>
    <row r="132" spans="11:13" x14ac:dyDescent="0.3">
      <c r="K132" s="4"/>
      <c r="L132" s="3"/>
      <c r="M132" s="3"/>
    </row>
    <row r="133" spans="11:13" x14ac:dyDescent="0.3">
      <c r="K133" s="4"/>
      <c r="L133" s="3"/>
      <c r="M133" s="3"/>
    </row>
    <row r="134" spans="11:13" x14ac:dyDescent="0.3">
      <c r="K134" s="4"/>
      <c r="L134" s="3"/>
      <c r="M134" s="3"/>
    </row>
    <row r="135" spans="11:13" x14ac:dyDescent="0.3">
      <c r="K135" s="4"/>
      <c r="L135" s="3"/>
      <c r="M135" s="3"/>
    </row>
    <row r="136" spans="11:13" x14ac:dyDescent="0.3">
      <c r="K136" s="4"/>
      <c r="L136" s="3"/>
      <c r="M136" s="3"/>
    </row>
    <row r="137" spans="11:13" x14ac:dyDescent="0.3">
      <c r="K137" s="4"/>
      <c r="L137" s="3"/>
      <c r="M137" s="3"/>
    </row>
    <row r="138" spans="11:13" x14ac:dyDescent="0.3">
      <c r="K138" s="4"/>
      <c r="L138" s="3"/>
      <c r="M138" s="3"/>
    </row>
    <row r="139" spans="11:13" x14ac:dyDescent="0.3">
      <c r="K139" s="4"/>
      <c r="L139" s="3"/>
      <c r="M139" s="3"/>
    </row>
    <row r="140" spans="11:13" x14ac:dyDescent="0.3">
      <c r="K140" s="4"/>
      <c r="L140" s="3"/>
      <c r="M140" s="3"/>
    </row>
    <row r="141" spans="11:13" x14ac:dyDescent="0.3">
      <c r="K141" s="4"/>
      <c r="L141" s="3"/>
      <c r="M141" s="3"/>
    </row>
    <row r="142" spans="11:13" x14ac:dyDescent="0.3">
      <c r="K142" s="4"/>
      <c r="L142" s="3"/>
      <c r="M142" s="3"/>
    </row>
    <row r="143" spans="11:13" x14ac:dyDescent="0.3">
      <c r="K143" s="4"/>
      <c r="L143" s="3"/>
      <c r="M143" s="3"/>
    </row>
    <row r="144" spans="11:13" x14ac:dyDescent="0.3">
      <c r="K144" s="4"/>
      <c r="L144" s="3"/>
      <c r="M144" s="3"/>
    </row>
    <row r="145" spans="11:13" x14ac:dyDescent="0.3">
      <c r="K145" s="4"/>
      <c r="L145" s="3"/>
      <c r="M145" s="3"/>
    </row>
    <row r="146" spans="11:13" x14ac:dyDescent="0.3">
      <c r="K146" s="4"/>
      <c r="L146" s="3"/>
      <c r="M146" s="3"/>
    </row>
    <row r="147" spans="11:13" x14ac:dyDescent="0.3">
      <c r="K147" s="4"/>
      <c r="L147" s="3"/>
      <c r="M147" s="3"/>
    </row>
    <row r="148" spans="11:13" x14ac:dyDescent="0.3">
      <c r="K148" s="4"/>
      <c r="L148" s="3"/>
      <c r="M148" s="3"/>
    </row>
    <row r="149" spans="11:13" x14ac:dyDescent="0.3">
      <c r="K149" s="4"/>
      <c r="L149" s="3"/>
      <c r="M149" s="3"/>
    </row>
    <row r="150" spans="11:13" x14ac:dyDescent="0.3">
      <c r="K150" s="4"/>
      <c r="L150" s="3"/>
      <c r="M150" s="3"/>
    </row>
    <row r="151" spans="11:13" x14ac:dyDescent="0.3">
      <c r="K151" s="4"/>
      <c r="L151" s="3"/>
      <c r="M151" s="3"/>
    </row>
    <row r="152" spans="11:13" x14ac:dyDescent="0.3">
      <c r="K152" s="4"/>
      <c r="L152" s="3"/>
      <c r="M152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73E1-8EDD-43D6-A1A2-4B4C0B436C99}">
  <dimension ref="A1:S101"/>
  <sheetViews>
    <sheetView tabSelected="1" topLeftCell="B10" workbookViewId="0">
      <selection activeCell="P31" sqref="P31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16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-7.5105000000000004</v>
      </c>
      <c r="C2">
        <v>631.53399999999999</v>
      </c>
      <c r="D2">
        <v>36.518000000000001</v>
      </c>
      <c r="E2">
        <v>25.492000000000001</v>
      </c>
      <c r="F2">
        <f>AVERAGE(C2:C11)</f>
        <v>593.53099999999995</v>
      </c>
      <c r="G2">
        <f>AVERAGE(D2:D11)</f>
        <v>35.637699999999995</v>
      </c>
      <c r="H2">
        <f>AVERAGE(E2:E11)</f>
        <v>24.456</v>
      </c>
      <c r="I2">
        <f>C2/$F$2</f>
        <v>1.0640286691006873</v>
      </c>
      <c r="J2">
        <f>D2/$G$2</f>
        <v>1.0247013696170069</v>
      </c>
      <c r="K2" s="4">
        <f>E2/$H$2</f>
        <v>1.0423617926071311</v>
      </c>
      <c r="L2" s="3">
        <f>I2/K2</f>
        <v>1.0207863302811238</v>
      </c>
      <c r="M2" s="3">
        <f>J2/K2</f>
        <v>0.98305730014724313</v>
      </c>
      <c r="R2">
        <f>(L2-$L$12)/($N$12-$L$12)</f>
        <v>1.7019003985039591</v>
      </c>
      <c r="S2">
        <f>(M2-$M$12)/($O$12-$M$12)</f>
        <v>1.9928554515463499</v>
      </c>
    </row>
    <row r="3" spans="1:19" x14ac:dyDescent="0.3">
      <c r="A3">
        <v>0.50280000000000002</v>
      </c>
      <c r="B3">
        <f t="shared" ref="B3:B66" si="0">A3-$A$12</f>
        <v>-7.0077000000000007</v>
      </c>
      <c r="C3">
        <v>618.86199999999997</v>
      </c>
      <c r="D3">
        <v>36.588999999999999</v>
      </c>
      <c r="E3">
        <v>23.914999999999999</v>
      </c>
      <c r="I3">
        <f t="shared" ref="I3:I66" si="1">C3/$F$2</f>
        <v>1.0426784784619507</v>
      </c>
      <c r="J3">
        <f t="shared" ref="J3:J66" si="2">D3/$G$2</f>
        <v>1.0266936418455737</v>
      </c>
      <c r="K3" s="4">
        <f t="shared" ref="K3:K66" si="3">E3/$H$2</f>
        <v>0.97787863918874707</v>
      </c>
      <c r="L3" s="3">
        <f t="shared" ref="L3:L66" si="4">I3/K3</f>
        <v>1.0662657273370466</v>
      </c>
      <c r="M3" s="3">
        <f t="shared" ref="M3:M66" si="5">J3/K3</f>
        <v>1.0499192851756367</v>
      </c>
      <c r="R3">
        <f t="shared" ref="R3:R66" si="6">(L3-$L$12)/($N$12-$L$12)</f>
        <v>1.8066111523085049</v>
      </c>
      <c r="S3">
        <f t="shared" ref="S3:S66" si="7">(M3-$M$12)/($O$12-$M$12)</f>
        <v>2.4083223825129094</v>
      </c>
    </row>
    <row r="4" spans="1:19" x14ac:dyDescent="0.3">
      <c r="A4">
        <v>1.0029999999999999</v>
      </c>
      <c r="B4">
        <f t="shared" si="0"/>
        <v>-6.5075000000000003</v>
      </c>
      <c r="C4">
        <v>624.51700000000005</v>
      </c>
      <c r="D4">
        <v>35.786000000000001</v>
      </c>
      <c r="E4">
        <v>25.356000000000002</v>
      </c>
      <c r="I4">
        <f t="shared" si="1"/>
        <v>1.0522062032143227</v>
      </c>
      <c r="J4">
        <f t="shared" si="2"/>
        <v>1.004161323542204</v>
      </c>
      <c r="K4" s="4">
        <f t="shared" si="3"/>
        <v>1.0368007850834151</v>
      </c>
      <c r="L4" s="3">
        <f t="shared" si="4"/>
        <v>1.0148586096312302</v>
      </c>
      <c r="M4" s="3">
        <f t="shared" si="5"/>
        <v>0.96851906170327107</v>
      </c>
      <c r="R4">
        <f t="shared" si="6"/>
        <v>1.6882525461186273</v>
      </c>
      <c r="S4">
        <f t="shared" si="7"/>
        <v>1.902517761072277</v>
      </c>
    </row>
    <row r="5" spans="1:19" x14ac:dyDescent="0.3">
      <c r="A5">
        <v>1.5025999999999999</v>
      </c>
      <c r="B5">
        <f t="shared" si="0"/>
        <v>-6.0079000000000002</v>
      </c>
      <c r="C5">
        <v>594.65499999999997</v>
      </c>
      <c r="D5">
        <v>35.393000000000001</v>
      </c>
      <c r="E5">
        <v>24.135999999999999</v>
      </c>
      <c r="I5">
        <f t="shared" si="1"/>
        <v>1.0018937511267314</v>
      </c>
      <c r="J5">
        <f t="shared" si="2"/>
        <v>0.99313367585450252</v>
      </c>
      <c r="K5" s="4">
        <f t="shared" si="3"/>
        <v>0.98691527641478571</v>
      </c>
      <c r="L5" s="3">
        <f t="shared" si="4"/>
        <v>1.0151770623779974</v>
      </c>
      <c r="M5" s="3">
        <f t="shared" si="5"/>
        <v>1.0063008442450163</v>
      </c>
      <c r="R5">
        <f t="shared" si="6"/>
        <v>1.6889857446507917</v>
      </c>
      <c r="S5">
        <f t="shared" si="7"/>
        <v>2.137286160969452</v>
      </c>
    </row>
    <row r="6" spans="1:19" x14ac:dyDescent="0.3">
      <c r="A6">
        <v>2.0028000000000001</v>
      </c>
      <c r="B6">
        <f t="shared" si="0"/>
        <v>-5.5076999999999998</v>
      </c>
      <c r="C6">
        <v>598.60299999999995</v>
      </c>
      <c r="D6">
        <v>36.643000000000001</v>
      </c>
      <c r="E6">
        <v>24.068000000000001</v>
      </c>
      <c r="I6">
        <f t="shared" si="1"/>
        <v>1.0085454677177772</v>
      </c>
      <c r="J6">
        <f t="shared" si="2"/>
        <v>1.028208891146174</v>
      </c>
      <c r="K6" s="4">
        <f t="shared" si="3"/>
        <v>0.98413477265292781</v>
      </c>
      <c r="L6" s="3">
        <f t="shared" si="4"/>
        <v>1.0248042196487435</v>
      </c>
      <c r="M6" s="3">
        <f t="shared" si="5"/>
        <v>1.0447846369399547</v>
      </c>
      <c r="R6">
        <f t="shared" si="6"/>
        <v>1.7111510977572804</v>
      </c>
      <c r="S6">
        <f t="shared" si="7"/>
        <v>2.3764167108047518</v>
      </c>
    </row>
    <row r="7" spans="1:19" x14ac:dyDescent="0.3">
      <c r="A7">
        <v>2.5028000000000001</v>
      </c>
      <c r="B7">
        <f t="shared" si="0"/>
        <v>-5.0076999999999998</v>
      </c>
      <c r="C7">
        <v>586.96600000000001</v>
      </c>
      <c r="D7">
        <v>35.304000000000002</v>
      </c>
      <c r="E7">
        <v>24.61</v>
      </c>
      <c r="I7">
        <f t="shared" si="1"/>
        <v>0.98893907816103965</v>
      </c>
      <c r="J7">
        <f t="shared" si="2"/>
        <v>0.99063632052573558</v>
      </c>
      <c r="K7" s="4">
        <f t="shared" si="3"/>
        <v>1.0062970232253843</v>
      </c>
      <c r="L7" s="3">
        <f t="shared" si="4"/>
        <v>0.98275067433995889</v>
      </c>
      <c r="M7" s="3">
        <f t="shared" si="5"/>
        <v>0.98443729600883345</v>
      </c>
      <c r="R7">
        <f t="shared" si="6"/>
        <v>1.6143279489362474</v>
      </c>
      <c r="S7">
        <f t="shared" si="7"/>
        <v>2.0014304683532544</v>
      </c>
    </row>
    <row r="8" spans="1:19" x14ac:dyDescent="0.3">
      <c r="A8">
        <v>3.0028999999999999</v>
      </c>
      <c r="B8">
        <f t="shared" si="0"/>
        <v>-4.5076000000000001</v>
      </c>
      <c r="C8">
        <v>571.15499999999997</v>
      </c>
      <c r="D8">
        <v>36.411000000000001</v>
      </c>
      <c r="E8">
        <v>25</v>
      </c>
      <c r="I8">
        <f t="shared" si="1"/>
        <v>0.96230019998955407</v>
      </c>
      <c r="J8">
        <f t="shared" si="2"/>
        <v>1.0216989311880398</v>
      </c>
      <c r="K8" s="4">
        <f t="shared" si="3"/>
        <v>1.0222440300948643</v>
      </c>
      <c r="L8" s="3">
        <f t="shared" si="4"/>
        <v>0.94136054763778132</v>
      </c>
      <c r="M8" s="3">
        <f t="shared" si="5"/>
        <v>0.99946676244538801</v>
      </c>
      <c r="R8">
        <f t="shared" si="6"/>
        <v>1.519032240382296</v>
      </c>
      <c r="S8">
        <f t="shared" si="7"/>
        <v>2.094820550801578</v>
      </c>
    </row>
    <row r="9" spans="1:19" x14ac:dyDescent="0.3">
      <c r="A9">
        <v>3.5024000000000002</v>
      </c>
      <c r="B9">
        <f t="shared" si="0"/>
        <v>-4.0081000000000007</v>
      </c>
      <c r="C9">
        <v>576.12099999999998</v>
      </c>
      <c r="D9">
        <v>33.786000000000001</v>
      </c>
      <c r="E9">
        <v>23.864000000000001</v>
      </c>
      <c r="I9">
        <f t="shared" si="1"/>
        <v>0.97066707551922315</v>
      </c>
      <c r="J9">
        <f t="shared" si="2"/>
        <v>0.94804097907552975</v>
      </c>
      <c r="K9" s="4">
        <f t="shared" si="3"/>
        <v>0.97579326136735367</v>
      </c>
      <c r="L9" s="3">
        <f t="shared" si="4"/>
        <v>0.99474664762395748</v>
      </c>
      <c r="M9" s="3">
        <f t="shared" si="5"/>
        <v>0.97155926015216032</v>
      </c>
      <c r="R9">
        <f t="shared" si="6"/>
        <v>1.6419472114265163</v>
      </c>
      <c r="S9">
        <f t="shared" si="7"/>
        <v>1.9214089429382195</v>
      </c>
    </row>
    <row r="10" spans="1:19" x14ac:dyDescent="0.3">
      <c r="A10">
        <v>4.0026000000000002</v>
      </c>
      <c r="B10">
        <f t="shared" si="0"/>
        <v>-3.5079000000000002</v>
      </c>
      <c r="C10">
        <v>567.82799999999997</v>
      </c>
      <c r="D10">
        <v>36.143000000000001</v>
      </c>
      <c r="E10">
        <v>24.288</v>
      </c>
      <c r="I10">
        <f t="shared" si="1"/>
        <v>0.9566947640477077</v>
      </c>
      <c r="J10">
        <f t="shared" si="2"/>
        <v>1.0141788050295055</v>
      </c>
      <c r="K10" s="4">
        <f t="shared" si="3"/>
        <v>0.99313052011776259</v>
      </c>
      <c r="L10" s="3">
        <f t="shared" si="4"/>
        <v>0.96331221794922339</v>
      </c>
      <c r="M10" s="3">
        <f t="shared" si="5"/>
        <v>1.0211938758152828</v>
      </c>
      <c r="R10">
        <f t="shared" si="6"/>
        <v>1.569573278618875</v>
      </c>
      <c r="S10">
        <f t="shared" si="7"/>
        <v>2.2298284645917432</v>
      </c>
    </row>
    <row r="11" spans="1:19" x14ac:dyDescent="0.3">
      <c r="A11">
        <v>4.5025000000000004</v>
      </c>
      <c r="B11">
        <f t="shared" si="0"/>
        <v>-3.008</v>
      </c>
      <c r="C11">
        <v>565.06899999999996</v>
      </c>
      <c r="D11">
        <v>33.804000000000002</v>
      </c>
      <c r="E11">
        <v>23.831</v>
      </c>
      <c r="I11">
        <f t="shared" si="1"/>
        <v>0.95204631266100681</v>
      </c>
      <c r="J11">
        <f t="shared" si="2"/>
        <v>0.94854606217572979</v>
      </c>
      <c r="K11" s="4">
        <f t="shared" si="3"/>
        <v>0.97444389924762842</v>
      </c>
      <c r="L11" s="3">
        <f t="shared" si="4"/>
        <v>0.97701500660641949</v>
      </c>
      <c r="M11" s="3">
        <f t="shared" si="5"/>
        <v>0.9734229573483969</v>
      </c>
      <c r="R11">
        <f t="shared" si="6"/>
        <v>1.6011222749205427</v>
      </c>
      <c r="S11">
        <f t="shared" si="7"/>
        <v>1.9329895825803507</v>
      </c>
    </row>
    <row r="12" spans="1:19" x14ac:dyDescent="0.3">
      <c r="A12" s="1">
        <v>7.5105000000000004</v>
      </c>
      <c r="B12" s="1">
        <f t="shared" si="0"/>
        <v>0</v>
      </c>
      <c r="C12" s="1">
        <v>165.63800000000001</v>
      </c>
      <c r="D12" s="1">
        <v>23.393000000000001</v>
      </c>
      <c r="E12" s="1">
        <v>24.236999999999998</v>
      </c>
      <c r="F12" s="1"/>
      <c r="G12" s="1"/>
      <c r="H12" s="1"/>
      <c r="I12" s="1">
        <f t="shared" si="1"/>
        <v>0.27907219673445871</v>
      </c>
      <c r="J12" s="1">
        <f t="shared" si="2"/>
        <v>0.6564116090544565</v>
      </c>
      <c r="K12" s="1">
        <f t="shared" si="3"/>
        <v>0.99104514229636897</v>
      </c>
      <c r="L12" s="1">
        <f t="shared" si="4"/>
        <v>0.2815938294070191</v>
      </c>
      <c r="M12" s="1">
        <f t="shared" si="5"/>
        <v>0.66234279453050249</v>
      </c>
      <c r="N12" s="1">
        <f>AVERAGE(L66:L76)</f>
        <v>0.71592741410086225</v>
      </c>
      <c r="O12" s="1">
        <f>AVERAGE(M66:M76)</f>
        <v>0.82327494109832466</v>
      </c>
      <c r="P12" s="5">
        <f>(N12-L12)/(1-L12)</f>
        <v>0.60457941826326334</v>
      </c>
      <c r="Q12" s="5">
        <f>(O12-M12)/(1-M12)</f>
        <v>0.47661398590340487</v>
      </c>
      <c r="R12">
        <f t="shared" si="6"/>
        <v>0</v>
      </c>
      <c r="S12">
        <f t="shared" si="7"/>
        <v>0</v>
      </c>
    </row>
    <row r="13" spans="1:19" x14ac:dyDescent="0.3">
      <c r="A13">
        <v>8.0137</v>
      </c>
      <c r="B13">
        <f t="shared" si="0"/>
        <v>0.50319999999999965</v>
      </c>
      <c r="C13">
        <v>211.017</v>
      </c>
      <c r="D13">
        <v>22.875</v>
      </c>
      <c r="E13">
        <v>23.085000000000001</v>
      </c>
      <c r="I13">
        <f t="shared" si="1"/>
        <v>0.35552818639632977</v>
      </c>
      <c r="J13">
        <f t="shared" si="2"/>
        <v>0.6418764398375878</v>
      </c>
      <c r="K13" s="4">
        <f t="shared" si="3"/>
        <v>0.9439401373895977</v>
      </c>
      <c r="L13" s="3">
        <f t="shared" si="4"/>
        <v>0.37664272586132297</v>
      </c>
      <c r="M13" s="3">
        <f t="shared" si="5"/>
        <v>0.67999697694035288</v>
      </c>
      <c r="R13">
        <f t="shared" si="6"/>
        <v>0.21883846841202198</v>
      </c>
      <c r="S13">
        <f t="shared" si="7"/>
        <v>0.10969953975236596</v>
      </c>
    </row>
    <row r="14" spans="1:19" x14ac:dyDescent="0.3">
      <c r="A14">
        <v>8.5130999999999997</v>
      </c>
      <c r="B14">
        <f t="shared" si="0"/>
        <v>1.0025999999999993</v>
      </c>
      <c r="C14">
        <v>245.5</v>
      </c>
      <c r="D14">
        <v>23.286000000000001</v>
      </c>
      <c r="E14">
        <v>23.407</v>
      </c>
      <c r="I14">
        <f t="shared" si="1"/>
        <v>0.41362624698625688</v>
      </c>
      <c r="J14">
        <f t="shared" si="2"/>
        <v>0.65340917062548942</v>
      </c>
      <c r="K14" s="4">
        <f t="shared" si="3"/>
        <v>0.9571066404972195</v>
      </c>
      <c r="L14" s="3">
        <f t="shared" si="4"/>
        <v>0.43216317752364242</v>
      </c>
      <c r="M14" s="3">
        <f t="shared" si="5"/>
        <v>0.68269212956880287</v>
      </c>
      <c r="R14">
        <f t="shared" si="6"/>
        <v>0.34666752335709416</v>
      </c>
      <c r="S14">
        <f t="shared" si="7"/>
        <v>0.12644667626877454</v>
      </c>
    </row>
    <row r="15" spans="1:19" x14ac:dyDescent="0.3">
      <c r="A15">
        <v>9.0132999999999992</v>
      </c>
      <c r="B15">
        <f t="shared" si="0"/>
        <v>1.5027999999999988</v>
      </c>
      <c r="C15">
        <v>255.06899999999999</v>
      </c>
      <c r="D15">
        <v>25.213999999999999</v>
      </c>
      <c r="E15">
        <v>25.186</v>
      </c>
      <c r="I15">
        <f t="shared" si="1"/>
        <v>0.4297484040429228</v>
      </c>
      <c r="J15">
        <f t="shared" si="2"/>
        <v>0.70750918269136343</v>
      </c>
      <c r="K15" s="4">
        <f t="shared" si="3"/>
        <v>1.0298495256787701</v>
      </c>
      <c r="L15" s="3">
        <f t="shared" si="4"/>
        <v>0.4172924231427666</v>
      </c>
      <c r="M15" s="3">
        <f t="shared" si="5"/>
        <v>0.68700248439212197</v>
      </c>
      <c r="R15">
        <f t="shared" si="6"/>
        <v>0.31242942871065316</v>
      </c>
      <c r="S15">
        <f t="shared" si="7"/>
        <v>0.15323035445393171</v>
      </c>
    </row>
    <row r="16" spans="1:19" x14ac:dyDescent="0.3">
      <c r="A16">
        <v>9.5129000000000001</v>
      </c>
      <c r="B16">
        <f t="shared" si="0"/>
        <v>2.0023999999999997</v>
      </c>
      <c r="C16">
        <v>284.06900000000002</v>
      </c>
      <c r="D16">
        <v>23.838999999999999</v>
      </c>
      <c r="E16">
        <v>23.542999999999999</v>
      </c>
      <c r="I16">
        <f t="shared" si="1"/>
        <v>0.47860853097816297</v>
      </c>
      <c r="J16">
        <f t="shared" si="2"/>
        <v>0.66892644587052486</v>
      </c>
      <c r="K16" s="4">
        <f t="shared" si="3"/>
        <v>0.96266764802093552</v>
      </c>
      <c r="L16" s="3">
        <f t="shared" si="4"/>
        <v>0.49716901981913753</v>
      </c>
      <c r="M16" s="3">
        <f t="shared" si="5"/>
        <v>0.69486748333727888</v>
      </c>
      <c r="R16">
        <f t="shared" si="6"/>
        <v>0.49633553105057476</v>
      </c>
      <c r="S16">
        <f t="shared" si="7"/>
        <v>0.20210187647667649</v>
      </c>
    </row>
    <row r="17" spans="1:19" x14ac:dyDescent="0.3">
      <c r="A17">
        <v>10.013299999999999</v>
      </c>
      <c r="B17">
        <f t="shared" si="0"/>
        <v>2.5027999999999988</v>
      </c>
      <c r="C17">
        <v>294.34500000000003</v>
      </c>
      <c r="D17">
        <v>24.268000000000001</v>
      </c>
      <c r="E17">
        <v>22.847000000000001</v>
      </c>
      <c r="I17">
        <f t="shared" si="1"/>
        <v>0.49592186423287082</v>
      </c>
      <c r="J17">
        <f t="shared" si="2"/>
        <v>0.68096425975862651</v>
      </c>
      <c r="K17" s="4">
        <f t="shared" si="3"/>
        <v>0.93420837422309466</v>
      </c>
      <c r="L17" s="3">
        <f t="shared" si="4"/>
        <v>0.53084716206412608</v>
      </c>
      <c r="M17" s="3">
        <f t="shared" si="5"/>
        <v>0.72892116849726296</v>
      </c>
      <c r="R17">
        <f t="shared" si="6"/>
        <v>0.57387533785305334</v>
      </c>
      <c r="S17">
        <f t="shared" si="7"/>
        <v>0.41370462885550419</v>
      </c>
    </row>
    <row r="18" spans="1:19" x14ac:dyDescent="0.3">
      <c r="A18">
        <v>10.5129</v>
      </c>
      <c r="B18">
        <f t="shared" si="0"/>
        <v>3.0023999999999997</v>
      </c>
      <c r="C18">
        <v>293.44799999999998</v>
      </c>
      <c r="D18">
        <v>26.428999999999998</v>
      </c>
      <c r="E18">
        <v>23.895</v>
      </c>
      <c r="I18">
        <f t="shared" si="1"/>
        <v>0.49441056996180488</v>
      </c>
      <c r="J18">
        <f t="shared" si="2"/>
        <v>0.74160229195486804</v>
      </c>
      <c r="K18" s="4">
        <f t="shared" si="3"/>
        <v>0.9770608439646713</v>
      </c>
      <c r="L18" s="3">
        <f t="shared" si="4"/>
        <v>0.50601820041790746</v>
      </c>
      <c r="M18" s="3">
        <f t="shared" si="5"/>
        <v>0.75901341921105892</v>
      </c>
      <c r="R18">
        <f t="shared" si="6"/>
        <v>0.51670968794430794</v>
      </c>
      <c r="S18">
        <f t="shared" si="7"/>
        <v>0.60069182411493038</v>
      </c>
    </row>
    <row r="19" spans="1:19" x14ac:dyDescent="0.3">
      <c r="A19">
        <v>11.0137</v>
      </c>
      <c r="B19">
        <f t="shared" si="0"/>
        <v>3.5031999999999996</v>
      </c>
      <c r="C19">
        <v>303.483</v>
      </c>
      <c r="D19">
        <v>25.018000000000001</v>
      </c>
      <c r="E19">
        <v>23.411999999999999</v>
      </c>
      <c r="I19">
        <f t="shared" si="1"/>
        <v>0.51131785871336133</v>
      </c>
      <c r="J19">
        <f t="shared" si="2"/>
        <v>0.70200938893362941</v>
      </c>
      <c r="K19" s="4">
        <f t="shared" si="3"/>
        <v>0.95731108930323849</v>
      </c>
      <c r="L19" s="3">
        <f t="shared" si="4"/>
        <v>0.53411880884563323</v>
      </c>
      <c r="M19" s="3">
        <f t="shared" si="5"/>
        <v>0.73331375430381174</v>
      </c>
      <c r="R19">
        <f t="shared" si="6"/>
        <v>0.58140790474818138</v>
      </c>
      <c r="S19">
        <f t="shared" si="7"/>
        <v>0.44099927383619231</v>
      </c>
    </row>
    <row r="20" spans="1:19" x14ac:dyDescent="0.3">
      <c r="A20">
        <v>11.5131</v>
      </c>
      <c r="B20">
        <f t="shared" si="0"/>
        <v>4.0025999999999993</v>
      </c>
      <c r="C20">
        <v>316.77600000000001</v>
      </c>
      <c r="D20">
        <v>25.928999999999998</v>
      </c>
      <c r="E20">
        <v>23.643999999999998</v>
      </c>
      <c r="I20">
        <f t="shared" si="1"/>
        <v>0.53371433000129742</v>
      </c>
      <c r="J20">
        <f t="shared" si="2"/>
        <v>0.72757220583819948</v>
      </c>
      <c r="K20" s="4">
        <f t="shared" si="3"/>
        <v>0.96679751390251878</v>
      </c>
      <c r="L20" s="3">
        <f t="shared" si="4"/>
        <v>0.5520435482368351</v>
      </c>
      <c r="M20" s="3">
        <f t="shared" si="5"/>
        <v>0.75255903679491654</v>
      </c>
      <c r="R20">
        <f t="shared" si="6"/>
        <v>0.62267742666147485</v>
      </c>
      <c r="S20">
        <f t="shared" si="7"/>
        <v>0.56058558956953897</v>
      </c>
    </row>
    <row r="21" spans="1:19" x14ac:dyDescent="0.3">
      <c r="A21">
        <v>12.013199999999999</v>
      </c>
      <c r="B21">
        <f t="shared" si="0"/>
        <v>4.502699999999999</v>
      </c>
      <c r="C21">
        <v>324.93099999999998</v>
      </c>
      <c r="D21">
        <v>25.481999999999999</v>
      </c>
      <c r="E21">
        <v>22.678000000000001</v>
      </c>
      <c r="I21">
        <f t="shared" si="1"/>
        <v>0.54745413466187953</v>
      </c>
      <c r="J21">
        <f t="shared" si="2"/>
        <v>0.71502930884989779</v>
      </c>
      <c r="K21" s="4">
        <f t="shared" si="3"/>
        <v>0.92729800457965328</v>
      </c>
      <c r="L21" s="3">
        <f t="shared" si="4"/>
        <v>0.59037562030562329</v>
      </c>
      <c r="M21" s="3">
        <f t="shared" si="5"/>
        <v>0.77108901919186434</v>
      </c>
      <c r="R21">
        <f t="shared" si="6"/>
        <v>0.71093233813880863</v>
      </c>
      <c r="S21">
        <f t="shared" si="7"/>
        <v>0.67572717434383178</v>
      </c>
    </row>
    <row r="22" spans="1:19" x14ac:dyDescent="0.3">
      <c r="A22">
        <v>12.513199999999999</v>
      </c>
      <c r="B22">
        <f t="shared" si="0"/>
        <v>5.002699999999999</v>
      </c>
      <c r="C22">
        <v>327.79300000000001</v>
      </c>
      <c r="D22">
        <v>25.625</v>
      </c>
      <c r="E22">
        <v>22.797000000000001</v>
      </c>
      <c r="I22">
        <f t="shared" si="1"/>
        <v>0.55227612374079882</v>
      </c>
      <c r="J22">
        <f t="shared" si="2"/>
        <v>0.71904191347926505</v>
      </c>
      <c r="K22" s="4">
        <f t="shared" si="3"/>
        <v>0.9321638861629048</v>
      </c>
      <c r="L22" s="3">
        <f t="shared" si="4"/>
        <v>0.59246676677654853</v>
      </c>
      <c r="M22" s="3">
        <f t="shared" si="5"/>
        <v>0.77136855884760747</v>
      </c>
      <c r="R22">
        <f t="shared" si="6"/>
        <v>0.71574694733463973</v>
      </c>
      <c r="S22">
        <f t="shared" si="7"/>
        <v>0.6774641775573278</v>
      </c>
    </row>
    <row r="23" spans="1:19" x14ac:dyDescent="0.3">
      <c r="A23">
        <v>13.013199999999999</v>
      </c>
      <c r="B23">
        <f t="shared" si="0"/>
        <v>5.502699999999999</v>
      </c>
      <c r="C23">
        <v>337.65499999999997</v>
      </c>
      <c r="D23">
        <v>26.161000000000001</v>
      </c>
      <c r="E23">
        <v>23.356000000000002</v>
      </c>
      <c r="I23">
        <f t="shared" si="1"/>
        <v>0.56889193656270687</v>
      </c>
      <c r="J23">
        <f t="shared" si="2"/>
        <v>0.73408216579633379</v>
      </c>
      <c r="K23" s="4">
        <f t="shared" si="3"/>
        <v>0.9550212626758261</v>
      </c>
      <c r="L23" s="3">
        <f t="shared" si="4"/>
        <v>0.59568510021311682</v>
      </c>
      <c r="M23" s="3">
        <f t="shared" si="5"/>
        <v>0.76865531112840968</v>
      </c>
      <c r="R23">
        <f t="shared" si="6"/>
        <v>0.72315676676832885</v>
      </c>
      <c r="S23">
        <f t="shared" si="7"/>
        <v>0.6606046017854087</v>
      </c>
    </row>
    <row r="24" spans="1:19" x14ac:dyDescent="0.3">
      <c r="A24">
        <v>13.513400000000001</v>
      </c>
      <c r="B24">
        <f t="shared" si="0"/>
        <v>6.0029000000000003</v>
      </c>
      <c r="C24">
        <v>343.77600000000001</v>
      </c>
      <c r="D24">
        <v>26.106999999999999</v>
      </c>
      <c r="E24">
        <v>23.661000000000001</v>
      </c>
      <c r="I24">
        <f t="shared" si="1"/>
        <v>0.57920479300996919</v>
      </c>
      <c r="J24">
        <f t="shared" si="2"/>
        <v>0.73256691649573358</v>
      </c>
      <c r="K24" s="4">
        <f t="shared" si="3"/>
        <v>0.96749263984298339</v>
      </c>
      <c r="L24" s="3">
        <f t="shared" si="4"/>
        <v>0.59866583905379334</v>
      </c>
      <c r="M24" s="3">
        <f t="shared" si="5"/>
        <v>0.75718086766491943</v>
      </c>
      <c r="R24">
        <f t="shared" si="6"/>
        <v>0.73001955368078364</v>
      </c>
      <c r="S24">
        <f t="shared" si="7"/>
        <v>0.58930471728001843</v>
      </c>
    </row>
    <row r="25" spans="1:19" x14ac:dyDescent="0.3">
      <c r="A25">
        <v>14.013299999999999</v>
      </c>
      <c r="B25">
        <f t="shared" si="0"/>
        <v>6.5027999999999988</v>
      </c>
      <c r="C25">
        <v>344.20699999999999</v>
      </c>
      <c r="D25">
        <v>26.571000000000002</v>
      </c>
      <c r="E25">
        <v>23.254000000000001</v>
      </c>
      <c r="I25">
        <f t="shared" si="1"/>
        <v>0.5799309555861446</v>
      </c>
      <c r="J25">
        <f t="shared" si="2"/>
        <v>0.74558683641200207</v>
      </c>
      <c r="K25" s="4">
        <f t="shared" si="3"/>
        <v>0.95085050703303897</v>
      </c>
      <c r="L25" s="3">
        <f t="shared" si="4"/>
        <v>0.6099076051352349</v>
      </c>
      <c r="M25" s="3">
        <f t="shared" si="5"/>
        <v>0.78412624371256223</v>
      </c>
      <c r="R25">
        <f t="shared" si="6"/>
        <v>0.75590234625683039</v>
      </c>
      <c r="S25">
        <f t="shared" si="7"/>
        <v>0.75673786610890781</v>
      </c>
    </row>
    <row r="26" spans="1:19" x14ac:dyDescent="0.3">
      <c r="A26">
        <v>14.5128</v>
      </c>
      <c r="B26">
        <f t="shared" si="0"/>
        <v>7.0023</v>
      </c>
      <c r="C26">
        <v>348.58600000000001</v>
      </c>
      <c r="D26">
        <v>25.393000000000001</v>
      </c>
      <c r="E26">
        <v>22</v>
      </c>
      <c r="I26">
        <f t="shared" si="1"/>
        <v>0.58730883475336593</v>
      </c>
      <c r="J26">
        <f t="shared" si="2"/>
        <v>0.71253195352113086</v>
      </c>
      <c r="K26" s="4">
        <f t="shared" si="3"/>
        <v>0.89957474648348057</v>
      </c>
      <c r="L26" s="3">
        <f t="shared" si="4"/>
        <v>0.65287385739674164</v>
      </c>
      <c r="M26" s="3">
        <f t="shared" si="5"/>
        <v>0.79207642978694437</v>
      </c>
      <c r="R26">
        <f t="shared" si="6"/>
        <v>0.8548268912970054</v>
      </c>
      <c r="S26">
        <f t="shared" si="7"/>
        <v>0.80613872382400487</v>
      </c>
    </row>
    <row r="27" spans="1:19" x14ac:dyDescent="0.3">
      <c r="A27">
        <v>15.013299999999999</v>
      </c>
      <c r="B27">
        <f t="shared" si="0"/>
        <v>7.5027999999999988</v>
      </c>
      <c r="C27">
        <v>356.20699999999999</v>
      </c>
      <c r="D27">
        <v>26.321000000000002</v>
      </c>
      <c r="E27">
        <v>22.949000000000002</v>
      </c>
      <c r="I27">
        <f t="shared" si="1"/>
        <v>0.60014893914555434</v>
      </c>
      <c r="J27">
        <f t="shared" si="2"/>
        <v>0.73857179335366774</v>
      </c>
      <c r="K27" s="4">
        <f t="shared" si="3"/>
        <v>0.93837912986588168</v>
      </c>
      <c r="L27" s="3">
        <f t="shared" si="4"/>
        <v>0.63955912918836011</v>
      </c>
      <c r="M27" s="3">
        <f t="shared" si="5"/>
        <v>0.78707184532037544</v>
      </c>
      <c r="R27">
        <f t="shared" si="6"/>
        <v>0.82417135675489317</v>
      </c>
      <c r="S27">
        <f t="shared" si="7"/>
        <v>0.77504124222507631</v>
      </c>
    </row>
    <row r="28" spans="1:19" x14ac:dyDescent="0.3">
      <c r="A28">
        <v>15.5129</v>
      </c>
      <c r="B28">
        <f t="shared" si="0"/>
        <v>8.0023999999999997</v>
      </c>
      <c r="C28">
        <v>360.91399999999999</v>
      </c>
      <c r="D28">
        <v>26.928999999999998</v>
      </c>
      <c r="E28">
        <v>23.763000000000002</v>
      </c>
      <c r="I28">
        <f t="shared" si="1"/>
        <v>0.60807944319673279</v>
      </c>
      <c r="J28">
        <f t="shared" si="2"/>
        <v>0.75563237807153671</v>
      </c>
      <c r="K28" s="4">
        <f t="shared" si="3"/>
        <v>0.97166339548577041</v>
      </c>
      <c r="L28" s="3">
        <f t="shared" si="4"/>
        <v>0.62581285455621327</v>
      </c>
      <c r="M28" s="3">
        <f t="shared" si="5"/>
        <v>0.77766887337951862</v>
      </c>
      <c r="R28">
        <f t="shared" si="6"/>
        <v>0.79252223931020738</v>
      </c>
      <c r="S28">
        <f t="shared" si="7"/>
        <v>0.7166130652486753</v>
      </c>
    </row>
    <row r="29" spans="1:19" x14ac:dyDescent="0.3">
      <c r="A29">
        <v>16.0137</v>
      </c>
      <c r="B29">
        <f t="shared" si="0"/>
        <v>8.5031999999999996</v>
      </c>
      <c r="C29">
        <v>358.29300000000001</v>
      </c>
      <c r="D29">
        <v>27.803999999999998</v>
      </c>
      <c r="E29">
        <v>23.983000000000001</v>
      </c>
      <c r="I29">
        <f t="shared" si="1"/>
        <v>0.60366349862096513</v>
      </c>
      <c r="J29">
        <f t="shared" si="2"/>
        <v>0.78018502877570672</v>
      </c>
      <c r="K29" s="4">
        <f t="shared" si="3"/>
        <v>0.98065914295060519</v>
      </c>
      <c r="L29" s="3">
        <f t="shared" si="4"/>
        <v>0.61556913323080198</v>
      </c>
      <c r="M29" s="3">
        <f t="shared" si="5"/>
        <v>0.79557207454191237</v>
      </c>
      <c r="R29">
        <f t="shared" si="6"/>
        <v>0.76893732281651284</v>
      </c>
      <c r="S29">
        <f t="shared" si="7"/>
        <v>0.8278599574589196</v>
      </c>
    </row>
    <row r="30" spans="1:19" x14ac:dyDescent="0.3">
      <c r="A30">
        <v>16.513100000000001</v>
      </c>
      <c r="B30">
        <f t="shared" si="0"/>
        <v>9.002600000000001</v>
      </c>
      <c r="C30">
        <v>366.44799999999998</v>
      </c>
      <c r="D30">
        <v>27.018000000000001</v>
      </c>
      <c r="E30">
        <v>23.983000000000001</v>
      </c>
      <c r="I30">
        <f t="shared" si="1"/>
        <v>0.61740330328154724</v>
      </c>
      <c r="J30">
        <f t="shared" si="2"/>
        <v>0.75812973340030376</v>
      </c>
      <c r="K30" s="4">
        <f t="shared" si="3"/>
        <v>0.98065914295060519</v>
      </c>
      <c r="L30" s="3">
        <f t="shared" si="4"/>
        <v>0.62957991848615769</v>
      </c>
      <c r="M30" s="3">
        <f t="shared" si="5"/>
        <v>0.773081797941785</v>
      </c>
      <c r="R30">
        <f t="shared" si="6"/>
        <v>0.80119544364599404</v>
      </c>
      <c r="S30">
        <f t="shared" si="7"/>
        <v>0.68810990080601075</v>
      </c>
    </row>
    <row r="31" spans="1:19" x14ac:dyDescent="0.3">
      <c r="A31">
        <v>17.0138</v>
      </c>
      <c r="B31">
        <f t="shared" si="0"/>
        <v>9.5032999999999994</v>
      </c>
      <c r="C31">
        <v>363.17200000000003</v>
      </c>
      <c r="D31">
        <v>26.053999999999998</v>
      </c>
      <c r="E31">
        <v>22.376000000000001</v>
      </c>
      <c r="I31">
        <f t="shared" si="1"/>
        <v>0.61188379376982849</v>
      </c>
      <c r="J31">
        <f t="shared" si="2"/>
        <v>0.73107972736736659</v>
      </c>
      <c r="K31" s="4">
        <f t="shared" si="3"/>
        <v>0.91494929669610736</v>
      </c>
      <c r="L31" s="3">
        <f t="shared" si="4"/>
        <v>0.66876251610810356</v>
      </c>
      <c r="M31" s="3">
        <f t="shared" si="5"/>
        <v>0.79903851503826939</v>
      </c>
      <c r="R31">
        <f t="shared" si="6"/>
        <v>0.89140858626899711</v>
      </c>
      <c r="S31">
        <f t="shared" si="7"/>
        <v>0.84939972170295241</v>
      </c>
    </row>
    <row r="32" spans="1:19" x14ac:dyDescent="0.3">
      <c r="A32">
        <v>17.513000000000002</v>
      </c>
      <c r="B32">
        <f t="shared" si="0"/>
        <v>10.002500000000001</v>
      </c>
      <c r="C32">
        <v>368.55200000000002</v>
      </c>
      <c r="D32">
        <v>26.518000000000001</v>
      </c>
      <c r="E32">
        <v>22.553999999999998</v>
      </c>
      <c r="I32">
        <f t="shared" si="1"/>
        <v>0.62094818973229715</v>
      </c>
      <c r="J32">
        <f t="shared" si="2"/>
        <v>0.74409964728363509</v>
      </c>
      <c r="K32" s="4">
        <f t="shared" si="3"/>
        <v>0.92222767419038265</v>
      </c>
      <c r="L32" s="3">
        <f t="shared" si="4"/>
        <v>0.67331333369216373</v>
      </c>
      <c r="M32" s="3">
        <f t="shared" si="5"/>
        <v>0.80685026930782044</v>
      </c>
      <c r="R32">
        <f t="shared" si="6"/>
        <v>0.90188628761292611</v>
      </c>
      <c r="S32">
        <f t="shared" si="7"/>
        <v>0.89794039201743747</v>
      </c>
    </row>
    <row r="33" spans="1:19" x14ac:dyDescent="0.3">
      <c r="A33">
        <v>18.013200000000001</v>
      </c>
      <c r="B33">
        <f t="shared" si="0"/>
        <v>10.502700000000001</v>
      </c>
      <c r="C33">
        <v>378.72399999999999</v>
      </c>
      <c r="D33">
        <v>26.768000000000001</v>
      </c>
      <c r="E33">
        <v>22.814</v>
      </c>
      <c r="I33">
        <f t="shared" si="1"/>
        <v>0.63808630046282333</v>
      </c>
      <c r="J33">
        <f t="shared" si="2"/>
        <v>0.75111469034196943</v>
      </c>
      <c r="K33" s="4">
        <f t="shared" si="3"/>
        <v>0.9328590121033693</v>
      </c>
      <c r="L33" s="3">
        <f t="shared" si="4"/>
        <v>0.68401150890325269</v>
      </c>
      <c r="M33" s="3">
        <f t="shared" si="5"/>
        <v>0.80517493061292211</v>
      </c>
      <c r="R33">
        <f t="shared" si="6"/>
        <v>0.92651752864078718</v>
      </c>
      <c r="S33">
        <f t="shared" si="7"/>
        <v>0.88753017422920777</v>
      </c>
    </row>
    <row r="34" spans="1:19" x14ac:dyDescent="0.3">
      <c r="A34">
        <v>18.513400000000001</v>
      </c>
      <c r="B34">
        <f t="shared" si="0"/>
        <v>11.0029</v>
      </c>
      <c r="C34">
        <v>374.39699999999999</v>
      </c>
      <c r="D34">
        <v>26.768000000000001</v>
      </c>
      <c r="E34">
        <v>22.661000000000001</v>
      </c>
      <c r="I34">
        <f t="shared" si="1"/>
        <v>0.6307960325576929</v>
      </c>
      <c r="J34">
        <f t="shared" si="2"/>
        <v>0.75111469034196943</v>
      </c>
      <c r="K34" s="4">
        <f t="shared" si="3"/>
        <v>0.92660287863918878</v>
      </c>
      <c r="L34" s="3">
        <f t="shared" si="4"/>
        <v>0.68076200398177211</v>
      </c>
      <c r="M34" s="3">
        <f t="shared" si="5"/>
        <v>0.81061122046702283</v>
      </c>
      <c r="R34">
        <f t="shared" si="6"/>
        <v>0.91903594067247218</v>
      </c>
      <c r="S34">
        <f t="shared" si="7"/>
        <v>0.92131018630286576</v>
      </c>
    </row>
    <row r="35" spans="1:19" x14ac:dyDescent="0.3">
      <c r="A35">
        <v>19.013400000000001</v>
      </c>
      <c r="B35">
        <f t="shared" si="0"/>
        <v>11.5029</v>
      </c>
      <c r="C35">
        <v>390.91399999999999</v>
      </c>
      <c r="D35">
        <v>26.625</v>
      </c>
      <c r="E35">
        <v>22.949000000000002</v>
      </c>
      <c r="I35">
        <f t="shared" si="1"/>
        <v>0.65862440209525708</v>
      </c>
      <c r="J35">
        <f t="shared" si="2"/>
        <v>0.74710208571260217</v>
      </c>
      <c r="K35" s="4">
        <f t="shared" si="3"/>
        <v>0.93837912986588168</v>
      </c>
      <c r="L35" s="3">
        <f t="shared" si="4"/>
        <v>0.70187452079138979</v>
      </c>
      <c r="M35" s="3">
        <f t="shared" si="5"/>
        <v>0.79616229936761496</v>
      </c>
      <c r="R35">
        <f t="shared" si="6"/>
        <v>0.96764493052182876</v>
      </c>
      <c r="S35">
        <f t="shared" si="7"/>
        <v>0.83152749584879526</v>
      </c>
    </row>
    <row r="36" spans="1:19" x14ac:dyDescent="0.3">
      <c r="A36">
        <v>19.513000000000002</v>
      </c>
      <c r="B36">
        <f t="shared" si="0"/>
        <v>12.002500000000001</v>
      </c>
      <c r="C36">
        <v>377.69</v>
      </c>
      <c r="D36">
        <v>28.106999999999999</v>
      </c>
      <c r="E36">
        <v>23.712</v>
      </c>
      <c r="I36">
        <f t="shared" si="1"/>
        <v>0.6363441842127876</v>
      </c>
      <c r="J36">
        <f t="shared" si="2"/>
        <v>0.78868726096240782</v>
      </c>
      <c r="K36" s="4">
        <f t="shared" si="3"/>
        <v>0.9695780176643769</v>
      </c>
      <c r="L36" s="3">
        <f t="shared" si="4"/>
        <v>0.65631044910205516</v>
      </c>
      <c r="M36" s="3">
        <f t="shared" si="5"/>
        <v>0.81343352117479106</v>
      </c>
      <c r="R36">
        <f t="shared" si="6"/>
        <v>0.86273922372171519</v>
      </c>
      <c r="S36">
        <f t="shared" si="7"/>
        <v>0.93884739541837836</v>
      </c>
    </row>
    <row r="37" spans="1:19" x14ac:dyDescent="0.3">
      <c r="A37">
        <v>20.013200000000001</v>
      </c>
      <c r="B37">
        <f t="shared" si="0"/>
        <v>12.502700000000001</v>
      </c>
      <c r="C37">
        <v>389.483</v>
      </c>
      <c r="D37">
        <v>26</v>
      </c>
      <c r="E37">
        <v>23.356000000000002</v>
      </c>
      <c r="I37">
        <f t="shared" si="1"/>
        <v>0.65621340755579749</v>
      </c>
      <c r="J37">
        <f t="shared" si="2"/>
        <v>0.7295644780667665</v>
      </c>
      <c r="K37" s="4">
        <f t="shared" si="3"/>
        <v>0.9550212626758261</v>
      </c>
      <c r="L37" s="3">
        <f t="shared" si="4"/>
        <v>0.68711915975272231</v>
      </c>
      <c r="M37" s="3">
        <f t="shared" si="5"/>
        <v>0.76392485338246441</v>
      </c>
      <c r="R37">
        <f t="shared" si="6"/>
        <v>0.93367251494390757</v>
      </c>
      <c r="S37">
        <f t="shared" si="7"/>
        <v>0.63121048850952755</v>
      </c>
    </row>
    <row r="38" spans="1:19" x14ac:dyDescent="0.3">
      <c r="A38">
        <v>20.513200000000001</v>
      </c>
      <c r="B38">
        <f t="shared" si="0"/>
        <v>13.002700000000001</v>
      </c>
      <c r="C38">
        <v>379.91399999999999</v>
      </c>
      <c r="D38">
        <v>26.768000000000001</v>
      </c>
      <c r="E38">
        <v>23.542000000000002</v>
      </c>
      <c r="I38">
        <f t="shared" si="1"/>
        <v>0.64009125049913151</v>
      </c>
      <c r="J38">
        <f t="shared" si="2"/>
        <v>0.75111469034196943</v>
      </c>
      <c r="K38" s="4">
        <f t="shared" si="3"/>
        <v>0.96262675825973187</v>
      </c>
      <c r="L38" s="3">
        <f t="shared" si="4"/>
        <v>0.66494229981338704</v>
      </c>
      <c r="M38" s="3">
        <f t="shared" si="5"/>
        <v>0.78027613911321048</v>
      </c>
      <c r="R38">
        <f t="shared" si="6"/>
        <v>0.88261300510893248</v>
      </c>
      <c r="S38">
        <f t="shared" si="7"/>
        <v>0.7328140902725544</v>
      </c>
    </row>
    <row r="39" spans="1:19" x14ac:dyDescent="0.3">
      <c r="A39">
        <v>21.013200000000001</v>
      </c>
      <c r="B39">
        <f t="shared" si="0"/>
        <v>13.502700000000001</v>
      </c>
      <c r="C39">
        <v>390.55200000000002</v>
      </c>
      <c r="D39">
        <v>27.018000000000001</v>
      </c>
      <c r="E39">
        <v>23</v>
      </c>
      <c r="I39">
        <f t="shared" si="1"/>
        <v>0.65801449292454828</v>
      </c>
      <c r="J39">
        <f t="shared" si="2"/>
        <v>0.75812973340030376</v>
      </c>
      <c r="K39" s="4">
        <f t="shared" si="3"/>
        <v>0.94046450768727508</v>
      </c>
      <c r="L39" s="3">
        <f t="shared" si="4"/>
        <v>0.69966967125925017</v>
      </c>
      <c r="M39" s="3">
        <f t="shared" si="5"/>
        <v>0.80612264174077519</v>
      </c>
      <c r="R39">
        <f t="shared" si="6"/>
        <v>0.96256853392290176</v>
      </c>
      <c r="S39">
        <f t="shared" si="7"/>
        <v>0.8934190606205521</v>
      </c>
    </row>
    <row r="40" spans="1:19" x14ac:dyDescent="0.3">
      <c r="A40">
        <v>21.513400000000001</v>
      </c>
      <c r="B40">
        <f t="shared" si="0"/>
        <v>14.0029</v>
      </c>
      <c r="C40">
        <v>388.91399999999999</v>
      </c>
      <c r="D40">
        <v>26.5</v>
      </c>
      <c r="E40">
        <v>22.983000000000001</v>
      </c>
      <c r="I40">
        <f t="shared" si="1"/>
        <v>0.65525473816868873</v>
      </c>
      <c r="J40">
        <f t="shared" si="2"/>
        <v>0.74359456418343506</v>
      </c>
      <c r="K40" s="4">
        <f t="shared" si="3"/>
        <v>0.93976938174681068</v>
      </c>
      <c r="L40" s="3">
        <f t="shared" si="4"/>
        <v>0.69725057114621458</v>
      </c>
      <c r="M40" s="3">
        <f t="shared" si="5"/>
        <v>0.79125217167776563</v>
      </c>
      <c r="R40">
        <f t="shared" si="6"/>
        <v>0.95699885154445807</v>
      </c>
      <c r="S40">
        <f t="shared" si="7"/>
        <v>0.80101694966789261</v>
      </c>
    </row>
    <row r="41" spans="1:19" x14ac:dyDescent="0.3">
      <c r="A41">
        <v>22.0136</v>
      </c>
      <c r="B41">
        <f t="shared" si="0"/>
        <v>14.5031</v>
      </c>
      <c r="C41">
        <v>393.36200000000002</v>
      </c>
      <c r="D41">
        <v>26.661000000000001</v>
      </c>
      <c r="E41">
        <v>22.593</v>
      </c>
      <c r="I41">
        <f t="shared" si="1"/>
        <v>0.66274887074137667</v>
      </c>
      <c r="J41">
        <f t="shared" si="2"/>
        <v>0.74811225191300235</v>
      </c>
      <c r="K41" s="4">
        <f t="shared" si="3"/>
        <v>0.92382237487733077</v>
      </c>
      <c r="L41" s="3">
        <f t="shared" si="4"/>
        <v>0.71739859172536213</v>
      </c>
      <c r="M41" s="3">
        <f t="shared" si="5"/>
        <v>0.80980096635171883</v>
      </c>
      <c r="R41">
        <f t="shared" si="6"/>
        <v>1.0033872066916882</v>
      </c>
      <c r="S41">
        <f t="shared" si="7"/>
        <v>0.91627543014889534</v>
      </c>
    </row>
    <row r="42" spans="1:19" x14ac:dyDescent="0.3">
      <c r="A42">
        <v>22.513100000000001</v>
      </c>
      <c r="B42">
        <f t="shared" si="0"/>
        <v>15.002600000000001</v>
      </c>
      <c r="C42">
        <v>387.44799999999998</v>
      </c>
      <c r="D42">
        <v>24.5</v>
      </c>
      <c r="E42">
        <v>21.875</v>
      </c>
      <c r="I42">
        <f t="shared" si="1"/>
        <v>0.6527847745105142</v>
      </c>
      <c r="J42">
        <f t="shared" si="2"/>
        <v>0.6874742197167607</v>
      </c>
      <c r="K42" s="4">
        <f t="shared" si="3"/>
        <v>0.89446352633300619</v>
      </c>
      <c r="L42" s="3">
        <f t="shared" si="4"/>
        <v>0.72980591750533197</v>
      </c>
      <c r="M42" s="3">
        <f t="shared" si="5"/>
        <v>0.76858832079511319</v>
      </c>
      <c r="R42">
        <f t="shared" si="6"/>
        <v>1.031953558033631</v>
      </c>
      <c r="S42">
        <f t="shared" si="7"/>
        <v>0.66018833732411131</v>
      </c>
    </row>
    <row r="43" spans="1:19" x14ac:dyDescent="0.3">
      <c r="A43">
        <v>23.0137</v>
      </c>
      <c r="B43">
        <f t="shared" si="0"/>
        <v>15.5032</v>
      </c>
      <c r="C43">
        <v>380.483</v>
      </c>
      <c r="D43">
        <v>28.018000000000001</v>
      </c>
      <c r="E43">
        <v>23.382999999999999</v>
      </c>
      <c r="I43">
        <f t="shared" si="1"/>
        <v>0.64104991988624016</v>
      </c>
      <c r="J43">
        <f t="shared" si="2"/>
        <v>0.78618990563364088</v>
      </c>
      <c r="K43" s="4">
        <f t="shared" si="3"/>
        <v>0.95612528622832837</v>
      </c>
      <c r="L43" s="3">
        <f t="shared" si="4"/>
        <v>0.67046644317401061</v>
      </c>
      <c r="M43" s="3">
        <f t="shared" si="5"/>
        <v>0.82226661814892543</v>
      </c>
      <c r="R43">
        <f t="shared" si="6"/>
        <v>0.89533167010583226</v>
      </c>
      <c r="S43">
        <f t="shared" si="7"/>
        <v>0.99373448393684172</v>
      </c>
    </row>
    <row r="44" spans="1:19" x14ac:dyDescent="0.3">
      <c r="A44">
        <v>23.513300000000001</v>
      </c>
      <c r="B44">
        <f t="shared" si="0"/>
        <v>16.002800000000001</v>
      </c>
      <c r="C44">
        <v>398.29300000000001</v>
      </c>
      <c r="D44">
        <v>28.446000000000002</v>
      </c>
      <c r="E44">
        <v>23.858000000000001</v>
      </c>
      <c r="I44">
        <f t="shared" si="1"/>
        <v>0.67105677715233081</v>
      </c>
      <c r="J44">
        <f t="shared" si="2"/>
        <v>0.79819965934950921</v>
      </c>
      <c r="K44" s="4">
        <f t="shared" si="3"/>
        <v>0.97554792280013092</v>
      </c>
      <c r="L44" s="3">
        <f t="shared" si="4"/>
        <v>0.68787679361377319</v>
      </c>
      <c r="M44" s="3">
        <f t="shared" si="5"/>
        <v>0.81820650804977768</v>
      </c>
      <c r="R44">
        <f t="shared" si="6"/>
        <v>0.93541687432054876</v>
      </c>
      <c r="S44">
        <f t="shared" si="7"/>
        <v>0.96850577615075195</v>
      </c>
    </row>
    <row r="45" spans="1:19" x14ac:dyDescent="0.3">
      <c r="A45">
        <v>24.013500000000001</v>
      </c>
      <c r="B45">
        <f t="shared" si="0"/>
        <v>16.503</v>
      </c>
      <c r="C45">
        <v>394</v>
      </c>
      <c r="D45">
        <v>26.286000000000001</v>
      </c>
      <c r="E45">
        <v>22.78</v>
      </c>
      <c r="I45">
        <f t="shared" si="1"/>
        <v>0.66382379353395193</v>
      </c>
      <c r="J45">
        <f t="shared" si="2"/>
        <v>0.7375896873255009</v>
      </c>
      <c r="K45" s="4">
        <f t="shared" si="3"/>
        <v>0.93146876022244041</v>
      </c>
      <c r="L45" s="3">
        <f t="shared" si="4"/>
        <v>0.7126635072285481</v>
      </c>
      <c r="M45" s="3">
        <f t="shared" si="5"/>
        <v>0.79185660198562102</v>
      </c>
      <c r="R45">
        <f t="shared" si="6"/>
        <v>0.99248525329991499</v>
      </c>
      <c r="S45">
        <f t="shared" si="7"/>
        <v>0.80477275806755677</v>
      </c>
    </row>
    <row r="46" spans="1:19" x14ac:dyDescent="0.3">
      <c r="A46">
        <v>24.513100000000001</v>
      </c>
      <c r="B46">
        <f t="shared" si="0"/>
        <v>17.002600000000001</v>
      </c>
      <c r="C46">
        <v>398.46600000000001</v>
      </c>
      <c r="D46">
        <v>27.178999999999998</v>
      </c>
      <c r="E46">
        <v>23.338999999999999</v>
      </c>
      <c r="I46">
        <f t="shared" si="1"/>
        <v>0.67134825308197899</v>
      </c>
      <c r="J46">
        <f t="shared" si="2"/>
        <v>0.76264742112987094</v>
      </c>
      <c r="K46" s="4">
        <f t="shared" si="3"/>
        <v>0.95432613673536137</v>
      </c>
      <c r="L46" s="3">
        <f t="shared" si="4"/>
        <v>0.7034788498810095</v>
      </c>
      <c r="M46" s="3">
        <f t="shared" si="5"/>
        <v>0.79914757835177708</v>
      </c>
      <c r="R46">
        <f t="shared" si="6"/>
        <v>0.97133870218986729</v>
      </c>
      <c r="S46">
        <f t="shared" si="7"/>
        <v>0.85007741920363</v>
      </c>
    </row>
    <row r="47" spans="1:19" x14ac:dyDescent="0.3">
      <c r="A47">
        <v>25.013500000000001</v>
      </c>
      <c r="B47">
        <f t="shared" si="0"/>
        <v>17.503</v>
      </c>
      <c r="C47">
        <v>397.67200000000003</v>
      </c>
      <c r="D47">
        <v>25.981999999999999</v>
      </c>
      <c r="E47">
        <v>22.280999999999999</v>
      </c>
      <c r="I47">
        <f t="shared" si="1"/>
        <v>0.67001049650313138</v>
      </c>
      <c r="J47">
        <f t="shared" si="2"/>
        <v>0.72905939496656635</v>
      </c>
      <c r="K47" s="4">
        <f t="shared" si="3"/>
        <v>0.91106476938174674</v>
      </c>
      <c r="L47" s="3">
        <f t="shared" si="4"/>
        <v>0.73541477951979639</v>
      </c>
      <c r="M47" s="3">
        <f t="shared" si="5"/>
        <v>0.80022784270465186</v>
      </c>
      <c r="R47">
        <f t="shared" si="6"/>
        <v>1.044867277377757</v>
      </c>
      <c r="S47">
        <f t="shared" si="7"/>
        <v>0.85678996468266211</v>
      </c>
    </row>
    <row r="48" spans="1:19" x14ac:dyDescent="0.3">
      <c r="A48">
        <v>25.513100000000001</v>
      </c>
      <c r="B48">
        <f t="shared" si="0"/>
        <v>18.002600000000001</v>
      </c>
      <c r="C48">
        <v>391.34500000000003</v>
      </c>
      <c r="D48">
        <v>29.393000000000001</v>
      </c>
      <c r="E48">
        <v>24.763000000000002</v>
      </c>
      <c r="I48">
        <f t="shared" si="1"/>
        <v>0.6593505646714326</v>
      </c>
      <c r="J48">
        <f t="shared" si="2"/>
        <v>0.82477264245447957</v>
      </c>
      <c r="K48" s="4">
        <f t="shared" si="3"/>
        <v>1.0125531566895649</v>
      </c>
      <c r="L48" s="3">
        <f t="shared" si="4"/>
        <v>0.65117624720771139</v>
      </c>
      <c r="M48" s="3">
        <f t="shared" si="5"/>
        <v>0.81454750005519339</v>
      </c>
      <c r="R48">
        <f t="shared" si="6"/>
        <v>0.85091835129721038</v>
      </c>
      <c r="S48">
        <f t="shared" si="7"/>
        <v>0.94576943619245613</v>
      </c>
    </row>
    <row r="49" spans="1:19" x14ac:dyDescent="0.3">
      <c r="A49">
        <v>26.013300000000001</v>
      </c>
      <c r="B49">
        <f t="shared" si="0"/>
        <v>18.502800000000001</v>
      </c>
      <c r="C49">
        <v>400.72399999999999</v>
      </c>
      <c r="D49">
        <v>26.321000000000002</v>
      </c>
      <c r="E49">
        <v>22.831</v>
      </c>
      <c r="I49">
        <f t="shared" si="1"/>
        <v>0.67515260365507446</v>
      </c>
      <c r="J49">
        <f t="shared" si="2"/>
        <v>0.73857179335366774</v>
      </c>
      <c r="K49" s="4">
        <f t="shared" si="3"/>
        <v>0.9335541380438338</v>
      </c>
      <c r="L49" s="3">
        <f t="shared" si="4"/>
        <v>0.72320669593922737</v>
      </c>
      <c r="M49" s="3">
        <f t="shared" si="5"/>
        <v>0.79113975639513379</v>
      </c>
      <c r="R49">
        <f t="shared" si="6"/>
        <v>1.0167596568510726</v>
      </c>
      <c r="S49">
        <f t="shared" si="7"/>
        <v>0.80031842370506112</v>
      </c>
    </row>
    <row r="50" spans="1:19" x14ac:dyDescent="0.3">
      <c r="A50">
        <v>26.513300000000001</v>
      </c>
      <c r="B50">
        <f t="shared" si="0"/>
        <v>19.002800000000001</v>
      </c>
      <c r="C50">
        <v>395.22399999999999</v>
      </c>
      <c r="D50">
        <v>27.106999999999999</v>
      </c>
      <c r="E50">
        <v>23.457999999999998</v>
      </c>
      <c r="I50">
        <f t="shared" si="1"/>
        <v>0.66588602785701168</v>
      </c>
      <c r="J50">
        <f t="shared" si="2"/>
        <v>0.7606270887290707</v>
      </c>
      <c r="K50" s="4">
        <f t="shared" si="3"/>
        <v>0.959192018318613</v>
      </c>
      <c r="L50" s="3">
        <f t="shared" si="4"/>
        <v>0.69421556387036742</v>
      </c>
      <c r="M50" s="3">
        <f t="shared" si="5"/>
        <v>0.79298729993853501</v>
      </c>
      <c r="R50">
        <f t="shared" si="6"/>
        <v>0.95001111819202455</v>
      </c>
      <c r="S50">
        <f t="shared" si="7"/>
        <v>0.81179868779650288</v>
      </c>
    </row>
    <row r="51" spans="1:19" x14ac:dyDescent="0.3">
      <c r="A51">
        <v>27.013400000000001</v>
      </c>
      <c r="B51">
        <f t="shared" si="0"/>
        <v>19.5029</v>
      </c>
      <c r="C51">
        <v>394.70699999999999</v>
      </c>
      <c r="D51">
        <v>28.125</v>
      </c>
      <c r="E51">
        <v>23.102</v>
      </c>
      <c r="I51">
        <f t="shared" si="1"/>
        <v>0.66501496973199381</v>
      </c>
      <c r="J51">
        <f t="shared" si="2"/>
        <v>0.78919234406260796</v>
      </c>
      <c r="K51" s="4">
        <f t="shared" si="3"/>
        <v>0.9446352633300622</v>
      </c>
      <c r="L51" s="3">
        <f t="shared" si="4"/>
        <v>0.70399126048678207</v>
      </c>
      <c r="M51" s="3">
        <f t="shared" si="5"/>
        <v>0.83544662654294599</v>
      </c>
      <c r="R51">
        <f t="shared" si="6"/>
        <v>0.97251846498931493</v>
      </c>
      <c r="S51">
        <f t="shared" si="7"/>
        <v>1.0756324059810622</v>
      </c>
    </row>
    <row r="52" spans="1:19" x14ac:dyDescent="0.3">
      <c r="A52">
        <v>27.512899999999998</v>
      </c>
      <c r="B52">
        <f t="shared" si="0"/>
        <v>20.002399999999998</v>
      </c>
      <c r="C52">
        <v>397.22399999999999</v>
      </c>
      <c r="D52">
        <v>27.963999999999999</v>
      </c>
      <c r="E52">
        <v>23.102</v>
      </c>
      <c r="I52">
        <f t="shared" si="1"/>
        <v>0.66925569178358002</v>
      </c>
      <c r="J52">
        <f t="shared" si="2"/>
        <v>0.78467465633304068</v>
      </c>
      <c r="K52" s="4">
        <f t="shared" si="3"/>
        <v>0.9446352633300622</v>
      </c>
      <c r="L52" s="3">
        <f t="shared" si="4"/>
        <v>0.7084805297489063</v>
      </c>
      <c r="M52" s="3">
        <f t="shared" si="5"/>
        <v>0.83066415874300237</v>
      </c>
      <c r="R52">
        <f t="shared" si="6"/>
        <v>0.98285445884364397</v>
      </c>
      <c r="S52">
        <f t="shared" si="7"/>
        <v>1.0459151126873438</v>
      </c>
    </row>
    <row r="53" spans="1:19" x14ac:dyDescent="0.3">
      <c r="A53">
        <v>28.013100000000001</v>
      </c>
      <c r="B53">
        <f t="shared" si="0"/>
        <v>20.502600000000001</v>
      </c>
      <c r="C53">
        <v>413</v>
      </c>
      <c r="D53">
        <v>27.036000000000001</v>
      </c>
      <c r="E53">
        <v>23.22</v>
      </c>
      <c r="I53">
        <f t="shared" si="1"/>
        <v>0.69583560083635065</v>
      </c>
      <c r="J53">
        <f t="shared" si="2"/>
        <v>0.75863481650050379</v>
      </c>
      <c r="K53" s="4">
        <f t="shared" si="3"/>
        <v>0.94946025515210986</v>
      </c>
      <c r="L53" s="3">
        <f t="shared" si="4"/>
        <v>0.73287491188862153</v>
      </c>
      <c r="M53" s="3">
        <f t="shared" si="5"/>
        <v>0.79901692817985881</v>
      </c>
      <c r="R53">
        <f t="shared" si="6"/>
        <v>1.0390195425474762</v>
      </c>
      <c r="S53">
        <f t="shared" si="7"/>
        <v>0.84926558530527818</v>
      </c>
    </row>
    <row r="54" spans="1:19" x14ac:dyDescent="0.3">
      <c r="A54">
        <v>28.513200000000001</v>
      </c>
      <c r="B54">
        <f t="shared" si="0"/>
        <v>21.002700000000001</v>
      </c>
      <c r="C54">
        <v>399.67200000000003</v>
      </c>
      <c r="D54">
        <v>26.553999999999998</v>
      </c>
      <c r="E54">
        <v>22.914999999999999</v>
      </c>
      <c r="I54">
        <f t="shared" si="1"/>
        <v>0.67338016042969961</v>
      </c>
      <c r="J54">
        <f t="shared" si="2"/>
        <v>0.74510981348403527</v>
      </c>
      <c r="K54" s="4">
        <f t="shared" si="3"/>
        <v>0.93698887798495256</v>
      </c>
      <c r="L54" s="3">
        <f t="shared" si="4"/>
        <v>0.71866398444114044</v>
      </c>
      <c r="M54" s="3">
        <f t="shared" si="5"/>
        <v>0.79521735101748059</v>
      </c>
      <c r="R54">
        <f t="shared" si="6"/>
        <v>1.0063006187794739</v>
      </c>
      <c r="S54">
        <f t="shared" si="7"/>
        <v>0.82565577680268076</v>
      </c>
    </row>
    <row r="55" spans="1:19" x14ac:dyDescent="0.3">
      <c r="A55">
        <v>29.013200000000001</v>
      </c>
      <c r="B55">
        <f t="shared" si="0"/>
        <v>21.502700000000001</v>
      </c>
      <c r="C55">
        <v>394.06900000000002</v>
      </c>
      <c r="D55">
        <v>28.713999999999999</v>
      </c>
      <c r="E55">
        <v>23.949000000000002</v>
      </c>
      <c r="I55">
        <f t="shared" si="1"/>
        <v>0.66394004693941855</v>
      </c>
      <c r="J55">
        <f t="shared" si="2"/>
        <v>0.80571978550804346</v>
      </c>
      <c r="K55" s="4">
        <f t="shared" si="3"/>
        <v>0.97926889106967618</v>
      </c>
      <c r="L55" s="3">
        <f t="shared" si="4"/>
        <v>0.67799564858450956</v>
      </c>
      <c r="M55" s="3">
        <f t="shared" si="5"/>
        <v>0.82277686226500946</v>
      </c>
      <c r="R55">
        <f t="shared" si="6"/>
        <v>0.91266674543924486</v>
      </c>
      <c r="S55">
        <f t="shared" si="7"/>
        <v>0.99690503827894139</v>
      </c>
    </row>
    <row r="56" spans="1:19" x14ac:dyDescent="0.3">
      <c r="A56">
        <v>29.513400000000001</v>
      </c>
      <c r="B56">
        <f t="shared" si="0"/>
        <v>22.0029</v>
      </c>
      <c r="C56">
        <v>408.79300000000001</v>
      </c>
      <c r="D56">
        <v>27.786000000000001</v>
      </c>
      <c r="E56">
        <v>23.016999999999999</v>
      </c>
      <c r="I56">
        <f t="shared" si="1"/>
        <v>0.68874751276681423</v>
      </c>
      <c r="J56">
        <f t="shared" si="2"/>
        <v>0.77967994567550669</v>
      </c>
      <c r="K56" s="4">
        <f t="shared" si="3"/>
        <v>0.94115963362773958</v>
      </c>
      <c r="L56" s="3">
        <f t="shared" si="4"/>
        <v>0.73180732381392921</v>
      </c>
      <c r="M56" s="3">
        <f t="shared" si="5"/>
        <v>0.82842476219490779</v>
      </c>
      <c r="R56">
        <f t="shared" si="6"/>
        <v>1.0365615514726096</v>
      </c>
      <c r="S56">
        <f t="shared" si="7"/>
        <v>1.0319999528149761</v>
      </c>
    </row>
    <row r="57" spans="1:19" x14ac:dyDescent="0.3">
      <c r="A57">
        <v>30.0136</v>
      </c>
      <c r="B57">
        <f t="shared" si="0"/>
        <v>22.5031</v>
      </c>
      <c r="C57">
        <v>392.983</v>
      </c>
      <c r="D57">
        <v>27.463999999999999</v>
      </c>
      <c r="E57">
        <v>22.797000000000001</v>
      </c>
      <c r="I57">
        <f t="shared" si="1"/>
        <v>0.66211031942729204</v>
      </c>
      <c r="J57">
        <f t="shared" si="2"/>
        <v>0.770644570216372</v>
      </c>
      <c r="K57" s="4">
        <f t="shared" si="3"/>
        <v>0.9321638861629048</v>
      </c>
      <c r="L57" s="3">
        <f t="shared" si="4"/>
        <v>0.71029389708794377</v>
      </c>
      <c r="M57" s="3">
        <f t="shared" si="5"/>
        <v>0.82672648195866094</v>
      </c>
      <c r="R57">
        <f t="shared" si="6"/>
        <v>0.98702951553495577</v>
      </c>
      <c r="S57">
        <f t="shared" si="7"/>
        <v>1.0214471809016832</v>
      </c>
    </row>
    <row r="58" spans="1:19" x14ac:dyDescent="0.3">
      <c r="A58">
        <v>30.513000000000002</v>
      </c>
      <c r="B58">
        <f t="shared" si="0"/>
        <v>23.002500000000001</v>
      </c>
      <c r="C58">
        <v>402.17200000000003</v>
      </c>
      <c r="D58">
        <v>27.071000000000002</v>
      </c>
      <c r="E58">
        <v>22.593</v>
      </c>
      <c r="I58">
        <f t="shared" si="1"/>
        <v>0.67759224033790999</v>
      </c>
      <c r="J58">
        <f t="shared" si="2"/>
        <v>0.75961692252867064</v>
      </c>
      <c r="K58" s="4">
        <f t="shared" si="3"/>
        <v>0.92382237487733077</v>
      </c>
      <c r="L58" s="3">
        <f t="shared" si="4"/>
        <v>0.73346593324055798</v>
      </c>
      <c r="M58" s="3">
        <f t="shared" si="5"/>
        <v>0.82225430254331733</v>
      </c>
      <c r="R58">
        <f t="shared" si="6"/>
        <v>1.040380296983155</v>
      </c>
      <c r="S58">
        <f t="shared" si="7"/>
        <v>0.99365795723990291</v>
      </c>
    </row>
    <row r="59" spans="1:19" x14ac:dyDescent="0.3">
      <c r="A59">
        <v>31.0137</v>
      </c>
      <c r="B59">
        <f t="shared" si="0"/>
        <v>23.5032</v>
      </c>
      <c r="C59">
        <v>398.24099999999999</v>
      </c>
      <c r="D59">
        <v>27.321000000000002</v>
      </c>
      <c r="E59">
        <v>22.831</v>
      </c>
      <c r="I59">
        <f t="shared" si="1"/>
        <v>0.67096916589023992</v>
      </c>
      <c r="J59">
        <f t="shared" si="2"/>
        <v>0.76663196558700497</v>
      </c>
      <c r="K59" s="4">
        <f t="shared" si="3"/>
        <v>0.9335541380438338</v>
      </c>
      <c r="L59" s="3">
        <f t="shared" si="4"/>
        <v>0.71872550133641577</v>
      </c>
      <c r="M59" s="3">
        <f t="shared" si="5"/>
        <v>0.82119711578099053</v>
      </c>
      <c r="R59">
        <f t="shared" si="6"/>
        <v>1.0064422539130282</v>
      </c>
      <c r="S59">
        <f t="shared" si="7"/>
        <v>0.98708881126830383</v>
      </c>
    </row>
    <row r="60" spans="1:19" x14ac:dyDescent="0.3">
      <c r="A60">
        <v>31.513100000000001</v>
      </c>
      <c r="B60">
        <f t="shared" si="0"/>
        <v>24.002600000000001</v>
      </c>
      <c r="C60">
        <v>389.46600000000001</v>
      </c>
      <c r="D60">
        <v>28.428999999999998</v>
      </c>
      <c r="E60">
        <v>23.898</v>
      </c>
      <c r="I60">
        <f t="shared" si="1"/>
        <v>0.65618476541242166</v>
      </c>
      <c r="J60">
        <f t="shared" si="2"/>
        <v>0.7977226364215424</v>
      </c>
      <c r="K60" s="4">
        <f t="shared" si="3"/>
        <v>0.97718351324828268</v>
      </c>
      <c r="L60" s="3">
        <f t="shared" si="4"/>
        <v>0.67150617720839334</v>
      </c>
      <c r="M60" s="3">
        <f t="shared" si="5"/>
        <v>0.81634884912232153</v>
      </c>
      <c r="R60">
        <f t="shared" si="6"/>
        <v>0.89772553065685456</v>
      </c>
      <c r="S60">
        <f t="shared" si="7"/>
        <v>0.95696265709670225</v>
      </c>
    </row>
    <row r="61" spans="1:19" x14ac:dyDescent="0.3">
      <c r="A61">
        <v>32.013300000000001</v>
      </c>
      <c r="B61">
        <f t="shared" si="0"/>
        <v>24.502800000000001</v>
      </c>
      <c r="C61">
        <v>399.06900000000002</v>
      </c>
      <c r="D61">
        <v>27.981999999999999</v>
      </c>
      <c r="E61">
        <v>23.407</v>
      </c>
      <c r="I61">
        <f t="shared" si="1"/>
        <v>0.6723642067558393</v>
      </c>
      <c r="J61">
        <f t="shared" si="2"/>
        <v>0.78517973943324071</v>
      </c>
      <c r="K61" s="4">
        <f t="shared" si="3"/>
        <v>0.9571066404972195</v>
      </c>
      <c r="L61" s="3">
        <f t="shared" si="4"/>
        <v>0.70249664802925649</v>
      </c>
      <c r="M61" s="3">
        <f t="shared" si="5"/>
        <v>0.82036808252143956</v>
      </c>
      <c r="R61">
        <f t="shared" si="6"/>
        <v>0.96907730245849411</v>
      </c>
      <c r="S61">
        <f t="shared" si="7"/>
        <v>0.98193736528792241</v>
      </c>
    </row>
    <row r="62" spans="1:19" x14ac:dyDescent="0.3">
      <c r="A62">
        <v>32.513100000000001</v>
      </c>
      <c r="B62">
        <f t="shared" si="0"/>
        <v>25.002600000000001</v>
      </c>
      <c r="C62">
        <v>406.5</v>
      </c>
      <c r="D62">
        <v>27.5</v>
      </c>
      <c r="E62">
        <v>23.931999999999999</v>
      </c>
      <c r="I62">
        <f t="shared" si="1"/>
        <v>0.6848841930750037</v>
      </c>
      <c r="J62">
        <f t="shared" si="2"/>
        <v>0.77165473641677218</v>
      </c>
      <c r="K62" s="4">
        <f t="shared" si="3"/>
        <v>0.97857376512921157</v>
      </c>
      <c r="L62" s="3">
        <f t="shared" si="4"/>
        <v>0.69987998603720092</v>
      </c>
      <c r="M62" s="3">
        <f t="shared" si="5"/>
        <v>0.78855040254924713</v>
      </c>
      <c r="R62">
        <f t="shared" si="6"/>
        <v>0.96305275799712109</v>
      </c>
      <c r="S62">
        <f t="shared" si="7"/>
        <v>0.78422869955044405</v>
      </c>
    </row>
    <row r="63" spans="1:19" x14ac:dyDescent="0.3">
      <c r="A63">
        <v>33.013599999999997</v>
      </c>
      <c r="B63">
        <f t="shared" si="0"/>
        <v>25.503099999999996</v>
      </c>
      <c r="C63">
        <v>404.483</v>
      </c>
      <c r="D63">
        <v>27.018000000000001</v>
      </c>
      <c r="E63">
        <v>23.423999999999999</v>
      </c>
      <c r="I63">
        <f t="shared" si="1"/>
        <v>0.68148588700505963</v>
      </c>
      <c r="J63">
        <f t="shared" si="2"/>
        <v>0.75812973340030376</v>
      </c>
      <c r="K63" s="4">
        <f t="shared" si="3"/>
        <v>0.957801766437684</v>
      </c>
      <c r="L63" s="3">
        <f t="shared" si="4"/>
        <v>0.71151036768253662</v>
      </c>
      <c r="M63" s="3">
        <f t="shared" si="5"/>
        <v>0.79153094091691556</v>
      </c>
      <c r="R63">
        <f t="shared" si="6"/>
        <v>0.98983029041735482</v>
      </c>
      <c r="S63">
        <f t="shared" si="7"/>
        <v>0.80274916566758692</v>
      </c>
    </row>
    <row r="64" spans="1:19" x14ac:dyDescent="0.3">
      <c r="A64">
        <v>33.513100000000001</v>
      </c>
      <c r="B64">
        <f t="shared" si="0"/>
        <v>26.002600000000001</v>
      </c>
      <c r="C64">
        <v>396.43099999999998</v>
      </c>
      <c r="D64">
        <v>27.231999999999999</v>
      </c>
      <c r="E64">
        <v>22.931999999999999</v>
      </c>
      <c r="I64">
        <f t="shared" si="1"/>
        <v>0.66791962003669569</v>
      </c>
      <c r="J64">
        <f t="shared" si="2"/>
        <v>0.76413461025823781</v>
      </c>
      <c r="K64" s="4">
        <f t="shared" si="3"/>
        <v>0.93768400392541706</v>
      </c>
      <c r="L64" s="3">
        <f t="shared" si="4"/>
        <v>0.71230778944782092</v>
      </c>
      <c r="M64" s="3">
        <f t="shared" si="5"/>
        <v>0.81491697315870681</v>
      </c>
      <c r="R64">
        <f t="shared" si="6"/>
        <v>0.99166625658111895</v>
      </c>
      <c r="S64">
        <f t="shared" si="7"/>
        <v>0.94806526776739708</v>
      </c>
    </row>
    <row r="65" spans="1:19" x14ac:dyDescent="0.3">
      <c r="A65">
        <v>34.013599999999997</v>
      </c>
      <c r="B65">
        <f t="shared" si="0"/>
        <v>26.503099999999996</v>
      </c>
      <c r="C65">
        <v>395.5</v>
      </c>
      <c r="D65">
        <v>26.161000000000001</v>
      </c>
      <c r="E65">
        <v>22.440999999999999</v>
      </c>
      <c r="I65">
        <f t="shared" si="1"/>
        <v>0.66635104147887814</v>
      </c>
      <c r="J65">
        <f t="shared" si="2"/>
        <v>0.73408216579633379</v>
      </c>
      <c r="K65" s="4">
        <f t="shared" si="3"/>
        <v>0.91760713117435388</v>
      </c>
      <c r="L65" s="3">
        <f t="shared" si="4"/>
        <v>0.72618337286250367</v>
      </c>
      <c r="M65" s="3">
        <f t="shared" si="5"/>
        <v>0.79999614307362155</v>
      </c>
      <c r="R65">
        <f t="shared" si="6"/>
        <v>1.0236130916951098</v>
      </c>
      <c r="S65">
        <f t="shared" si="7"/>
        <v>0.8553502297634944</v>
      </c>
    </row>
    <row r="66" spans="1:19" x14ac:dyDescent="0.3">
      <c r="A66">
        <v>34.512999999999998</v>
      </c>
      <c r="B66">
        <f t="shared" si="0"/>
        <v>27.002499999999998</v>
      </c>
      <c r="C66">
        <v>395.55200000000002</v>
      </c>
      <c r="D66">
        <v>27.588999999999999</v>
      </c>
      <c r="E66">
        <v>23.492000000000001</v>
      </c>
      <c r="I66">
        <f t="shared" si="1"/>
        <v>0.66643865274096892</v>
      </c>
      <c r="J66">
        <f t="shared" si="2"/>
        <v>0.77415209174553923</v>
      </c>
      <c r="K66" s="4">
        <f t="shared" si="3"/>
        <v>0.96058227019954212</v>
      </c>
      <c r="L66" s="3">
        <f t="shared" si="4"/>
        <v>0.69378612682756402</v>
      </c>
      <c r="M66" s="3">
        <f t="shared" si="5"/>
        <v>0.80591961330363127</v>
      </c>
      <c r="R66">
        <f t="shared" si="6"/>
        <v>0.94902239188133386</v>
      </c>
      <c r="S66">
        <f t="shared" si="7"/>
        <v>0.89215748273525153</v>
      </c>
    </row>
    <row r="67" spans="1:19" x14ac:dyDescent="0.3">
      <c r="A67">
        <v>35.0137</v>
      </c>
      <c r="B67">
        <f t="shared" ref="B67:B76" si="8">A67-$A$12</f>
        <v>27.5032</v>
      </c>
      <c r="C67">
        <v>395.39699999999999</v>
      </c>
      <c r="D67">
        <v>26.606999999999999</v>
      </c>
      <c r="E67">
        <v>22.085000000000001</v>
      </c>
      <c r="I67">
        <f t="shared" ref="I67:I76" si="9">C67/$F$2</f>
        <v>0.66617750378665985</v>
      </c>
      <c r="J67">
        <f t="shared" ref="J67:J76" si="10">D67/$G$2</f>
        <v>0.74659700261240214</v>
      </c>
      <c r="K67" s="4">
        <f t="shared" ref="K67:K76" si="11">E67/$H$2</f>
        <v>0.90305037618580308</v>
      </c>
      <c r="L67" s="3">
        <f t="shared" ref="L67:L76" si="12">I67/K67</f>
        <v>0.73769694510330786</v>
      </c>
      <c r="M67" s="3">
        <f t="shared" ref="M67:M76" si="13">J67/K67</f>
        <v>0.82675011527683528</v>
      </c>
      <c r="R67">
        <f t="shared" ref="R67:R76" si="14">(L67-$L$12)/($N$12-$L$12)</f>
        <v>1.0501216847363777</v>
      </c>
      <c r="S67">
        <f t="shared" ref="S67:S76" si="15">(M67-$M$12)/($O$12-$M$12)</f>
        <v>1.0215940335888458</v>
      </c>
    </row>
    <row r="68" spans="1:19" x14ac:dyDescent="0.3">
      <c r="A68">
        <v>35.513100000000001</v>
      </c>
      <c r="B68">
        <f t="shared" si="8"/>
        <v>28.002600000000001</v>
      </c>
      <c r="C68">
        <v>400.56900000000002</v>
      </c>
      <c r="D68">
        <v>28.071000000000002</v>
      </c>
      <c r="E68">
        <v>23.542000000000002</v>
      </c>
      <c r="I68">
        <f t="shared" si="9"/>
        <v>0.6748914547007655</v>
      </c>
      <c r="J68">
        <f t="shared" si="10"/>
        <v>0.78767709476200776</v>
      </c>
      <c r="K68" s="4">
        <f t="shared" si="11"/>
        <v>0.96262675825973187</v>
      </c>
      <c r="L68" s="3">
        <f t="shared" si="12"/>
        <v>0.70109359511349589</v>
      </c>
      <c r="M68" s="3">
        <f t="shared" si="13"/>
        <v>0.81825805069661284</v>
      </c>
      <c r="R68">
        <f t="shared" si="14"/>
        <v>0.96584694458333786</v>
      </c>
      <c r="S68">
        <f t="shared" si="15"/>
        <v>0.96882605179445902</v>
      </c>
    </row>
    <row r="69" spans="1:19" x14ac:dyDescent="0.3">
      <c r="A69">
        <v>36.013300000000001</v>
      </c>
      <c r="B69">
        <f t="shared" si="8"/>
        <v>28.502800000000001</v>
      </c>
      <c r="C69">
        <v>398.89699999999999</v>
      </c>
      <c r="D69">
        <v>26.963999999999999</v>
      </c>
      <c r="E69">
        <v>22.254000000000001</v>
      </c>
      <c r="I69">
        <f t="shared" si="9"/>
        <v>0.6720744156581544</v>
      </c>
      <c r="J69">
        <f t="shared" si="10"/>
        <v>0.75661448409970344</v>
      </c>
      <c r="K69" s="4">
        <f t="shared" si="11"/>
        <v>0.90996074582924447</v>
      </c>
      <c r="L69" s="3">
        <f t="shared" si="12"/>
        <v>0.73857517342211831</v>
      </c>
      <c r="M69" s="3">
        <f t="shared" si="13"/>
        <v>0.83148035513356455</v>
      </c>
      <c r="R69">
        <f t="shared" si="14"/>
        <v>1.0521436981144809</v>
      </c>
      <c r="S69">
        <f t="shared" si="15"/>
        <v>1.0509867929449499</v>
      </c>
    </row>
    <row r="70" spans="1:19" x14ac:dyDescent="0.3">
      <c r="A70">
        <v>36.513100000000001</v>
      </c>
      <c r="B70">
        <f t="shared" si="8"/>
        <v>29.002600000000001</v>
      </c>
      <c r="C70">
        <v>398.517</v>
      </c>
      <c r="D70">
        <v>26.893000000000001</v>
      </c>
      <c r="E70">
        <v>22.486000000000001</v>
      </c>
      <c r="I70">
        <f t="shared" si="9"/>
        <v>0.67143417951210638</v>
      </c>
      <c r="J70">
        <f t="shared" si="10"/>
        <v>0.75462221187113654</v>
      </c>
      <c r="K70" s="4">
        <f t="shared" si="11"/>
        <v>0.91944717042852475</v>
      </c>
      <c r="L70" s="3">
        <f t="shared" si="12"/>
        <v>0.73025857396371396</v>
      </c>
      <c r="M70" s="3">
        <f t="shared" si="13"/>
        <v>0.82073471553502242</v>
      </c>
      <c r="R70">
        <f t="shared" si="14"/>
        <v>1.0329957442111082</v>
      </c>
      <c r="S70">
        <f t="shared" si="15"/>
        <v>0.98421554911509423</v>
      </c>
    </row>
    <row r="71" spans="1:19" x14ac:dyDescent="0.3">
      <c r="A71">
        <v>37.013599999999997</v>
      </c>
      <c r="B71">
        <f t="shared" si="8"/>
        <v>29.503099999999996</v>
      </c>
      <c r="C71">
        <v>396.63799999999998</v>
      </c>
      <c r="D71">
        <v>27.231999999999999</v>
      </c>
      <c r="E71">
        <v>22.713999999999999</v>
      </c>
      <c r="I71">
        <f t="shared" si="9"/>
        <v>0.66826838025309543</v>
      </c>
      <c r="J71">
        <f t="shared" si="10"/>
        <v>0.76413461025823781</v>
      </c>
      <c r="K71" s="4">
        <f t="shared" si="11"/>
        <v>0.92877003598298979</v>
      </c>
      <c r="L71" s="3">
        <f t="shared" si="12"/>
        <v>0.71951974586024936</v>
      </c>
      <c r="M71" s="3">
        <f t="shared" si="13"/>
        <v>0.82273822437595601</v>
      </c>
      <c r="R71">
        <f t="shared" si="14"/>
        <v>1.0082709048666345</v>
      </c>
      <c r="S71">
        <f t="shared" si="15"/>
        <v>0.99666495020531853</v>
      </c>
    </row>
    <row r="72" spans="1:19" x14ac:dyDescent="0.3">
      <c r="A72">
        <v>37.512999999999998</v>
      </c>
      <c r="B72">
        <f t="shared" si="8"/>
        <v>30.002499999999998</v>
      </c>
      <c r="C72">
        <v>390.56900000000002</v>
      </c>
      <c r="D72">
        <v>27.213999999999999</v>
      </c>
      <c r="E72">
        <v>23</v>
      </c>
      <c r="I72">
        <f t="shared" si="9"/>
        <v>0.65804313506792411</v>
      </c>
      <c r="J72">
        <f t="shared" si="10"/>
        <v>0.76362952715803778</v>
      </c>
      <c r="K72" s="4">
        <f t="shared" si="11"/>
        <v>0.94046450768727508</v>
      </c>
      <c r="L72" s="3">
        <f t="shared" si="12"/>
        <v>0.69970012657483271</v>
      </c>
      <c r="M72" s="3">
        <f t="shared" si="13"/>
        <v>0.81197059635552049</v>
      </c>
      <c r="R72">
        <f t="shared" si="14"/>
        <v>0.96263865356516709</v>
      </c>
      <c r="S72">
        <f t="shared" si="15"/>
        <v>0.92975707474304925</v>
      </c>
    </row>
    <row r="73" spans="1:19" x14ac:dyDescent="0.3">
      <c r="A73">
        <v>38.013599999999997</v>
      </c>
      <c r="B73">
        <f t="shared" si="8"/>
        <v>30.503099999999996</v>
      </c>
      <c r="C73">
        <v>389.34500000000003</v>
      </c>
      <c r="D73">
        <v>28.106999999999999</v>
      </c>
      <c r="E73">
        <v>23.2</v>
      </c>
      <c r="I73">
        <f t="shared" si="9"/>
        <v>0.65598090074486426</v>
      </c>
      <c r="J73">
        <f t="shared" si="10"/>
        <v>0.78868726096240782</v>
      </c>
      <c r="K73" s="4">
        <f t="shared" si="11"/>
        <v>0.94864245992803398</v>
      </c>
      <c r="L73" s="3">
        <f t="shared" si="12"/>
        <v>0.69149434950932764</v>
      </c>
      <c r="M73" s="3">
        <f t="shared" si="13"/>
        <v>0.83138515750416575</v>
      </c>
      <c r="R73">
        <f t="shared" si="14"/>
        <v>0.94374585467813366</v>
      </c>
      <c r="S73">
        <f t="shared" si="15"/>
        <v>1.0503952540173394</v>
      </c>
    </row>
    <row r="74" spans="1:19" x14ac:dyDescent="0.3">
      <c r="A74">
        <v>38.512999999999998</v>
      </c>
      <c r="B74">
        <f t="shared" si="8"/>
        <v>31.002499999999998</v>
      </c>
      <c r="C74">
        <v>396.06900000000002</v>
      </c>
      <c r="D74">
        <v>28.231999999999999</v>
      </c>
      <c r="E74">
        <v>23.334</v>
      </c>
      <c r="I74">
        <f t="shared" si="9"/>
        <v>0.66730971086598689</v>
      </c>
      <c r="J74">
        <f t="shared" si="10"/>
        <v>0.79219478249157504</v>
      </c>
      <c r="K74" s="4">
        <f t="shared" si="11"/>
        <v>0.95412168792934249</v>
      </c>
      <c r="L74" s="3">
        <f t="shared" si="12"/>
        <v>0.6993968581871336</v>
      </c>
      <c r="M74" s="3">
        <f t="shared" si="13"/>
        <v>0.83028694611356646</v>
      </c>
      <c r="R74">
        <f t="shared" si="14"/>
        <v>0.96194041516411666</v>
      </c>
      <c r="S74">
        <f t="shared" si="15"/>
        <v>1.0435711892545141</v>
      </c>
    </row>
    <row r="75" spans="1:19" x14ac:dyDescent="0.3">
      <c r="A75">
        <v>39.013199999999998</v>
      </c>
      <c r="B75">
        <f t="shared" si="8"/>
        <v>31.502699999999997</v>
      </c>
      <c r="C75">
        <v>390.32799999999997</v>
      </c>
      <c r="D75">
        <v>26.661000000000001</v>
      </c>
      <c r="E75">
        <v>22.093</v>
      </c>
      <c r="I75">
        <f t="shared" si="9"/>
        <v>0.65763709056477249</v>
      </c>
      <c r="J75">
        <f t="shared" si="10"/>
        <v>0.74811225191300235</v>
      </c>
      <c r="K75" s="4">
        <f t="shared" si="11"/>
        <v>0.90337749427543346</v>
      </c>
      <c r="L75" s="3">
        <f t="shared" si="12"/>
        <v>0.72797595106377933</v>
      </c>
      <c r="M75" s="3">
        <f t="shared" si="13"/>
        <v>0.8281280601450407</v>
      </c>
      <c r="R75">
        <f t="shared" si="14"/>
        <v>1.0277402839373104</v>
      </c>
      <c r="S75">
        <f t="shared" si="15"/>
        <v>1.0301563059352519</v>
      </c>
    </row>
    <row r="76" spans="1:19" x14ac:dyDescent="0.3">
      <c r="A76">
        <v>39.513100000000001</v>
      </c>
      <c r="B76">
        <f t="shared" si="8"/>
        <v>32.002600000000001</v>
      </c>
      <c r="C76">
        <v>388.27600000000001</v>
      </c>
      <c r="D76">
        <v>26.25</v>
      </c>
      <c r="E76">
        <v>21.745999999999999</v>
      </c>
      <c r="I76">
        <f t="shared" si="9"/>
        <v>0.65417981537611358</v>
      </c>
      <c r="J76">
        <f t="shared" si="10"/>
        <v>0.73657952112510072</v>
      </c>
      <c r="K76" s="4">
        <f t="shared" si="11"/>
        <v>0.88918874713771667</v>
      </c>
      <c r="L76" s="3">
        <f t="shared" si="12"/>
        <v>0.73570410948396181</v>
      </c>
      <c r="M76" s="3">
        <f t="shared" si="13"/>
        <v>0.82837251764165654</v>
      </c>
      <c r="R76">
        <f t="shared" si="14"/>
        <v>1.0455334242619989</v>
      </c>
      <c r="S76">
        <f t="shared" si="15"/>
        <v>1.0316753156659324</v>
      </c>
    </row>
    <row r="77" spans="1:19" x14ac:dyDescent="0.3">
      <c r="K77" s="4"/>
      <c r="L77" s="3"/>
      <c r="M77" s="3"/>
    </row>
    <row r="78" spans="1:19" x14ac:dyDescent="0.3">
      <c r="K78" s="4"/>
      <c r="L78" s="3"/>
      <c r="M78" s="3"/>
    </row>
    <row r="79" spans="1:19" x14ac:dyDescent="0.3">
      <c r="K79" s="4"/>
      <c r="L79" s="3"/>
      <c r="M79" s="3"/>
    </row>
    <row r="80" spans="1:19" x14ac:dyDescent="0.3">
      <c r="K80" s="4"/>
      <c r="L80" s="3"/>
      <c r="M80" s="3"/>
    </row>
    <row r="81" spans="11:13" x14ac:dyDescent="0.3">
      <c r="K81" s="4"/>
      <c r="L81" s="3"/>
      <c r="M81" s="3"/>
    </row>
    <row r="82" spans="11:13" x14ac:dyDescent="0.3">
      <c r="K82" s="4"/>
      <c r="L82" s="3"/>
      <c r="M82" s="3"/>
    </row>
    <row r="83" spans="11:13" x14ac:dyDescent="0.3">
      <c r="K83" s="4"/>
      <c r="L83" s="3"/>
      <c r="M83" s="3"/>
    </row>
    <row r="84" spans="11:13" x14ac:dyDescent="0.3">
      <c r="K84" s="4"/>
      <c r="L84" s="3"/>
      <c r="M84" s="3"/>
    </row>
    <row r="85" spans="11:13" x14ac:dyDescent="0.3">
      <c r="K85" s="4"/>
      <c r="L85" s="3"/>
      <c r="M85" s="3"/>
    </row>
    <row r="86" spans="11:13" x14ac:dyDescent="0.3">
      <c r="K86" s="4"/>
      <c r="L86" s="3"/>
      <c r="M86" s="3"/>
    </row>
    <row r="87" spans="11:13" x14ac:dyDescent="0.3">
      <c r="K87" s="4"/>
      <c r="L87" s="3"/>
      <c r="M87" s="3"/>
    </row>
    <row r="88" spans="11:13" x14ac:dyDescent="0.3">
      <c r="K88" s="4"/>
      <c r="L88" s="3"/>
      <c r="M88" s="3"/>
    </row>
    <row r="89" spans="11:13" x14ac:dyDescent="0.3">
      <c r="K89" s="4"/>
      <c r="L89" s="3"/>
      <c r="M89" s="3"/>
    </row>
    <row r="90" spans="11:13" x14ac:dyDescent="0.3">
      <c r="K90" s="4"/>
      <c r="L90" s="3"/>
      <c r="M90" s="3"/>
    </row>
    <row r="91" spans="11:13" x14ac:dyDescent="0.3">
      <c r="K91" s="4"/>
      <c r="L91" s="3"/>
      <c r="M91" s="3"/>
    </row>
    <row r="92" spans="11:13" x14ac:dyDescent="0.3">
      <c r="K92" s="4"/>
      <c r="L92" s="3"/>
      <c r="M92" s="3"/>
    </row>
    <row r="93" spans="11:13" x14ac:dyDescent="0.3">
      <c r="K93" s="4"/>
      <c r="L93" s="3"/>
      <c r="M93" s="3"/>
    </row>
    <row r="94" spans="11:13" x14ac:dyDescent="0.3">
      <c r="K94" s="4"/>
      <c r="L94" s="3"/>
      <c r="M94" s="3"/>
    </row>
    <row r="95" spans="11:13" x14ac:dyDescent="0.3">
      <c r="K95" s="4"/>
      <c r="L95" s="3"/>
      <c r="M95" s="3"/>
    </row>
    <row r="96" spans="11:13" x14ac:dyDescent="0.3">
      <c r="K96" s="4"/>
      <c r="L96" s="3"/>
      <c r="M96" s="3"/>
    </row>
    <row r="97" spans="11:13" x14ac:dyDescent="0.3">
      <c r="K97" s="4"/>
      <c r="L97" s="3"/>
      <c r="M97" s="3"/>
    </row>
    <row r="98" spans="11:13" x14ac:dyDescent="0.3">
      <c r="K98" s="4"/>
      <c r="L98" s="3"/>
      <c r="M98" s="3"/>
    </row>
    <row r="99" spans="11:13" x14ac:dyDescent="0.3">
      <c r="K99" s="4"/>
      <c r="L99" s="3"/>
      <c r="M99" s="3"/>
    </row>
    <row r="100" spans="11:13" x14ac:dyDescent="0.3">
      <c r="K100" s="4"/>
      <c r="L100" s="3"/>
      <c r="M100" s="3"/>
    </row>
    <row r="101" spans="11:13" x14ac:dyDescent="0.3">
      <c r="K101" s="4"/>
      <c r="L101" s="3"/>
      <c r="M101" s="3"/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B81D-6F96-4FDF-A746-FFEB2674DD27}">
  <dimension ref="A1:S101"/>
  <sheetViews>
    <sheetView topLeftCell="B25" workbookViewId="0">
      <selection activeCell="E25" sqref="E25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15</v>
      </c>
      <c r="D1" t="s">
        <v>3</v>
      </c>
      <c r="E1" t="s">
        <v>16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R1" t="s">
        <v>13</v>
      </c>
      <c r="S1" t="s">
        <v>14</v>
      </c>
    </row>
    <row r="2" spans="1:19" x14ac:dyDescent="0.3">
      <c r="A2">
        <v>0</v>
      </c>
      <c r="B2">
        <f>A2-$A$12</f>
        <v>-7.5110000000000001</v>
      </c>
      <c r="C2">
        <v>583.98299999999995</v>
      </c>
      <c r="D2">
        <v>36.338999999999999</v>
      </c>
      <c r="E2">
        <v>34</v>
      </c>
      <c r="F2">
        <f>AVERAGE(C2:C11)</f>
        <v>562.30010000000004</v>
      </c>
      <c r="G2">
        <f>AVERAGE(D2:D11)</f>
        <v>36.303399999999996</v>
      </c>
      <c r="H2">
        <f>AVERAGE(E2:E11)</f>
        <v>32.7241</v>
      </c>
      <c r="I2">
        <f>C2/$F$2</f>
        <v>1.0385610815292401</v>
      </c>
      <c r="J2">
        <f>D2/$G$2</f>
        <v>1.0009806244043258</v>
      </c>
      <c r="K2" s="4">
        <f>E2/$H$2</f>
        <v>1.0389896131597203</v>
      </c>
      <c r="L2" s="3">
        <f>I2/K2</f>
        <v>0.9995875496491472</v>
      </c>
      <c r="M2" s="3">
        <f>J2/K2</f>
        <v>0.96341735444322341</v>
      </c>
      <c r="R2">
        <f>(L2-$L$12)/($N$12-$L$12)</f>
        <v>1.8497658565652473</v>
      </c>
      <c r="S2">
        <f>(M2-$M$12)/($O$12-$M$12)</f>
        <v>2.4571955538656702</v>
      </c>
    </row>
    <row r="3" spans="1:19" x14ac:dyDescent="0.3">
      <c r="A3">
        <v>0.50309999999999999</v>
      </c>
      <c r="B3">
        <f t="shared" ref="B3:B66" si="0">A3-$A$12</f>
        <v>-7.0079000000000002</v>
      </c>
      <c r="C3">
        <v>577.72400000000005</v>
      </c>
      <c r="D3">
        <v>35.625</v>
      </c>
      <c r="E3">
        <v>34.295999999999999</v>
      </c>
      <c r="I3">
        <f t="shared" ref="I3:I66" si="1">C3/$F$2</f>
        <v>1.0274300146843296</v>
      </c>
      <c r="J3">
        <f t="shared" ref="J3:J66" si="2">D3/$G$2</f>
        <v>0.98131304505914052</v>
      </c>
      <c r="K3" s="4">
        <f t="shared" ref="K3:K66" si="3">E3/$H$2</f>
        <v>1.0480349344978166</v>
      </c>
      <c r="L3" s="3">
        <f t="shared" ref="L3:L66" si="4">I3/K3</f>
        <v>0.98033947234463115</v>
      </c>
      <c r="M3" s="3">
        <f t="shared" ref="M3:M66" si="5">J3/K3</f>
        <v>0.93633619716059657</v>
      </c>
      <c r="R3">
        <f t="shared" ref="R3:R66" si="6">(L3-$L$12)/($N$12-$L$12)</f>
        <v>1.8026171434471885</v>
      </c>
      <c r="S3">
        <f t="shared" ref="S3:S66" si="7">(M3-$M$12)/($O$12-$M$12)</f>
        <v>2.2557181800421668</v>
      </c>
    </row>
    <row r="4" spans="1:19" x14ac:dyDescent="0.3">
      <c r="A4">
        <v>1.0026999999999999</v>
      </c>
      <c r="B4">
        <f t="shared" si="0"/>
        <v>-6.5083000000000002</v>
      </c>
      <c r="C4">
        <v>583.96600000000001</v>
      </c>
      <c r="D4">
        <v>36.695999999999998</v>
      </c>
      <c r="E4">
        <v>32.036999999999999</v>
      </c>
      <c r="I4">
        <f t="shared" si="1"/>
        <v>1.0385308485628937</v>
      </c>
      <c r="J4">
        <f t="shared" si="2"/>
        <v>1.0108144140769184</v>
      </c>
      <c r="K4" s="4">
        <f t="shared" si="3"/>
        <v>0.97900324225876334</v>
      </c>
      <c r="L4" s="3">
        <f t="shared" si="4"/>
        <v>1.0608042994492928</v>
      </c>
      <c r="M4" s="3">
        <f t="shared" si="5"/>
        <v>1.0324934284637914</v>
      </c>
      <c r="R4">
        <f t="shared" si="6"/>
        <v>1.9997180273033535</v>
      </c>
      <c r="S4">
        <f t="shared" si="7"/>
        <v>2.9711051273176965</v>
      </c>
    </row>
    <row r="5" spans="1:19" x14ac:dyDescent="0.3">
      <c r="A5">
        <v>1.5032000000000001</v>
      </c>
      <c r="B5">
        <f t="shared" si="0"/>
        <v>-6.0077999999999996</v>
      </c>
      <c r="C5">
        <v>574.15499999999997</v>
      </c>
      <c r="D5">
        <v>36.320999999999998</v>
      </c>
      <c r="E5">
        <v>32.314999999999998</v>
      </c>
      <c r="I5">
        <f t="shared" si="1"/>
        <v>1.0210828701613248</v>
      </c>
      <c r="J5">
        <f t="shared" si="2"/>
        <v>1.0004848030762958</v>
      </c>
      <c r="K5" s="4">
        <f t="shared" si="3"/>
        <v>0.98749851027224578</v>
      </c>
      <c r="L5" s="3">
        <f t="shared" si="4"/>
        <v>1.0340095296749563</v>
      </c>
      <c r="M5" s="3">
        <f t="shared" si="5"/>
        <v>1.0131506960962096</v>
      </c>
      <c r="R5">
        <f t="shared" si="6"/>
        <v>1.9340834762171408</v>
      </c>
      <c r="S5">
        <f t="shared" si="7"/>
        <v>2.8271997956762243</v>
      </c>
    </row>
    <row r="6" spans="1:19" x14ac:dyDescent="0.3">
      <c r="A6">
        <v>2.0026000000000002</v>
      </c>
      <c r="B6">
        <f t="shared" si="0"/>
        <v>-5.5084</v>
      </c>
      <c r="C6">
        <v>573.75900000000001</v>
      </c>
      <c r="D6">
        <v>37.338999999999999</v>
      </c>
      <c r="E6">
        <v>33.259</v>
      </c>
      <c r="I6">
        <f t="shared" si="1"/>
        <v>1.0203786198864271</v>
      </c>
      <c r="J6">
        <f t="shared" si="2"/>
        <v>1.0285262537393192</v>
      </c>
      <c r="K6" s="4">
        <f t="shared" si="3"/>
        <v>1.0163457512964451</v>
      </c>
      <c r="L6" s="3">
        <f t="shared" si="4"/>
        <v>1.0039680085097396</v>
      </c>
      <c r="M6" s="3">
        <f t="shared" si="5"/>
        <v>1.0119846050690295</v>
      </c>
      <c r="R6">
        <f t="shared" si="6"/>
        <v>1.8604959152031078</v>
      </c>
      <c r="S6">
        <f t="shared" si="7"/>
        <v>2.8185243555780239</v>
      </c>
    </row>
    <row r="7" spans="1:19" x14ac:dyDescent="0.3">
      <c r="A7">
        <v>2.5026000000000002</v>
      </c>
      <c r="B7">
        <f t="shared" si="0"/>
        <v>-5.0084</v>
      </c>
      <c r="C7">
        <v>570.24099999999999</v>
      </c>
      <c r="D7">
        <v>35.143000000000001</v>
      </c>
      <c r="E7">
        <v>33.630000000000003</v>
      </c>
      <c r="I7">
        <f t="shared" si="1"/>
        <v>1.0141221742624622</v>
      </c>
      <c r="J7">
        <f t="shared" si="2"/>
        <v>0.96803605171967377</v>
      </c>
      <c r="K7" s="4">
        <f t="shared" si="3"/>
        <v>1.0276829614870997</v>
      </c>
      <c r="L7" s="3">
        <f t="shared" si="4"/>
        <v>0.98680450320494317</v>
      </c>
      <c r="M7" s="3">
        <f t="shared" si="5"/>
        <v>0.94195981445375487</v>
      </c>
      <c r="R7">
        <f t="shared" si="6"/>
        <v>1.818453420520989</v>
      </c>
      <c r="S7">
        <f t="shared" si="7"/>
        <v>2.2975565561421734</v>
      </c>
    </row>
    <row r="8" spans="1:19" x14ac:dyDescent="0.3">
      <c r="A8">
        <v>3.0026000000000002</v>
      </c>
      <c r="B8">
        <f t="shared" si="0"/>
        <v>-4.5084</v>
      </c>
      <c r="C8">
        <v>551.29300000000001</v>
      </c>
      <c r="D8">
        <v>37.445999999999998</v>
      </c>
      <c r="E8">
        <v>32.963000000000001</v>
      </c>
      <c r="I8">
        <f t="shared" si="1"/>
        <v>0.98042486565447873</v>
      </c>
      <c r="J8">
        <f t="shared" si="2"/>
        <v>1.0314736360781636</v>
      </c>
      <c r="K8" s="4">
        <f t="shared" si="3"/>
        <v>1.0073004299583488</v>
      </c>
      <c r="L8" s="3">
        <f t="shared" si="4"/>
        <v>0.97331921688449852</v>
      </c>
      <c r="M8" s="3">
        <f t="shared" si="5"/>
        <v>1.023998010326288</v>
      </c>
      <c r="R8">
        <f t="shared" si="6"/>
        <v>1.7854208279155783</v>
      </c>
      <c r="S8">
        <f t="shared" si="7"/>
        <v>2.9079012354746103</v>
      </c>
    </row>
    <row r="9" spans="1:19" x14ac:dyDescent="0.3">
      <c r="A9">
        <v>3.5028000000000001</v>
      </c>
      <c r="B9">
        <f t="shared" si="0"/>
        <v>-4.0082000000000004</v>
      </c>
      <c r="C9">
        <v>539.51700000000005</v>
      </c>
      <c r="D9">
        <v>36.661000000000001</v>
      </c>
      <c r="E9">
        <v>31.277999999999999</v>
      </c>
      <c r="I9">
        <f t="shared" si="1"/>
        <v>0.95948231202519796</v>
      </c>
      <c r="J9">
        <f t="shared" si="2"/>
        <v>1.0098503170501938</v>
      </c>
      <c r="K9" s="4">
        <f t="shared" si="3"/>
        <v>0.95580932707087429</v>
      </c>
      <c r="L9" s="3">
        <f t="shared" si="4"/>
        <v>1.0038428009125835</v>
      </c>
      <c r="M9" s="3">
        <f t="shared" si="5"/>
        <v>1.0565395089258345</v>
      </c>
      <c r="R9">
        <f t="shared" si="6"/>
        <v>1.8601892156307236</v>
      </c>
      <c r="S9">
        <f t="shared" si="7"/>
        <v>3.1500022509405889</v>
      </c>
    </row>
    <row r="10" spans="1:19" x14ac:dyDescent="0.3">
      <c r="A10">
        <v>4.0029000000000003</v>
      </c>
      <c r="B10">
        <f t="shared" si="0"/>
        <v>-3.5080999999999998</v>
      </c>
      <c r="C10">
        <v>528.46600000000001</v>
      </c>
      <c r="D10">
        <v>35.588999999999999</v>
      </c>
      <c r="E10">
        <v>32.185000000000002</v>
      </c>
      <c r="I10">
        <f t="shared" si="1"/>
        <v>0.93982910549011101</v>
      </c>
      <c r="J10">
        <f t="shared" si="2"/>
        <v>0.98032140240308074</v>
      </c>
      <c r="K10" s="4">
        <f t="shared" si="3"/>
        <v>0.98352590292781172</v>
      </c>
      <c r="L10" s="3">
        <f t="shared" si="4"/>
        <v>0.95557127950812293</v>
      </c>
      <c r="M10" s="3">
        <f t="shared" si="5"/>
        <v>0.99674182396702349</v>
      </c>
      <c r="R10">
        <f t="shared" si="6"/>
        <v>1.7419467502423929</v>
      </c>
      <c r="S10">
        <f t="shared" si="7"/>
        <v>2.7051216869199575</v>
      </c>
    </row>
    <row r="11" spans="1:19" x14ac:dyDescent="0.3">
      <c r="A11">
        <v>4.5029000000000003</v>
      </c>
      <c r="B11">
        <f t="shared" si="0"/>
        <v>-3.0080999999999998</v>
      </c>
      <c r="C11">
        <v>539.89700000000005</v>
      </c>
      <c r="D11">
        <v>35.875</v>
      </c>
      <c r="E11">
        <v>31.277999999999999</v>
      </c>
      <c r="I11">
        <f t="shared" si="1"/>
        <v>0.96015810774353416</v>
      </c>
      <c r="J11">
        <f t="shared" si="2"/>
        <v>0.98819945239288887</v>
      </c>
      <c r="K11" s="4">
        <f t="shared" si="3"/>
        <v>0.95580932707087429</v>
      </c>
      <c r="L11" s="3">
        <f t="shared" si="4"/>
        <v>1.0045498412177949</v>
      </c>
      <c r="M11" s="3">
        <f t="shared" si="5"/>
        <v>1.0338876430734105</v>
      </c>
      <c r="R11">
        <f t="shared" si="6"/>
        <v>1.86192113097925</v>
      </c>
      <c r="S11">
        <f t="shared" si="7"/>
        <v>2.9814777526512755</v>
      </c>
    </row>
    <row r="12" spans="1:19" x14ac:dyDescent="0.3">
      <c r="A12" s="1">
        <v>7.5110000000000001</v>
      </c>
      <c r="B12" s="1">
        <f t="shared" si="0"/>
        <v>0</v>
      </c>
      <c r="C12" s="1">
        <v>131.44800000000001</v>
      </c>
      <c r="D12" s="1">
        <v>21.981999999999999</v>
      </c>
      <c r="E12" s="1">
        <v>31.295999999999999</v>
      </c>
      <c r="F12" s="1"/>
      <c r="G12" s="1"/>
      <c r="H12" s="1"/>
      <c r="I12" s="1">
        <f t="shared" si="1"/>
        <v>0.23376840943119162</v>
      </c>
      <c r="J12" s="1">
        <f t="shared" si="2"/>
        <v>0.60550802404182535</v>
      </c>
      <c r="K12" s="1">
        <f t="shared" si="3"/>
        <v>0.95635938039548829</v>
      </c>
      <c r="L12" s="1">
        <f t="shared" si="4"/>
        <v>0.24443573642213887</v>
      </c>
      <c r="M12" s="1">
        <f t="shared" si="5"/>
        <v>0.63313858414963886</v>
      </c>
      <c r="N12" s="1">
        <f>AVERAGE(L66:L76)</f>
        <v>0.65267757446169383</v>
      </c>
      <c r="O12" s="1">
        <f>AVERAGE(M66:M76)</f>
        <v>0.76755148009273488</v>
      </c>
      <c r="P12" s="5">
        <f>(N12-L12)/(1-L12)</f>
        <v>0.54031385246621777</v>
      </c>
      <c r="Q12" s="5">
        <f>(O12-M12)/(1-M12)</f>
        <v>0.36638602517393548</v>
      </c>
      <c r="R12">
        <f t="shared" si="6"/>
        <v>0</v>
      </c>
      <c r="S12">
        <f t="shared" si="7"/>
        <v>0</v>
      </c>
    </row>
    <row r="13" spans="1:19" x14ac:dyDescent="0.3">
      <c r="A13">
        <v>8.0135000000000005</v>
      </c>
      <c r="B13">
        <f t="shared" si="0"/>
        <v>0.50250000000000039</v>
      </c>
      <c r="C13">
        <v>166.81</v>
      </c>
      <c r="D13">
        <v>23</v>
      </c>
      <c r="E13">
        <v>29.888999999999999</v>
      </c>
      <c r="I13">
        <f t="shared" si="1"/>
        <v>0.2966565362517275</v>
      </c>
      <c r="J13">
        <f t="shared" si="2"/>
        <v>0.63354947470484868</v>
      </c>
      <c r="K13" s="4">
        <f t="shared" si="3"/>
        <v>0.91336354552149635</v>
      </c>
      <c r="L13" s="3">
        <f t="shared" si="4"/>
        <v>0.32479568262421482</v>
      </c>
      <c r="M13" s="3">
        <f t="shared" si="5"/>
        <v>0.69364436298266718</v>
      </c>
      <c r="R13">
        <f t="shared" si="6"/>
        <v>0.19684397510058682</v>
      </c>
      <c r="S13">
        <f t="shared" si="7"/>
        <v>0.45014861415264479</v>
      </c>
    </row>
    <row r="14" spans="1:19" x14ac:dyDescent="0.3">
      <c r="A14">
        <v>8.5140999999999991</v>
      </c>
      <c r="B14">
        <f t="shared" si="0"/>
        <v>1.003099999999999</v>
      </c>
      <c r="C14">
        <v>187.25899999999999</v>
      </c>
      <c r="D14">
        <v>23.053999999999998</v>
      </c>
      <c r="E14">
        <v>29.907</v>
      </c>
      <c r="I14">
        <f t="shared" si="1"/>
        <v>0.33302323794713884</v>
      </c>
      <c r="J14">
        <f t="shared" si="2"/>
        <v>0.63503693868893829</v>
      </c>
      <c r="K14" s="4">
        <f t="shared" si="3"/>
        <v>0.91391359884611034</v>
      </c>
      <c r="L14" s="3">
        <f t="shared" si="4"/>
        <v>0.36439247470177438</v>
      </c>
      <c r="M14" s="3">
        <f t="shared" si="5"/>
        <v>0.69485445833252035</v>
      </c>
      <c r="R14">
        <f t="shared" si="6"/>
        <v>0.29383744413773877</v>
      </c>
      <c r="S14">
        <f t="shared" si="7"/>
        <v>0.45915143595305791</v>
      </c>
    </row>
    <row r="15" spans="1:19" x14ac:dyDescent="0.3">
      <c r="A15">
        <v>9.0135000000000005</v>
      </c>
      <c r="B15">
        <f t="shared" si="0"/>
        <v>1.5025000000000004</v>
      </c>
      <c r="C15">
        <v>203.62100000000001</v>
      </c>
      <c r="D15">
        <v>24.161000000000001</v>
      </c>
      <c r="E15">
        <v>30.741</v>
      </c>
      <c r="I15">
        <f t="shared" si="1"/>
        <v>0.36212157885086627</v>
      </c>
      <c r="J15">
        <f t="shared" si="2"/>
        <v>0.66552995036277607</v>
      </c>
      <c r="K15" s="4">
        <f t="shared" si="3"/>
        <v>0.93939940288655766</v>
      </c>
      <c r="L15" s="3">
        <f t="shared" si="4"/>
        <v>0.38548201940319549</v>
      </c>
      <c r="M15" s="3">
        <f t="shared" si="5"/>
        <v>0.7084632461099678</v>
      </c>
      <c r="R15">
        <f t="shared" si="6"/>
        <v>0.34549688404888701</v>
      </c>
      <c r="S15">
        <f t="shared" si="7"/>
        <v>0.56039758262643036</v>
      </c>
    </row>
    <row r="16" spans="1:19" x14ac:dyDescent="0.3">
      <c r="A16">
        <v>9.5137</v>
      </c>
      <c r="B16">
        <f t="shared" si="0"/>
        <v>2.0026999999999999</v>
      </c>
      <c r="C16">
        <v>227.172</v>
      </c>
      <c r="D16">
        <v>24.643000000000001</v>
      </c>
      <c r="E16">
        <v>30.222000000000001</v>
      </c>
      <c r="I16">
        <f t="shared" si="1"/>
        <v>0.40400490769964292</v>
      </c>
      <c r="J16">
        <f t="shared" si="2"/>
        <v>0.67880694370224282</v>
      </c>
      <c r="K16" s="4">
        <f t="shared" si="3"/>
        <v>0.9235395320268549</v>
      </c>
      <c r="L16" s="3">
        <f t="shared" si="4"/>
        <v>0.43745274965435393</v>
      </c>
      <c r="M16" s="3">
        <f t="shared" si="5"/>
        <v>0.73500583371075912</v>
      </c>
      <c r="R16">
        <f t="shared" si="6"/>
        <v>0.47280066677907095</v>
      </c>
      <c r="S16">
        <f t="shared" si="7"/>
        <v>0.75786812601854781</v>
      </c>
    </row>
    <row r="17" spans="1:19" x14ac:dyDescent="0.3">
      <c r="A17">
        <v>10.0136</v>
      </c>
      <c r="B17">
        <f t="shared" si="0"/>
        <v>2.5026000000000002</v>
      </c>
      <c r="C17">
        <v>237.46600000000001</v>
      </c>
      <c r="D17">
        <v>24.018000000000001</v>
      </c>
      <c r="E17">
        <v>30.167000000000002</v>
      </c>
      <c r="I17">
        <f t="shared" si="1"/>
        <v>0.42231185802741272</v>
      </c>
      <c r="J17">
        <f t="shared" si="2"/>
        <v>0.66159092536787201</v>
      </c>
      <c r="K17" s="4">
        <f t="shared" si="3"/>
        <v>0.92185881353497889</v>
      </c>
      <c r="L17" s="3">
        <f t="shared" si="4"/>
        <v>0.45810904210809344</v>
      </c>
      <c r="M17" s="3">
        <f t="shared" si="5"/>
        <v>0.71767055394407064</v>
      </c>
      <c r="R17">
        <f t="shared" si="6"/>
        <v>0.52339884298005623</v>
      </c>
      <c r="S17">
        <f t="shared" si="7"/>
        <v>0.62889776461790214</v>
      </c>
    </row>
    <row r="18" spans="1:19" x14ac:dyDescent="0.3">
      <c r="A18">
        <v>10.5138</v>
      </c>
      <c r="B18">
        <f t="shared" si="0"/>
        <v>3.0027999999999997</v>
      </c>
      <c r="C18">
        <v>242.87899999999999</v>
      </c>
      <c r="D18">
        <v>24.856999999999999</v>
      </c>
      <c r="E18">
        <v>29.648</v>
      </c>
      <c r="I18">
        <f t="shared" si="1"/>
        <v>0.43193839019413294</v>
      </c>
      <c r="J18">
        <f t="shared" si="2"/>
        <v>0.68470170837993138</v>
      </c>
      <c r="K18" s="4">
        <f t="shared" si="3"/>
        <v>0.90599894267527603</v>
      </c>
      <c r="L18" s="3">
        <f t="shared" si="4"/>
        <v>0.47675374644332924</v>
      </c>
      <c r="M18" s="3">
        <f t="shared" si="5"/>
        <v>0.75574228194804749</v>
      </c>
      <c r="R18">
        <f t="shared" si="6"/>
        <v>0.56906957683911086</v>
      </c>
      <c r="S18">
        <f t="shared" si="7"/>
        <v>0.91214237248718422</v>
      </c>
    </row>
    <row r="19" spans="1:19" x14ac:dyDescent="0.3">
      <c r="A19">
        <v>11.0138</v>
      </c>
      <c r="B19">
        <f t="shared" si="0"/>
        <v>3.5027999999999997</v>
      </c>
      <c r="C19">
        <v>250.828</v>
      </c>
      <c r="D19">
        <v>23.803999999999998</v>
      </c>
      <c r="E19">
        <v>28.463000000000001</v>
      </c>
      <c r="I19">
        <f t="shared" si="1"/>
        <v>0.44607496957585457</v>
      </c>
      <c r="J19">
        <f t="shared" si="2"/>
        <v>0.65569616069018333</v>
      </c>
      <c r="K19" s="4">
        <f t="shared" si="3"/>
        <v>0.86978709880485638</v>
      </c>
      <c r="L19" s="3">
        <f t="shared" si="4"/>
        <v>0.51285535298096552</v>
      </c>
      <c r="M19" s="3">
        <f t="shared" si="5"/>
        <v>0.75385822759518073</v>
      </c>
      <c r="R19">
        <f t="shared" si="6"/>
        <v>0.65750148943043707</v>
      </c>
      <c r="S19">
        <f t="shared" si="7"/>
        <v>0.89812545588370318</v>
      </c>
    </row>
    <row r="20" spans="1:19" x14ac:dyDescent="0.3">
      <c r="A20">
        <v>11.5138</v>
      </c>
      <c r="B20">
        <f t="shared" si="0"/>
        <v>4.0027999999999997</v>
      </c>
      <c r="C20">
        <v>258.82799999999997</v>
      </c>
      <c r="D20">
        <v>23.213999999999999</v>
      </c>
      <c r="E20">
        <v>28.593</v>
      </c>
      <c r="I20">
        <f t="shared" si="1"/>
        <v>0.460302247856616</v>
      </c>
      <c r="J20">
        <f t="shared" si="2"/>
        <v>0.63944423938253725</v>
      </c>
      <c r="K20" s="4">
        <f t="shared" si="3"/>
        <v>0.87375970614929055</v>
      </c>
      <c r="L20" s="3">
        <f t="shared" si="4"/>
        <v>0.5268064487491585</v>
      </c>
      <c r="M20" s="3">
        <f t="shared" si="5"/>
        <v>0.73183077095716043</v>
      </c>
      <c r="R20">
        <f t="shared" si="6"/>
        <v>0.69167509553408502</v>
      </c>
      <c r="S20">
        <f t="shared" si="7"/>
        <v>0.73424641374666244</v>
      </c>
    </row>
    <row r="21" spans="1:19" x14ac:dyDescent="0.3">
      <c r="A21">
        <v>12.0139</v>
      </c>
      <c r="B21">
        <f t="shared" si="0"/>
        <v>4.5028999999999995</v>
      </c>
      <c r="C21">
        <v>266.55200000000002</v>
      </c>
      <c r="D21">
        <v>25.036000000000001</v>
      </c>
      <c r="E21">
        <v>29.518999999999998</v>
      </c>
      <c r="I21">
        <f t="shared" si="1"/>
        <v>0.47403868503669128</v>
      </c>
      <c r="J21">
        <f t="shared" si="2"/>
        <v>0.68963237603089533</v>
      </c>
      <c r="K21" s="4">
        <f t="shared" si="3"/>
        <v>0.90205689384887588</v>
      </c>
      <c r="L21" s="3">
        <f t="shared" si="4"/>
        <v>0.52550863284695248</v>
      </c>
      <c r="M21" s="3">
        <f t="shared" si="5"/>
        <v>0.7645109535035951</v>
      </c>
      <c r="R21">
        <f t="shared" si="6"/>
        <v>0.68849605854846307</v>
      </c>
      <c r="S21">
        <f t="shared" si="7"/>
        <v>0.97737920481657514</v>
      </c>
    </row>
    <row r="22" spans="1:19" x14ac:dyDescent="0.3">
      <c r="A22">
        <v>12.5139</v>
      </c>
      <c r="B22">
        <f t="shared" si="0"/>
        <v>5.0028999999999995</v>
      </c>
      <c r="C22">
        <v>284.08600000000001</v>
      </c>
      <c r="D22">
        <v>23.893000000000001</v>
      </c>
      <c r="E22">
        <v>29.222000000000001</v>
      </c>
      <c r="I22">
        <f t="shared" si="1"/>
        <v>0.50522132220855021</v>
      </c>
      <c r="J22">
        <f t="shared" si="2"/>
        <v>0.65814772170099778</v>
      </c>
      <c r="K22" s="4">
        <f t="shared" si="3"/>
        <v>0.89298101399274543</v>
      </c>
      <c r="L22" s="3">
        <f t="shared" si="4"/>
        <v>0.5657693884773396</v>
      </c>
      <c r="M22" s="3">
        <f t="shared" si="5"/>
        <v>0.7370231968967087</v>
      </c>
      <c r="R22">
        <f t="shared" si="6"/>
        <v>0.78711592520330165</v>
      </c>
      <c r="S22">
        <f t="shared" si="7"/>
        <v>0.77287682865675034</v>
      </c>
    </row>
    <row r="23" spans="1:19" x14ac:dyDescent="0.3">
      <c r="A23">
        <v>13.013299999999999</v>
      </c>
      <c r="B23">
        <f t="shared" si="0"/>
        <v>5.5022999999999991</v>
      </c>
      <c r="C23">
        <v>270.32799999999997</v>
      </c>
      <c r="D23">
        <v>24.018000000000001</v>
      </c>
      <c r="E23">
        <v>29.37</v>
      </c>
      <c r="I23">
        <f t="shared" si="1"/>
        <v>0.48075396038521057</v>
      </c>
      <c r="J23">
        <f t="shared" si="2"/>
        <v>0.66159092536787201</v>
      </c>
      <c r="K23" s="4">
        <f t="shared" si="3"/>
        <v>0.89750367466179359</v>
      </c>
      <c r="L23" s="3">
        <f t="shared" si="4"/>
        <v>0.53565681562961076</v>
      </c>
      <c r="M23" s="3">
        <f t="shared" si="5"/>
        <v>0.73714564524449377</v>
      </c>
      <c r="R23">
        <f t="shared" si="6"/>
        <v>0.71335432107097063</v>
      </c>
      <c r="S23">
        <f t="shared" si="7"/>
        <v>0.77378781526206031</v>
      </c>
    </row>
    <row r="24" spans="1:19" x14ac:dyDescent="0.3">
      <c r="A24">
        <v>13.514099999999999</v>
      </c>
      <c r="B24">
        <f t="shared" si="0"/>
        <v>6.003099999999999</v>
      </c>
      <c r="C24">
        <v>284.17200000000003</v>
      </c>
      <c r="D24">
        <v>25.518000000000001</v>
      </c>
      <c r="E24">
        <v>29.795999999999999</v>
      </c>
      <c r="I24">
        <f t="shared" si="1"/>
        <v>0.50537426545006836</v>
      </c>
      <c r="J24">
        <f t="shared" si="2"/>
        <v>0.70290936937036208</v>
      </c>
      <c r="K24" s="4">
        <f t="shared" si="3"/>
        <v>0.91052160334432419</v>
      </c>
      <c r="L24" s="3">
        <f t="shared" si="4"/>
        <v>0.5550381930465359</v>
      </c>
      <c r="M24" s="3">
        <f t="shared" si="5"/>
        <v>0.77198538374992165</v>
      </c>
      <c r="R24">
        <f t="shared" si="6"/>
        <v>0.76082955660782237</v>
      </c>
      <c r="S24">
        <f t="shared" si="7"/>
        <v>1.0329871894067655</v>
      </c>
    </row>
    <row r="25" spans="1:19" x14ac:dyDescent="0.3">
      <c r="A25">
        <v>14.013299999999999</v>
      </c>
      <c r="B25">
        <f t="shared" si="0"/>
        <v>6.5022999999999991</v>
      </c>
      <c r="C25">
        <v>284.60300000000001</v>
      </c>
      <c r="D25">
        <v>24.893000000000001</v>
      </c>
      <c r="E25">
        <v>29.63</v>
      </c>
      <c r="I25">
        <f t="shared" si="1"/>
        <v>0.50614076006744435</v>
      </c>
      <c r="J25">
        <f t="shared" si="2"/>
        <v>0.68569335103599116</v>
      </c>
      <c r="K25" s="4">
        <f t="shared" si="3"/>
        <v>0.90544888935066203</v>
      </c>
      <c r="L25" s="3">
        <f t="shared" si="4"/>
        <v>0.55899429114151389</v>
      </c>
      <c r="M25" s="3">
        <f t="shared" si="5"/>
        <v>0.75729658415919265</v>
      </c>
      <c r="R25">
        <f t="shared" si="6"/>
        <v>0.77052013147387677</v>
      </c>
      <c r="S25">
        <f t="shared" si="7"/>
        <v>0.92370601152821186</v>
      </c>
    </row>
    <row r="26" spans="1:19" x14ac:dyDescent="0.3">
      <c r="A26">
        <v>14.514099999999999</v>
      </c>
      <c r="B26">
        <f t="shared" si="0"/>
        <v>7.003099999999999</v>
      </c>
      <c r="C26">
        <v>286.39699999999999</v>
      </c>
      <c r="D26">
        <v>26.303999999999998</v>
      </c>
      <c r="E26">
        <v>30.83</v>
      </c>
      <c r="I26">
        <f t="shared" si="1"/>
        <v>0.50933122722190516</v>
      </c>
      <c r="J26">
        <f t="shared" si="2"/>
        <v>0.72456023402766689</v>
      </c>
      <c r="K26" s="4">
        <f t="shared" si="3"/>
        <v>0.94211911099159329</v>
      </c>
      <c r="L26" s="3">
        <f t="shared" si="4"/>
        <v>0.54062296505781215</v>
      </c>
      <c r="M26" s="3">
        <f t="shared" si="5"/>
        <v>0.76907497743576958</v>
      </c>
      <c r="R26">
        <f t="shared" si="6"/>
        <v>0.72551904542173695</v>
      </c>
      <c r="S26">
        <f t="shared" si="7"/>
        <v>1.0113344581436567</v>
      </c>
    </row>
    <row r="27" spans="1:19" x14ac:dyDescent="0.3">
      <c r="A27">
        <v>15.0136</v>
      </c>
      <c r="B27">
        <f t="shared" si="0"/>
        <v>7.5026000000000002</v>
      </c>
      <c r="C27">
        <v>284.89699999999999</v>
      </c>
      <c r="D27">
        <v>23.821000000000002</v>
      </c>
      <c r="E27">
        <v>28.907</v>
      </c>
      <c r="I27">
        <f t="shared" si="1"/>
        <v>0.50666361254426229</v>
      </c>
      <c r="J27">
        <f t="shared" si="2"/>
        <v>0.65616443638887834</v>
      </c>
      <c r="K27" s="4">
        <f t="shared" si="3"/>
        <v>0.88335508081200098</v>
      </c>
      <c r="L27" s="3">
        <f t="shared" si="4"/>
        <v>0.57356732705779545</v>
      </c>
      <c r="M27" s="3">
        <f t="shared" si="5"/>
        <v>0.74280937602771968</v>
      </c>
      <c r="R27">
        <f t="shared" si="6"/>
        <v>0.8062171976694037</v>
      </c>
      <c r="S27">
        <f t="shared" si="7"/>
        <v>0.81592462619442541</v>
      </c>
    </row>
    <row r="28" spans="1:19" x14ac:dyDescent="0.3">
      <c r="A28">
        <v>15.5136</v>
      </c>
      <c r="B28">
        <f t="shared" si="0"/>
        <v>8.002600000000001</v>
      </c>
      <c r="C28">
        <v>299.34500000000003</v>
      </c>
      <c r="D28">
        <v>24.411000000000001</v>
      </c>
      <c r="E28">
        <v>28.888999999999999</v>
      </c>
      <c r="I28">
        <f t="shared" si="1"/>
        <v>0.5323580771193176</v>
      </c>
      <c r="J28">
        <f t="shared" si="2"/>
        <v>0.67241635769652441</v>
      </c>
      <c r="K28" s="4">
        <f t="shared" si="3"/>
        <v>0.88280502748738698</v>
      </c>
      <c r="L28" s="3">
        <f t="shared" si="4"/>
        <v>0.60303018281907506</v>
      </c>
      <c r="M28" s="3">
        <f t="shared" si="5"/>
        <v>0.76168161344791563</v>
      </c>
      <c r="R28">
        <f t="shared" si="6"/>
        <v>0.87838730130886689</v>
      </c>
      <c r="S28">
        <f t="shared" si="7"/>
        <v>0.95632958724954287</v>
      </c>
    </row>
    <row r="29" spans="1:19" x14ac:dyDescent="0.3">
      <c r="A29">
        <v>16.0136</v>
      </c>
      <c r="B29">
        <f t="shared" si="0"/>
        <v>8.502600000000001</v>
      </c>
      <c r="C29">
        <v>297.86200000000002</v>
      </c>
      <c r="D29">
        <v>24.731999999999999</v>
      </c>
      <c r="E29">
        <v>29.018999999999998</v>
      </c>
      <c r="I29">
        <f t="shared" si="1"/>
        <v>0.52972069540802147</v>
      </c>
      <c r="J29">
        <f t="shared" si="2"/>
        <v>0.68125850471305727</v>
      </c>
      <c r="K29" s="4">
        <f t="shared" si="3"/>
        <v>0.88677763483182115</v>
      </c>
      <c r="L29" s="3">
        <f t="shared" si="4"/>
        <v>0.59735459556158499</v>
      </c>
      <c r="M29" s="3">
        <f t="shared" si="5"/>
        <v>0.76824051256351211</v>
      </c>
      <c r="R29">
        <f t="shared" si="6"/>
        <v>0.86448478880611801</v>
      </c>
      <c r="S29">
        <f t="shared" si="7"/>
        <v>1.0051262378207291</v>
      </c>
    </row>
    <row r="30" spans="1:19" x14ac:dyDescent="0.3">
      <c r="A30">
        <v>16.5138</v>
      </c>
      <c r="B30">
        <f t="shared" si="0"/>
        <v>9.0028000000000006</v>
      </c>
      <c r="C30">
        <v>307.517</v>
      </c>
      <c r="D30">
        <v>25.053999999999998</v>
      </c>
      <c r="E30">
        <v>29.352</v>
      </c>
      <c r="I30">
        <f t="shared" si="1"/>
        <v>0.54689124188311544</v>
      </c>
      <c r="J30">
        <f t="shared" si="2"/>
        <v>0.69012819735892506</v>
      </c>
      <c r="K30" s="4">
        <f t="shared" si="3"/>
        <v>0.8969536213371796</v>
      </c>
      <c r="L30" s="3">
        <f t="shared" si="4"/>
        <v>0.60972075798948144</v>
      </c>
      <c r="M30" s="3">
        <f t="shared" si="5"/>
        <v>0.76941346903765329</v>
      </c>
      <c r="R30">
        <f t="shared" si="6"/>
        <v>0.89477605558877027</v>
      </c>
      <c r="S30">
        <f t="shared" si="7"/>
        <v>1.0138527552126151</v>
      </c>
    </row>
    <row r="31" spans="1:19" x14ac:dyDescent="0.3">
      <c r="A31">
        <v>17.013400000000001</v>
      </c>
      <c r="B31">
        <f t="shared" si="0"/>
        <v>9.5024000000000015</v>
      </c>
      <c r="C31">
        <v>308.03399999999999</v>
      </c>
      <c r="D31">
        <v>25.286000000000001</v>
      </c>
      <c r="E31">
        <v>29.155999999999999</v>
      </c>
      <c r="I31">
        <f t="shared" si="1"/>
        <v>0.54781067974200959</v>
      </c>
      <c r="J31">
        <f t="shared" si="2"/>
        <v>0.69651878336464368</v>
      </c>
      <c r="K31" s="4">
        <f t="shared" si="3"/>
        <v>0.89096415180249411</v>
      </c>
      <c r="L31" s="3">
        <f t="shared" si="4"/>
        <v>0.61485153878946008</v>
      </c>
      <c r="M31" s="3">
        <f t="shared" si="5"/>
        <v>0.78175848260059466</v>
      </c>
      <c r="R31">
        <f t="shared" si="6"/>
        <v>0.90734404916977485</v>
      </c>
      <c r="S31">
        <f t="shared" si="7"/>
        <v>1.105696722090374</v>
      </c>
    </row>
    <row r="32" spans="1:19" x14ac:dyDescent="0.3">
      <c r="A32">
        <v>17.5136</v>
      </c>
      <c r="B32">
        <f t="shared" si="0"/>
        <v>10.002600000000001</v>
      </c>
      <c r="C32">
        <v>305.36200000000002</v>
      </c>
      <c r="D32">
        <v>25.161000000000001</v>
      </c>
      <c r="E32">
        <v>29.122</v>
      </c>
      <c r="I32">
        <f t="shared" si="1"/>
        <v>0.54305876879623527</v>
      </c>
      <c r="J32">
        <f t="shared" si="2"/>
        <v>0.69307557969776945</v>
      </c>
      <c r="K32" s="4">
        <f t="shared" si="3"/>
        <v>0.88992516218933448</v>
      </c>
      <c r="L32" s="3">
        <f t="shared" si="4"/>
        <v>0.61022970455205283</v>
      </c>
      <c r="M32" s="3">
        <f t="shared" si="5"/>
        <v>0.77880209386675969</v>
      </c>
      <c r="R32">
        <f t="shared" si="6"/>
        <v>0.89602273467736004</v>
      </c>
      <c r="S32">
        <f t="shared" si="7"/>
        <v>1.0837018925534332</v>
      </c>
    </row>
    <row r="33" spans="1:19" x14ac:dyDescent="0.3">
      <c r="A33">
        <v>18.0136</v>
      </c>
      <c r="B33">
        <f t="shared" si="0"/>
        <v>10.502600000000001</v>
      </c>
      <c r="C33">
        <v>319.983</v>
      </c>
      <c r="D33">
        <v>24.071000000000002</v>
      </c>
      <c r="E33">
        <v>28.126000000000001</v>
      </c>
      <c r="I33">
        <f t="shared" si="1"/>
        <v>0.56906089826411199</v>
      </c>
      <c r="J33">
        <f t="shared" si="2"/>
        <v>0.66305084372262668</v>
      </c>
      <c r="K33" s="4">
        <f t="shared" si="3"/>
        <v>0.85948887822736153</v>
      </c>
      <c r="L33" s="3">
        <f t="shared" si="4"/>
        <v>0.66209221861923584</v>
      </c>
      <c r="M33" s="3">
        <f t="shared" si="5"/>
        <v>0.77144784594551685</v>
      </c>
      <c r="R33">
        <f t="shared" si="6"/>
        <v>1.0230614387852863</v>
      </c>
      <c r="S33">
        <f t="shared" si="7"/>
        <v>1.0289880358982184</v>
      </c>
    </row>
    <row r="34" spans="1:19" x14ac:dyDescent="0.3">
      <c r="A34">
        <v>18.5136</v>
      </c>
      <c r="B34">
        <f t="shared" si="0"/>
        <v>11.002600000000001</v>
      </c>
      <c r="C34">
        <v>312.81</v>
      </c>
      <c r="D34">
        <v>25.356999999999999</v>
      </c>
      <c r="E34">
        <v>29.492999999999999</v>
      </c>
      <c r="I34">
        <f t="shared" si="1"/>
        <v>0.55630436487562418</v>
      </c>
      <c r="J34">
        <f t="shared" si="2"/>
        <v>0.69847452304742808</v>
      </c>
      <c r="K34" s="4">
        <f t="shared" si="3"/>
        <v>0.90126237237998896</v>
      </c>
      <c r="L34" s="3">
        <f t="shared" si="4"/>
        <v>0.61725018365803463</v>
      </c>
      <c r="M34" s="3">
        <f t="shared" si="5"/>
        <v>0.77499576644140455</v>
      </c>
      <c r="R34">
        <f t="shared" si="6"/>
        <v>0.91321959803584218</v>
      </c>
      <c r="S34">
        <f t="shared" si="7"/>
        <v>1.0553837211559018</v>
      </c>
    </row>
    <row r="35" spans="1:19" x14ac:dyDescent="0.3">
      <c r="A35">
        <v>19.0137</v>
      </c>
      <c r="B35">
        <f t="shared" si="0"/>
        <v>11.502700000000001</v>
      </c>
      <c r="C35">
        <v>309.24099999999999</v>
      </c>
      <c r="D35">
        <v>26.5</v>
      </c>
      <c r="E35">
        <v>30.893000000000001</v>
      </c>
      <c r="I35">
        <f t="shared" si="1"/>
        <v>0.54995722035261951</v>
      </c>
      <c r="J35">
        <f t="shared" si="2"/>
        <v>0.72995917737732563</v>
      </c>
      <c r="K35" s="4">
        <f t="shared" si="3"/>
        <v>0.94404429762774222</v>
      </c>
      <c r="L35" s="3">
        <f t="shared" si="4"/>
        <v>0.58255446458877924</v>
      </c>
      <c r="M35" s="3">
        <f t="shared" si="5"/>
        <v>0.77322555648248281</v>
      </c>
      <c r="R35">
        <f t="shared" si="6"/>
        <v>0.82823144680697747</v>
      </c>
      <c r="S35">
        <f t="shared" si="7"/>
        <v>1.042213779786056</v>
      </c>
    </row>
    <row r="36" spans="1:19" x14ac:dyDescent="0.3">
      <c r="A36">
        <v>19.5139</v>
      </c>
      <c r="B36">
        <f t="shared" si="0"/>
        <v>12.0029</v>
      </c>
      <c r="C36">
        <v>305.87900000000002</v>
      </c>
      <c r="D36">
        <v>26.178999999999998</v>
      </c>
      <c r="E36">
        <v>30.541</v>
      </c>
      <c r="I36">
        <f t="shared" si="1"/>
        <v>0.54397820665512953</v>
      </c>
      <c r="J36">
        <f t="shared" si="2"/>
        <v>0.72111703036079267</v>
      </c>
      <c r="K36" s="4">
        <f t="shared" si="3"/>
        <v>0.93328769927973576</v>
      </c>
      <c r="L36" s="3">
        <f t="shared" si="4"/>
        <v>0.58286229109731591</v>
      </c>
      <c r="M36" s="3">
        <f t="shared" si="5"/>
        <v>0.77266316797844259</v>
      </c>
      <c r="R36">
        <f t="shared" si="6"/>
        <v>0.82898547659974664</v>
      </c>
      <c r="S36">
        <f t="shared" si="7"/>
        <v>1.0380297429784695</v>
      </c>
    </row>
    <row r="37" spans="1:19" x14ac:dyDescent="0.3">
      <c r="A37">
        <v>20.013300000000001</v>
      </c>
      <c r="B37">
        <f t="shared" si="0"/>
        <v>12.502300000000002</v>
      </c>
      <c r="C37">
        <v>312.983</v>
      </c>
      <c r="D37">
        <v>26.696000000000002</v>
      </c>
      <c r="E37">
        <v>30.919</v>
      </c>
      <c r="I37">
        <f t="shared" si="1"/>
        <v>0.5566120297684457</v>
      </c>
      <c r="J37">
        <f t="shared" si="2"/>
        <v>0.73535812072698437</v>
      </c>
      <c r="K37" s="4">
        <f t="shared" si="3"/>
        <v>0.94483881909662915</v>
      </c>
      <c r="L37" s="3">
        <f t="shared" si="4"/>
        <v>0.58910791821681141</v>
      </c>
      <c r="M37" s="3">
        <f t="shared" si="5"/>
        <v>0.77828948796797792</v>
      </c>
      <c r="R37">
        <f t="shared" si="6"/>
        <v>0.8442843179666385</v>
      </c>
      <c r="S37">
        <f t="shared" si="7"/>
        <v>1.0798882264971732</v>
      </c>
    </row>
    <row r="38" spans="1:19" x14ac:dyDescent="0.3">
      <c r="A38">
        <v>20.5139</v>
      </c>
      <c r="B38">
        <f t="shared" si="0"/>
        <v>13.0029</v>
      </c>
      <c r="C38">
        <v>325.86200000000002</v>
      </c>
      <c r="D38">
        <v>25.161000000000001</v>
      </c>
      <c r="E38">
        <v>29.943999999999999</v>
      </c>
      <c r="I38">
        <f t="shared" si="1"/>
        <v>0.57951616939068662</v>
      </c>
      <c r="J38">
        <f t="shared" si="2"/>
        <v>0.69307557969776945</v>
      </c>
      <c r="K38" s="4">
        <f t="shared" si="3"/>
        <v>0.91504426401337235</v>
      </c>
      <c r="L38" s="3">
        <f t="shared" si="4"/>
        <v>0.63332036731090602</v>
      </c>
      <c r="M38" s="3">
        <f t="shared" si="5"/>
        <v>0.75742300886948233</v>
      </c>
      <c r="R38">
        <f t="shared" si="6"/>
        <v>0.95258397021788765</v>
      </c>
      <c r="S38">
        <f t="shared" si="7"/>
        <v>0.92464658132549671</v>
      </c>
    </row>
    <row r="39" spans="1:19" x14ac:dyDescent="0.3">
      <c r="A39">
        <v>21.013300000000001</v>
      </c>
      <c r="B39">
        <f t="shared" si="0"/>
        <v>13.502300000000002</v>
      </c>
      <c r="C39">
        <v>314.79300000000001</v>
      </c>
      <c r="D39">
        <v>25.696000000000002</v>
      </c>
      <c r="E39">
        <v>30.111000000000001</v>
      </c>
      <c r="I39">
        <f t="shared" si="1"/>
        <v>0.55983095147946793</v>
      </c>
      <c r="J39">
        <f t="shared" si="2"/>
        <v>0.70781249139199098</v>
      </c>
      <c r="K39" s="4">
        <f t="shared" si="3"/>
        <v>0.92014753652506875</v>
      </c>
      <c r="L39" s="3">
        <f t="shared" si="4"/>
        <v>0.60841433493770569</v>
      </c>
      <c r="M39" s="3">
        <f t="shared" si="5"/>
        <v>0.76923804422173458</v>
      </c>
      <c r="R39">
        <f t="shared" si="6"/>
        <v>0.89157593514533551</v>
      </c>
      <c r="S39">
        <f t="shared" si="7"/>
        <v>1.0125476362752701</v>
      </c>
    </row>
    <row r="40" spans="1:19" x14ac:dyDescent="0.3">
      <c r="A40">
        <v>21.514199999999999</v>
      </c>
      <c r="B40">
        <f t="shared" si="0"/>
        <v>14.0032</v>
      </c>
      <c r="C40">
        <v>311.017</v>
      </c>
      <c r="D40">
        <v>25.106999999999999</v>
      </c>
      <c r="E40">
        <v>29.236999999999998</v>
      </c>
      <c r="I40">
        <f t="shared" si="1"/>
        <v>0.55311567613094859</v>
      </c>
      <c r="J40">
        <f t="shared" si="2"/>
        <v>0.69158811571367973</v>
      </c>
      <c r="K40" s="4">
        <f t="shared" si="3"/>
        <v>0.89343939176325704</v>
      </c>
      <c r="L40" s="3">
        <f t="shared" si="4"/>
        <v>0.61908583976730769</v>
      </c>
      <c r="M40" s="3">
        <f t="shared" si="5"/>
        <v>0.77407390147504962</v>
      </c>
      <c r="R40">
        <f t="shared" si="6"/>
        <v>0.9177160899144996</v>
      </c>
      <c r="S40">
        <f t="shared" si="7"/>
        <v>1.0485252649052068</v>
      </c>
    </row>
    <row r="41" spans="1:19" x14ac:dyDescent="0.3">
      <c r="A41">
        <v>22.0137</v>
      </c>
      <c r="B41">
        <f t="shared" si="0"/>
        <v>14.502700000000001</v>
      </c>
      <c r="C41">
        <v>313.75900000000001</v>
      </c>
      <c r="D41">
        <v>25.696000000000002</v>
      </c>
      <c r="E41">
        <v>29.937000000000001</v>
      </c>
      <c r="I41">
        <f t="shared" si="1"/>
        <v>0.55799207576167953</v>
      </c>
      <c r="J41">
        <f t="shared" si="2"/>
        <v>0.70781249139199098</v>
      </c>
      <c r="K41" s="4">
        <f t="shared" si="3"/>
        <v>0.91483035438713367</v>
      </c>
      <c r="L41" s="3">
        <f t="shared" si="4"/>
        <v>0.60994049124604255</v>
      </c>
      <c r="M41" s="3">
        <f t="shared" si="5"/>
        <v>0.77370901391457569</v>
      </c>
      <c r="R41">
        <f t="shared" si="6"/>
        <v>0.89531429845387267</v>
      </c>
      <c r="S41">
        <f t="shared" si="7"/>
        <v>1.0458105881778459</v>
      </c>
    </row>
    <row r="42" spans="1:19" x14ac:dyDescent="0.3">
      <c r="A42">
        <v>22.5139</v>
      </c>
      <c r="B42">
        <f t="shared" si="0"/>
        <v>15.0029</v>
      </c>
      <c r="C42">
        <v>317.56900000000002</v>
      </c>
      <c r="D42">
        <v>25.375</v>
      </c>
      <c r="E42">
        <v>29.832999999999998</v>
      </c>
      <c r="I42">
        <f t="shared" si="1"/>
        <v>0.56476781704289225</v>
      </c>
      <c r="J42">
        <f t="shared" si="2"/>
        <v>0.69897034437545802</v>
      </c>
      <c r="K42" s="4">
        <f t="shared" si="3"/>
        <v>0.91165226851158621</v>
      </c>
      <c r="L42" s="3">
        <f t="shared" si="4"/>
        <v>0.61949916272896832</v>
      </c>
      <c r="M42" s="3">
        <f t="shared" si="5"/>
        <v>0.76670718487503531</v>
      </c>
      <c r="R42">
        <f t="shared" si="6"/>
        <v>0.91872853627140783</v>
      </c>
      <c r="S42">
        <f t="shared" si="7"/>
        <v>0.99371864424335432</v>
      </c>
    </row>
    <row r="43" spans="1:19" x14ac:dyDescent="0.3">
      <c r="A43">
        <v>23.013300000000001</v>
      </c>
      <c r="B43">
        <f t="shared" si="0"/>
        <v>15.502300000000002</v>
      </c>
      <c r="C43">
        <v>312.53399999999999</v>
      </c>
      <c r="D43">
        <v>24.446000000000002</v>
      </c>
      <c r="E43">
        <v>28.837</v>
      </c>
      <c r="I43">
        <f t="shared" si="1"/>
        <v>0.55581352377493787</v>
      </c>
      <c r="J43">
        <f t="shared" si="2"/>
        <v>0.67338045472324914</v>
      </c>
      <c r="K43" s="4">
        <f t="shared" si="3"/>
        <v>0.88121598454961325</v>
      </c>
      <c r="L43" s="3">
        <f t="shared" si="4"/>
        <v>0.63073472737675362</v>
      </c>
      <c r="M43" s="3">
        <f t="shared" si="5"/>
        <v>0.76414916039841452</v>
      </c>
      <c r="R43">
        <f t="shared" si="6"/>
        <v>0.94625037161719283</v>
      </c>
      <c r="S43">
        <f t="shared" si="7"/>
        <v>0.9746875501011395</v>
      </c>
    </row>
    <row r="44" spans="1:19" x14ac:dyDescent="0.3">
      <c r="A44">
        <v>23.5138</v>
      </c>
      <c r="B44">
        <f t="shared" si="0"/>
        <v>16.002800000000001</v>
      </c>
      <c r="C44">
        <v>316.86200000000002</v>
      </c>
      <c r="D44">
        <v>25.321000000000002</v>
      </c>
      <c r="E44">
        <v>29.878</v>
      </c>
      <c r="I44">
        <f t="shared" si="1"/>
        <v>0.56351048132482995</v>
      </c>
      <c r="J44">
        <f t="shared" si="2"/>
        <v>0.69748288039136841</v>
      </c>
      <c r="K44" s="4">
        <f t="shared" si="3"/>
        <v>0.91302740182312114</v>
      </c>
      <c r="L44" s="3">
        <f t="shared" si="4"/>
        <v>0.61718901338516197</v>
      </c>
      <c r="M44" s="3">
        <f t="shared" si="5"/>
        <v>0.76392327218070755</v>
      </c>
      <c r="R44">
        <f t="shared" si="6"/>
        <v>0.9130697597116606</v>
      </c>
      <c r="S44">
        <f t="shared" si="7"/>
        <v>0.97300699544809044</v>
      </c>
    </row>
    <row r="45" spans="1:19" x14ac:dyDescent="0.3">
      <c r="A45">
        <v>24.0138</v>
      </c>
      <c r="B45">
        <f t="shared" si="0"/>
        <v>16.502800000000001</v>
      </c>
      <c r="C45">
        <v>323.89699999999999</v>
      </c>
      <c r="D45">
        <v>26.338999999999999</v>
      </c>
      <c r="E45">
        <v>30.515000000000001</v>
      </c>
      <c r="I45">
        <f t="shared" si="1"/>
        <v>0.57602159416297449</v>
      </c>
      <c r="J45">
        <f t="shared" si="2"/>
        <v>0.72552433105439162</v>
      </c>
      <c r="K45" s="4">
        <f t="shared" si="3"/>
        <v>0.93249317781084895</v>
      </c>
      <c r="L45" s="3">
        <f t="shared" si="4"/>
        <v>0.61772204651969831</v>
      </c>
      <c r="M45" s="3">
        <f t="shared" si="5"/>
        <v>0.77804787028861266</v>
      </c>
      <c r="R45">
        <f t="shared" si="6"/>
        <v>0.91437543954373279</v>
      </c>
      <c r="S45">
        <f t="shared" si="7"/>
        <v>1.0780906483877963</v>
      </c>
    </row>
    <row r="46" spans="1:19" x14ac:dyDescent="0.3">
      <c r="A46">
        <v>24.5139</v>
      </c>
      <c r="B46">
        <f t="shared" si="0"/>
        <v>17.0029</v>
      </c>
      <c r="C46">
        <v>324.017</v>
      </c>
      <c r="D46">
        <v>26.196000000000002</v>
      </c>
      <c r="E46">
        <v>30.619</v>
      </c>
      <c r="I46">
        <f t="shared" si="1"/>
        <v>0.57623500333718591</v>
      </c>
      <c r="J46">
        <f t="shared" si="2"/>
        <v>0.72158530605948767</v>
      </c>
      <c r="K46" s="4">
        <f t="shared" si="3"/>
        <v>0.9356712636863963</v>
      </c>
      <c r="L46" s="3">
        <f t="shared" si="4"/>
        <v>0.61585198317078949</v>
      </c>
      <c r="M46" s="3">
        <f t="shared" si="5"/>
        <v>0.77119532688922821</v>
      </c>
      <c r="R46">
        <f t="shared" si="6"/>
        <v>0.90979466615242832</v>
      </c>
      <c r="S46">
        <f t="shared" si="7"/>
        <v>1.0271093541354541</v>
      </c>
    </row>
    <row r="47" spans="1:19" x14ac:dyDescent="0.3">
      <c r="A47">
        <v>25.013400000000001</v>
      </c>
      <c r="B47">
        <f t="shared" si="0"/>
        <v>17.502400000000002</v>
      </c>
      <c r="C47">
        <v>329.15499999999997</v>
      </c>
      <c r="D47">
        <v>26.606999999999999</v>
      </c>
      <c r="E47">
        <v>30.837</v>
      </c>
      <c r="I47">
        <f t="shared" si="1"/>
        <v>0.58537247281300497</v>
      </c>
      <c r="J47">
        <f t="shared" si="2"/>
        <v>0.73290655971616991</v>
      </c>
      <c r="K47" s="4">
        <f t="shared" si="3"/>
        <v>0.94233302061783208</v>
      </c>
      <c r="L47" s="3">
        <f t="shared" si="4"/>
        <v>0.6211949066893685</v>
      </c>
      <c r="M47" s="3">
        <f t="shared" si="5"/>
        <v>0.77775748454155447</v>
      </c>
      <c r="R47">
        <f t="shared" si="6"/>
        <v>0.92288230935978943</v>
      </c>
      <c r="S47">
        <f t="shared" si="7"/>
        <v>1.0759302474454557</v>
      </c>
    </row>
    <row r="48" spans="1:19" x14ac:dyDescent="0.3">
      <c r="A48">
        <v>25.5136</v>
      </c>
      <c r="B48">
        <f t="shared" si="0"/>
        <v>18.002600000000001</v>
      </c>
      <c r="C48">
        <v>323.56900000000002</v>
      </c>
      <c r="D48">
        <v>24.893000000000001</v>
      </c>
      <c r="E48">
        <v>29.007000000000001</v>
      </c>
      <c r="I48">
        <f t="shared" si="1"/>
        <v>0.57543827575346329</v>
      </c>
      <c r="J48">
        <f t="shared" si="2"/>
        <v>0.68569335103599116</v>
      </c>
      <c r="K48" s="4">
        <f t="shared" si="3"/>
        <v>0.88641093261541193</v>
      </c>
      <c r="L48" s="3">
        <f t="shared" si="4"/>
        <v>0.64917777362650075</v>
      </c>
      <c r="M48" s="3">
        <f t="shared" si="5"/>
        <v>0.77356147787213003</v>
      </c>
      <c r="R48">
        <f t="shared" si="6"/>
        <v>0.99142713825706918</v>
      </c>
      <c r="S48">
        <f t="shared" si="7"/>
        <v>1.0447129550868355</v>
      </c>
    </row>
    <row r="49" spans="1:19" x14ac:dyDescent="0.3">
      <c r="A49">
        <v>26.013500000000001</v>
      </c>
      <c r="B49">
        <f t="shared" si="0"/>
        <v>18.502500000000001</v>
      </c>
      <c r="C49">
        <v>326.63799999999998</v>
      </c>
      <c r="D49">
        <v>26.428999999999998</v>
      </c>
      <c r="E49">
        <v>30.806999999999999</v>
      </c>
      <c r="I49">
        <f t="shared" si="1"/>
        <v>0.58089621538392033</v>
      </c>
      <c r="J49">
        <f t="shared" si="2"/>
        <v>0.72800343769454101</v>
      </c>
      <c r="K49" s="4">
        <f t="shared" si="3"/>
        <v>0.94141626507680876</v>
      </c>
      <c r="L49" s="3">
        <f t="shared" si="4"/>
        <v>0.61704501710146875</v>
      </c>
      <c r="M49" s="3">
        <f t="shared" si="5"/>
        <v>0.77330662821631224</v>
      </c>
      <c r="R49">
        <f t="shared" si="6"/>
        <v>0.91271703671691629</v>
      </c>
      <c r="S49">
        <f t="shared" si="7"/>
        <v>1.0428169342174862</v>
      </c>
    </row>
    <row r="50" spans="1:19" x14ac:dyDescent="0.3">
      <c r="A50">
        <v>26.5137</v>
      </c>
      <c r="B50">
        <f t="shared" si="0"/>
        <v>19.002700000000001</v>
      </c>
      <c r="C50">
        <v>329.86200000000002</v>
      </c>
      <c r="D50">
        <v>26.946000000000002</v>
      </c>
      <c r="E50">
        <v>31.321999999999999</v>
      </c>
      <c r="I50">
        <f t="shared" si="1"/>
        <v>0.58662980853106728</v>
      </c>
      <c r="J50">
        <f t="shared" si="2"/>
        <v>0.74224452806073271</v>
      </c>
      <c r="K50" s="4">
        <f t="shared" si="3"/>
        <v>0.95715390186437521</v>
      </c>
      <c r="L50" s="3">
        <f t="shared" si="4"/>
        <v>0.6128897425883244</v>
      </c>
      <c r="M50" s="3">
        <f t="shared" si="5"/>
        <v>0.77547040931971845</v>
      </c>
      <c r="R50">
        <f t="shared" si="6"/>
        <v>0.90253857354641254</v>
      </c>
      <c r="S50">
        <f t="shared" si="7"/>
        <v>1.0589149513625244</v>
      </c>
    </row>
    <row r="51" spans="1:19" x14ac:dyDescent="0.3">
      <c r="A51">
        <v>27.0137</v>
      </c>
      <c r="B51">
        <f t="shared" si="0"/>
        <v>19.502700000000001</v>
      </c>
      <c r="C51">
        <v>327.517</v>
      </c>
      <c r="D51">
        <v>26.928999999999998</v>
      </c>
      <c r="E51">
        <v>31.280999999999999</v>
      </c>
      <c r="I51">
        <f t="shared" si="1"/>
        <v>0.58245943758501906</v>
      </c>
      <c r="J51">
        <f t="shared" si="2"/>
        <v>0.7417762523620377</v>
      </c>
      <c r="K51" s="4">
        <f t="shared" si="3"/>
        <v>0.95590100262497668</v>
      </c>
      <c r="L51" s="3">
        <f t="shared" si="4"/>
        <v>0.60933029255701299</v>
      </c>
      <c r="M51" s="3">
        <f t="shared" si="5"/>
        <v>0.77599693935361913</v>
      </c>
      <c r="R51">
        <f t="shared" si="6"/>
        <v>0.89381959940009659</v>
      </c>
      <c r="S51">
        <f t="shared" si="7"/>
        <v>1.0628322096747298</v>
      </c>
    </row>
    <row r="52" spans="1:19" x14ac:dyDescent="0.3">
      <c r="A52">
        <v>27.5137</v>
      </c>
      <c r="B52">
        <f t="shared" si="0"/>
        <v>20.002700000000001</v>
      </c>
      <c r="C52">
        <v>325.81</v>
      </c>
      <c r="D52">
        <v>25.213999999999999</v>
      </c>
      <c r="E52">
        <v>29.233000000000001</v>
      </c>
      <c r="I52">
        <f t="shared" si="1"/>
        <v>0.57942369208186162</v>
      </c>
      <c r="J52">
        <f t="shared" si="2"/>
        <v>0.69453549805252401</v>
      </c>
      <c r="K52" s="4">
        <f t="shared" si="3"/>
        <v>0.89331715769112063</v>
      </c>
      <c r="L52" s="3">
        <f t="shared" si="4"/>
        <v>0.64862035514849814</v>
      </c>
      <c r="M52" s="3">
        <f t="shared" si="5"/>
        <v>0.77747918762428081</v>
      </c>
      <c r="R52">
        <f t="shared" si="6"/>
        <v>0.99006172583221963</v>
      </c>
      <c r="S52">
        <f t="shared" si="7"/>
        <v>1.0738597845235687</v>
      </c>
    </row>
    <row r="53" spans="1:19" x14ac:dyDescent="0.3">
      <c r="A53">
        <v>28.0138</v>
      </c>
      <c r="B53">
        <f t="shared" si="0"/>
        <v>20.502800000000001</v>
      </c>
      <c r="C53">
        <v>328.41399999999999</v>
      </c>
      <c r="D53">
        <v>26.303999999999998</v>
      </c>
      <c r="E53">
        <v>30.456</v>
      </c>
      <c r="I53">
        <f t="shared" si="1"/>
        <v>0.58405467116224941</v>
      </c>
      <c r="J53">
        <f t="shared" si="2"/>
        <v>0.72456023402766689</v>
      </c>
      <c r="K53" s="4">
        <f t="shared" si="3"/>
        <v>0.93069022524683642</v>
      </c>
      <c r="L53" s="3">
        <f t="shared" si="4"/>
        <v>0.62755002182100628</v>
      </c>
      <c r="M53" s="3">
        <f t="shared" si="5"/>
        <v>0.77851922623932146</v>
      </c>
      <c r="R53">
        <f t="shared" si="6"/>
        <v>0.93844934472822716</v>
      </c>
      <c r="S53">
        <f t="shared" si="7"/>
        <v>1.081597424634239</v>
      </c>
    </row>
    <row r="54" spans="1:19" x14ac:dyDescent="0.3">
      <c r="A54">
        <v>28.5138</v>
      </c>
      <c r="B54">
        <f t="shared" si="0"/>
        <v>21.002800000000001</v>
      </c>
      <c r="C54">
        <v>326.72399999999999</v>
      </c>
      <c r="D54">
        <v>24.981999999999999</v>
      </c>
      <c r="E54">
        <v>29.352</v>
      </c>
      <c r="I54">
        <f t="shared" si="1"/>
        <v>0.5810491586254386</v>
      </c>
      <c r="J54">
        <f t="shared" si="2"/>
        <v>0.68814491204680561</v>
      </c>
      <c r="K54" s="4">
        <f t="shared" si="3"/>
        <v>0.8969536213371796</v>
      </c>
      <c r="L54" s="3">
        <f t="shared" si="4"/>
        <v>0.64780290173666921</v>
      </c>
      <c r="M54" s="3">
        <f t="shared" si="5"/>
        <v>0.76720233429786289</v>
      </c>
      <c r="R54">
        <f t="shared" si="6"/>
        <v>0.98805935043690374</v>
      </c>
      <c r="S54">
        <f t="shared" si="7"/>
        <v>0.99740243826738317</v>
      </c>
    </row>
    <row r="55" spans="1:19" x14ac:dyDescent="0.3">
      <c r="A55">
        <v>29.0138</v>
      </c>
      <c r="B55">
        <f t="shared" si="0"/>
        <v>21.502800000000001</v>
      </c>
      <c r="C55">
        <v>342.15499999999997</v>
      </c>
      <c r="D55">
        <v>26.25</v>
      </c>
      <c r="E55">
        <v>30.407</v>
      </c>
      <c r="I55">
        <f t="shared" si="1"/>
        <v>0.6084918000192423</v>
      </c>
      <c r="J55">
        <f t="shared" si="2"/>
        <v>0.72307277004357728</v>
      </c>
      <c r="K55" s="4">
        <f t="shared" si="3"/>
        <v>0.92919285786316508</v>
      </c>
      <c r="L55" s="3">
        <f t="shared" si="4"/>
        <v>0.65486060818264502</v>
      </c>
      <c r="M55" s="3">
        <f t="shared" si="5"/>
        <v>0.77817297445269273</v>
      </c>
      <c r="R55">
        <f t="shared" si="6"/>
        <v>1.0053474032241145</v>
      </c>
      <c r="S55">
        <f t="shared" si="7"/>
        <v>1.0790213936351352</v>
      </c>
    </row>
    <row r="56" spans="1:19" x14ac:dyDescent="0.3">
      <c r="A56">
        <v>29.513999999999999</v>
      </c>
      <c r="B56">
        <f t="shared" si="0"/>
        <v>22.003</v>
      </c>
      <c r="C56">
        <v>325.77600000000001</v>
      </c>
      <c r="D56">
        <v>25.553999999999998</v>
      </c>
      <c r="E56">
        <v>29.588999999999999</v>
      </c>
      <c r="I56">
        <f t="shared" si="1"/>
        <v>0.57936322614916835</v>
      </c>
      <c r="J56">
        <f t="shared" si="2"/>
        <v>0.70390101202642175</v>
      </c>
      <c r="K56" s="4">
        <f t="shared" si="3"/>
        <v>0.9041959901112635</v>
      </c>
      <c r="L56" s="3">
        <f t="shared" si="4"/>
        <v>0.64074960792280922</v>
      </c>
      <c r="M56" s="3">
        <f t="shared" si="5"/>
        <v>0.77848278440142715</v>
      </c>
      <c r="R56">
        <f t="shared" si="6"/>
        <v>0.97078210651763497</v>
      </c>
      <c r="S56">
        <f t="shared" si="7"/>
        <v>1.0813263060214107</v>
      </c>
    </row>
    <row r="57" spans="1:19" x14ac:dyDescent="0.3">
      <c r="A57">
        <v>30.0136</v>
      </c>
      <c r="B57">
        <f t="shared" si="0"/>
        <v>22.502600000000001</v>
      </c>
      <c r="C57">
        <v>340.96600000000001</v>
      </c>
      <c r="D57">
        <v>25.411000000000001</v>
      </c>
      <c r="E57">
        <v>29.526</v>
      </c>
      <c r="I57">
        <f t="shared" si="1"/>
        <v>0.60637727078476422</v>
      </c>
      <c r="J57">
        <f t="shared" si="2"/>
        <v>0.6999619870315178</v>
      </c>
      <c r="K57" s="4">
        <f t="shared" si="3"/>
        <v>0.90227080347511468</v>
      </c>
      <c r="L57" s="3">
        <f t="shared" si="4"/>
        <v>0.67205684640275365</v>
      </c>
      <c r="M57" s="3">
        <f t="shared" si="5"/>
        <v>0.77577816364621321</v>
      </c>
      <c r="R57">
        <f t="shared" si="6"/>
        <v>1.047470078113802</v>
      </c>
      <c r="S57">
        <f t="shared" si="7"/>
        <v>1.0612045704078954</v>
      </c>
    </row>
    <row r="58" spans="1:19" x14ac:dyDescent="0.3">
      <c r="A58">
        <v>30.5138</v>
      </c>
      <c r="B58">
        <f t="shared" si="0"/>
        <v>23.002800000000001</v>
      </c>
      <c r="C58">
        <v>333.43099999999998</v>
      </c>
      <c r="D58">
        <v>26.75</v>
      </c>
      <c r="E58">
        <v>31.219000000000001</v>
      </c>
      <c r="I58">
        <f t="shared" si="1"/>
        <v>0.59297695305407194</v>
      </c>
      <c r="J58">
        <f t="shared" si="2"/>
        <v>0.73684558471107398</v>
      </c>
      <c r="K58" s="4">
        <f t="shared" si="3"/>
        <v>0.95400637450686199</v>
      </c>
      <c r="L58" s="3">
        <f t="shared" si="4"/>
        <v>0.62156497996209858</v>
      </c>
      <c r="M58" s="3">
        <f t="shared" si="5"/>
        <v>0.77236966586513511</v>
      </c>
      <c r="R58">
        <f t="shared" si="6"/>
        <v>0.92378881437286509</v>
      </c>
      <c r="S58">
        <f t="shared" si="7"/>
        <v>1.0358461570118989</v>
      </c>
    </row>
    <row r="59" spans="1:19" x14ac:dyDescent="0.3">
      <c r="A59">
        <v>31.0138</v>
      </c>
      <c r="B59">
        <f t="shared" si="0"/>
        <v>23.502800000000001</v>
      </c>
      <c r="C59">
        <v>335.517</v>
      </c>
      <c r="D59">
        <v>24.981999999999999</v>
      </c>
      <c r="E59">
        <v>29.196000000000002</v>
      </c>
      <c r="I59">
        <f t="shared" si="1"/>
        <v>0.59668671586578048</v>
      </c>
      <c r="J59">
        <f t="shared" si="2"/>
        <v>0.68814491204680561</v>
      </c>
      <c r="K59" s="4">
        <f t="shared" si="3"/>
        <v>0.89218649252385862</v>
      </c>
      <c r="L59" s="3">
        <f t="shared" si="4"/>
        <v>0.66879147001861161</v>
      </c>
      <c r="M59" s="3">
        <f t="shared" si="5"/>
        <v>0.77130164804462498</v>
      </c>
      <c r="R59">
        <f t="shared" si="6"/>
        <v>1.0394714457349579</v>
      </c>
      <c r="S59">
        <f t="shared" si="7"/>
        <v>1.0279003582623332</v>
      </c>
    </row>
    <row r="60" spans="1:19" x14ac:dyDescent="0.3">
      <c r="A60">
        <v>31.5139</v>
      </c>
      <c r="B60">
        <f t="shared" si="0"/>
        <v>24.0029</v>
      </c>
      <c r="C60">
        <v>337.63799999999998</v>
      </c>
      <c r="D60">
        <v>27</v>
      </c>
      <c r="E60">
        <v>31.704000000000001</v>
      </c>
      <c r="I60">
        <f t="shared" si="1"/>
        <v>0.60045872301996739</v>
      </c>
      <c r="J60">
        <f t="shared" si="2"/>
        <v>0.74373199204482232</v>
      </c>
      <c r="K60" s="4">
        <f t="shared" si="3"/>
        <v>0.968827255753405</v>
      </c>
      <c r="L60" s="3">
        <f t="shared" si="4"/>
        <v>0.61977893319384669</v>
      </c>
      <c r="M60" s="3">
        <f t="shared" si="5"/>
        <v>0.76766212720394811</v>
      </c>
      <c r="R60">
        <f t="shared" si="6"/>
        <v>0.91941384198681875</v>
      </c>
      <c r="S60">
        <f t="shared" si="7"/>
        <v>1.0008231882100067</v>
      </c>
    </row>
    <row r="61" spans="1:19" x14ac:dyDescent="0.3">
      <c r="A61">
        <v>32.013300000000001</v>
      </c>
      <c r="B61">
        <f t="shared" si="0"/>
        <v>24.502300000000002</v>
      </c>
      <c r="C61">
        <v>335.62099999999998</v>
      </c>
      <c r="D61">
        <v>26.678999999999998</v>
      </c>
      <c r="E61">
        <v>31.111000000000001</v>
      </c>
      <c r="I61">
        <f t="shared" si="1"/>
        <v>0.59687167048343037</v>
      </c>
      <c r="J61">
        <f t="shared" si="2"/>
        <v>0.73488984502828936</v>
      </c>
      <c r="K61" s="4">
        <f t="shared" si="3"/>
        <v>0.95070605455917812</v>
      </c>
      <c r="L61" s="3">
        <f t="shared" si="4"/>
        <v>0.62781936395701921</v>
      </c>
      <c r="M61" s="3">
        <f t="shared" si="5"/>
        <v>0.77299375711774754</v>
      </c>
      <c r="R61">
        <f t="shared" si="6"/>
        <v>0.93910910595531349</v>
      </c>
      <c r="S61">
        <f t="shared" si="7"/>
        <v>1.0404892476040146</v>
      </c>
    </row>
    <row r="62" spans="1:19" x14ac:dyDescent="0.3">
      <c r="A62">
        <v>32.514099999999999</v>
      </c>
      <c r="B62">
        <f t="shared" si="0"/>
        <v>25.0031</v>
      </c>
      <c r="C62">
        <v>343.483</v>
      </c>
      <c r="D62">
        <v>24.231999999999999</v>
      </c>
      <c r="E62">
        <v>28.648</v>
      </c>
      <c r="I62">
        <f t="shared" si="1"/>
        <v>0.61085352821384875</v>
      </c>
      <c r="J62">
        <f t="shared" si="2"/>
        <v>0.66748569004556046</v>
      </c>
      <c r="K62" s="4">
        <f t="shared" si="3"/>
        <v>0.87544042464116656</v>
      </c>
      <c r="L62" s="3">
        <f t="shared" si="4"/>
        <v>0.69776710215801485</v>
      </c>
      <c r="M62" s="3">
        <f t="shared" si="5"/>
        <v>0.76245701164548751</v>
      </c>
      <c r="R62">
        <f t="shared" si="6"/>
        <v>1.1104480812472539</v>
      </c>
      <c r="S62">
        <f t="shared" si="7"/>
        <v>0.96209836555114381</v>
      </c>
    </row>
    <row r="63" spans="1:19" x14ac:dyDescent="0.3">
      <c r="A63">
        <v>33.0137</v>
      </c>
      <c r="B63">
        <f t="shared" si="0"/>
        <v>25.502700000000001</v>
      </c>
      <c r="C63">
        <v>329.34500000000003</v>
      </c>
      <c r="D63">
        <v>25.588999999999999</v>
      </c>
      <c r="E63">
        <v>29.992999999999999</v>
      </c>
      <c r="I63">
        <f t="shared" si="1"/>
        <v>0.58571037067217313</v>
      </c>
      <c r="J63">
        <f t="shared" si="2"/>
        <v>0.70486510905314659</v>
      </c>
      <c r="K63" s="4">
        <f t="shared" si="3"/>
        <v>0.9165416313970437</v>
      </c>
      <c r="L63" s="3">
        <f t="shared" si="4"/>
        <v>0.63904393494859679</v>
      </c>
      <c r="M63" s="3">
        <f t="shared" si="5"/>
        <v>0.76904865519174725</v>
      </c>
      <c r="R63">
        <f t="shared" si="6"/>
        <v>0.9666040120273609</v>
      </c>
      <c r="S63">
        <f t="shared" si="7"/>
        <v>1.0111386269041194</v>
      </c>
    </row>
    <row r="64" spans="1:19" x14ac:dyDescent="0.3">
      <c r="A64">
        <v>33.514099999999999</v>
      </c>
      <c r="B64">
        <f t="shared" si="0"/>
        <v>26.0031</v>
      </c>
      <c r="C64">
        <v>337.91399999999999</v>
      </c>
      <c r="D64">
        <v>24.678999999999998</v>
      </c>
      <c r="E64">
        <v>29.925999999999998</v>
      </c>
      <c r="I64">
        <f t="shared" si="1"/>
        <v>0.6009495641206537</v>
      </c>
      <c r="J64">
        <f t="shared" si="2"/>
        <v>0.67979858635830259</v>
      </c>
      <c r="K64" s="4">
        <f t="shared" si="3"/>
        <v>0.91449421068875836</v>
      </c>
      <c r="L64" s="3">
        <f t="shared" si="4"/>
        <v>0.65713872990846378</v>
      </c>
      <c r="M64" s="3">
        <f t="shared" si="5"/>
        <v>0.74336018578653118</v>
      </c>
      <c r="R64">
        <f t="shared" si="6"/>
        <v>1.0109277272221611</v>
      </c>
      <c r="S64">
        <f t="shared" si="7"/>
        <v>0.82002251988942243</v>
      </c>
    </row>
    <row r="65" spans="1:19" x14ac:dyDescent="0.3">
      <c r="A65">
        <v>34.013500000000001</v>
      </c>
      <c r="B65">
        <f t="shared" si="0"/>
        <v>26.502500000000001</v>
      </c>
      <c r="C65">
        <v>336.70699999999999</v>
      </c>
      <c r="D65">
        <v>27.963999999999999</v>
      </c>
      <c r="E65">
        <v>32.685000000000002</v>
      </c>
      <c r="I65">
        <f t="shared" si="1"/>
        <v>0.59880302351004377</v>
      </c>
      <c r="J65">
        <f t="shared" si="2"/>
        <v>0.77028597872375593</v>
      </c>
      <c r="K65" s="4">
        <f t="shared" si="3"/>
        <v>0.99880516194486635</v>
      </c>
      <c r="L65" s="3">
        <f t="shared" si="4"/>
        <v>0.59951935204665818</v>
      </c>
      <c r="M65" s="3">
        <f t="shared" si="5"/>
        <v>0.7712074467295108</v>
      </c>
      <c r="R65">
        <f t="shared" si="6"/>
        <v>0.869787421420817</v>
      </c>
      <c r="S65">
        <f t="shared" si="7"/>
        <v>1.0271995228666428</v>
      </c>
    </row>
    <row r="66" spans="1:19" x14ac:dyDescent="0.3">
      <c r="A66">
        <v>34.513599999999997</v>
      </c>
      <c r="B66">
        <f t="shared" si="0"/>
        <v>27.002599999999997</v>
      </c>
      <c r="C66">
        <v>341.43099999999998</v>
      </c>
      <c r="D66">
        <v>26.338999999999999</v>
      </c>
      <c r="E66">
        <v>30.504000000000001</v>
      </c>
      <c r="I66">
        <f t="shared" si="1"/>
        <v>0.60720423133483337</v>
      </c>
      <c r="J66">
        <f t="shared" si="2"/>
        <v>0.72552433105439162</v>
      </c>
      <c r="K66" s="4">
        <f t="shared" si="3"/>
        <v>0.93215703411247375</v>
      </c>
      <c r="L66" s="3">
        <f t="shared" si="4"/>
        <v>0.65139693111146801</v>
      </c>
      <c r="M66" s="3">
        <f t="shared" si="5"/>
        <v>0.77832844092109277</v>
      </c>
      <c r="R66">
        <f t="shared" si="6"/>
        <v>0.99686302766914903</v>
      </c>
      <c r="S66">
        <f t="shared" si="7"/>
        <v>1.0801780272104273</v>
      </c>
    </row>
    <row r="67" spans="1:19" x14ac:dyDescent="0.3">
      <c r="A67">
        <v>35.013800000000003</v>
      </c>
      <c r="B67">
        <f t="shared" ref="B67:B76" si="8">A67-$A$12</f>
        <v>27.502800000000004</v>
      </c>
      <c r="C67">
        <v>336.32799999999997</v>
      </c>
      <c r="D67">
        <v>26.393000000000001</v>
      </c>
      <c r="E67">
        <v>30.552</v>
      </c>
      <c r="I67">
        <f t="shared" ref="I67:I76" si="9">C67/$F$2</f>
        <v>0.59812900620149267</v>
      </c>
      <c r="J67">
        <f t="shared" ref="J67:J76" si="10">D67/$G$2</f>
        <v>0.72701179503848135</v>
      </c>
      <c r="K67" s="4">
        <f t="shared" ref="K67:K76" si="11">E67/$H$2</f>
        <v>0.93362384297811096</v>
      </c>
      <c r="L67" s="3">
        <f t="shared" ref="L67:L76" si="12">I67/K67</f>
        <v>0.64065309674778304</v>
      </c>
      <c r="M67" s="3">
        <f t="shared" ref="M67:M76" si="13">J67/K67</f>
        <v>0.77869883091184755</v>
      </c>
      <c r="R67">
        <f t="shared" ref="R67:R76" si="14">(L67-$L$12)/($N$12-$L$12)</f>
        <v>0.97054569964789905</v>
      </c>
      <c r="S67">
        <f t="shared" ref="S67:S76" si="15">(M67-$M$12)/($O$12-$M$12)</f>
        <v>1.0829336407113193</v>
      </c>
    </row>
    <row r="68" spans="1:19" x14ac:dyDescent="0.3">
      <c r="A68">
        <v>35.513599999999997</v>
      </c>
      <c r="B68">
        <f t="shared" si="8"/>
        <v>28.002599999999997</v>
      </c>
      <c r="C68">
        <v>332.27600000000001</v>
      </c>
      <c r="D68">
        <v>25.75</v>
      </c>
      <c r="E68">
        <v>30.337</v>
      </c>
      <c r="I68">
        <f t="shared" si="9"/>
        <v>0.59092288975228702</v>
      </c>
      <c r="J68">
        <f t="shared" si="10"/>
        <v>0.70929995537608059</v>
      </c>
      <c r="K68" s="4">
        <f t="shared" si="11"/>
        <v>0.92705376160077735</v>
      </c>
      <c r="L68" s="3">
        <f t="shared" si="12"/>
        <v>0.63742030314608622</v>
      </c>
      <c r="M68" s="3">
        <f t="shared" si="13"/>
        <v>0.76511199755158388</v>
      </c>
      <c r="R68">
        <f t="shared" si="14"/>
        <v>0.96262687972189342</v>
      </c>
      <c r="S68">
        <f t="shared" si="15"/>
        <v>0.98185082968390347</v>
      </c>
    </row>
    <row r="69" spans="1:19" x14ac:dyDescent="0.3">
      <c r="A69">
        <v>36.013800000000003</v>
      </c>
      <c r="B69">
        <f t="shared" si="8"/>
        <v>28.502800000000004</v>
      </c>
      <c r="C69">
        <v>346.13799999999998</v>
      </c>
      <c r="D69">
        <v>26.375</v>
      </c>
      <c r="E69">
        <v>30.808</v>
      </c>
      <c r="I69">
        <f t="shared" si="9"/>
        <v>0.61557520619327644</v>
      </c>
      <c r="J69">
        <f t="shared" si="10"/>
        <v>0.7265159737104514</v>
      </c>
      <c r="K69" s="4">
        <f t="shared" si="11"/>
        <v>0.94144682359484289</v>
      </c>
      <c r="L69" s="3">
        <f t="shared" si="12"/>
        <v>0.65386083501004277</v>
      </c>
      <c r="M69" s="3">
        <f t="shared" si="13"/>
        <v>0.77170155074325453</v>
      </c>
      <c r="R69">
        <f t="shared" si="14"/>
        <v>1.0028984303863395</v>
      </c>
      <c r="S69">
        <f t="shared" si="15"/>
        <v>1.0308755392955493</v>
      </c>
    </row>
    <row r="70" spans="1:19" x14ac:dyDescent="0.3">
      <c r="A70">
        <v>36.513800000000003</v>
      </c>
      <c r="B70">
        <f t="shared" si="8"/>
        <v>29.002800000000004</v>
      </c>
      <c r="C70">
        <v>338.53399999999999</v>
      </c>
      <c r="D70">
        <v>26.518000000000001</v>
      </c>
      <c r="E70">
        <v>30.856000000000002</v>
      </c>
      <c r="I70">
        <f t="shared" si="9"/>
        <v>0.60205217818741263</v>
      </c>
      <c r="J70">
        <f t="shared" si="10"/>
        <v>0.73045499870535546</v>
      </c>
      <c r="K70" s="4">
        <f t="shared" si="11"/>
        <v>0.94291363246048021</v>
      </c>
      <c r="L70" s="3">
        <f t="shared" si="12"/>
        <v>0.63850193428256119</v>
      </c>
      <c r="M70" s="3">
        <f t="shared" si="13"/>
        <v>0.7746785851417527</v>
      </c>
      <c r="R70">
        <f t="shared" si="14"/>
        <v>0.96527636597168376</v>
      </c>
      <c r="S70">
        <f t="shared" si="15"/>
        <v>1.053023967670744</v>
      </c>
    </row>
    <row r="71" spans="1:19" x14ac:dyDescent="0.3">
      <c r="A71">
        <v>37.0139</v>
      </c>
      <c r="B71">
        <f t="shared" si="8"/>
        <v>29.5029</v>
      </c>
      <c r="C71">
        <v>333.94799999999998</v>
      </c>
      <c r="D71">
        <v>25.661000000000001</v>
      </c>
      <c r="E71">
        <v>29.852</v>
      </c>
      <c r="I71">
        <f t="shared" si="9"/>
        <v>0.59389639091296609</v>
      </c>
      <c r="J71">
        <f t="shared" si="10"/>
        <v>0.70684839436526614</v>
      </c>
      <c r="K71" s="4">
        <f t="shared" si="11"/>
        <v>0.91223288035423433</v>
      </c>
      <c r="L71" s="3">
        <f t="shared" si="12"/>
        <v>0.65103594016732524</v>
      </c>
      <c r="M71" s="3">
        <f t="shared" si="13"/>
        <v>0.77485520374006456</v>
      </c>
      <c r="R71">
        <f t="shared" si="14"/>
        <v>0.9959787700784124</v>
      </c>
      <c r="S71">
        <f t="shared" si="15"/>
        <v>1.0543379680653686</v>
      </c>
    </row>
    <row r="72" spans="1:19" x14ac:dyDescent="0.3">
      <c r="A72">
        <v>37.5139</v>
      </c>
      <c r="B72">
        <f t="shared" si="8"/>
        <v>30.0029</v>
      </c>
      <c r="C72">
        <v>335.70699999999999</v>
      </c>
      <c r="D72">
        <v>23.911000000000001</v>
      </c>
      <c r="E72">
        <v>29.562999999999999</v>
      </c>
      <c r="I72">
        <f t="shared" si="9"/>
        <v>0.59702461372494864</v>
      </c>
      <c r="J72">
        <f t="shared" si="10"/>
        <v>0.65864354302902772</v>
      </c>
      <c r="K72" s="4">
        <f t="shared" si="11"/>
        <v>0.90340146864237669</v>
      </c>
      <c r="L72" s="3">
        <f t="shared" si="12"/>
        <v>0.66086300991092217</v>
      </c>
      <c r="M72" s="3">
        <f t="shared" si="13"/>
        <v>0.72907070210858871</v>
      </c>
      <c r="R72">
        <f t="shared" si="14"/>
        <v>1.0200504570735234</v>
      </c>
      <c r="S72">
        <f t="shared" si="15"/>
        <v>0.71371215749687378</v>
      </c>
    </row>
    <row r="73" spans="1:19" x14ac:dyDescent="0.3">
      <c r="A73">
        <v>38.013500000000001</v>
      </c>
      <c r="B73">
        <f t="shared" si="8"/>
        <v>30.502500000000001</v>
      </c>
      <c r="C73">
        <v>338.91399999999999</v>
      </c>
      <c r="D73">
        <v>24.125</v>
      </c>
      <c r="E73">
        <v>29.236999999999998</v>
      </c>
      <c r="I73">
        <f t="shared" si="9"/>
        <v>0.60272797390574884</v>
      </c>
      <c r="J73">
        <f t="shared" si="10"/>
        <v>0.66453830770671629</v>
      </c>
      <c r="K73" s="4">
        <f t="shared" si="11"/>
        <v>0.89343939176325704</v>
      </c>
      <c r="L73" s="3">
        <f t="shared" si="12"/>
        <v>0.67461540140538068</v>
      </c>
      <c r="M73" s="3">
        <f t="shared" si="13"/>
        <v>0.74379786008227089</v>
      </c>
      <c r="R73">
        <f t="shared" si="14"/>
        <v>1.0537373314039442</v>
      </c>
      <c r="S73">
        <f t="shared" si="15"/>
        <v>0.82327871262798968</v>
      </c>
    </row>
    <row r="74" spans="1:19" x14ac:dyDescent="0.3">
      <c r="A74">
        <v>38.5137</v>
      </c>
      <c r="B74">
        <f t="shared" si="8"/>
        <v>31.002700000000001</v>
      </c>
      <c r="C74">
        <v>335.60300000000001</v>
      </c>
      <c r="D74">
        <v>25.946000000000002</v>
      </c>
      <c r="E74">
        <v>30.084</v>
      </c>
      <c r="I74">
        <f t="shared" si="9"/>
        <v>0.59683965910729875</v>
      </c>
      <c r="J74">
        <f t="shared" si="10"/>
        <v>0.71469889872573933</v>
      </c>
      <c r="K74" s="4">
        <f t="shared" si="11"/>
        <v>0.9193224565381477</v>
      </c>
      <c r="L74" s="3">
        <f t="shared" si="12"/>
        <v>0.64921688234919406</v>
      </c>
      <c r="M74" s="3">
        <f t="shared" si="13"/>
        <v>0.77741916739100414</v>
      </c>
      <c r="R74">
        <f t="shared" si="14"/>
        <v>0.99152293618626008</v>
      </c>
      <c r="S74">
        <f t="shared" si="15"/>
        <v>1.0734132482529561</v>
      </c>
    </row>
    <row r="75" spans="1:19" x14ac:dyDescent="0.3">
      <c r="A75">
        <v>39.0137</v>
      </c>
      <c r="B75">
        <f t="shared" si="8"/>
        <v>31.502700000000001</v>
      </c>
      <c r="C75">
        <v>334.77600000000001</v>
      </c>
      <c r="D75">
        <v>24.643000000000001</v>
      </c>
      <c r="E75">
        <v>28.684999999999999</v>
      </c>
      <c r="I75">
        <f t="shared" si="9"/>
        <v>0.59536891421502502</v>
      </c>
      <c r="J75">
        <f t="shared" si="10"/>
        <v>0.67880694370224282</v>
      </c>
      <c r="K75" s="4">
        <f t="shared" si="11"/>
        <v>0.87657108980842857</v>
      </c>
      <c r="L75" s="3">
        <f t="shared" si="12"/>
        <v>0.67920208769963053</v>
      </c>
      <c r="M75" s="3">
        <f t="shared" si="13"/>
        <v>0.77438892474835508</v>
      </c>
      <c r="R75">
        <f t="shared" si="14"/>
        <v>1.0649725500093568</v>
      </c>
      <c r="S75">
        <f t="shared" si="15"/>
        <v>1.0508689631872439</v>
      </c>
    </row>
    <row r="76" spans="1:19" x14ac:dyDescent="0.3">
      <c r="A76">
        <v>39.5137</v>
      </c>
      <c r="B76">
        <f t="shared" si="8"/>
        <v>32.002699999999997</v>
      </c>
      <c r="C76">
        <v>334.41399999999999</v>
      </c>
      <c r="D76">
        <v>26.036000000000001</v>
      </c>
      <c r="E76">
        <v>30.282</v>
      </c>
      <c r="I76">
        <f t="shared" si="9"/>
        <v>0.59472512987282056</v>
      </c>
      <c r="J76">
        <f t="shared" si="10"/>
        <v>0.71717800536588872</v>
      </c>
      <c r="K76" s="4">
        <f t="shared" si="11"/>
        <v>0.92537304310890134</v>
      </c>
      <c r="L76" s="3">
        <f t="shared" si="12"/>
        <v>0.6426868972482388</v>
      </c>
      <c r="M76" s="3">
        <f t="shared" si="13"/>
        <v>0.77501501768026815</v>
      </c>
      <c r="R76">
        <f t="shared" si="14"/>
        <v>0.97552755185153994</v>
      </c>
      <c r="S76">
        <f t="shared" si="15"/>
        <v>1.0555269457976189</v>
      </c>
    </row>
    <row r="77" spans="1:19" x14ac:dyDescent="0.3">
      <c r="K77" s="4"/>
      <c r="L77" s="3"/>
      <c r="M77" s="3"/>
    </row>
    <row r="78" spans="1:19" x14ac:dyDescent="0.3">
      <c r="K78" s="4"/>
      <c r="L78" s="3"/>
      <c r="M78" s="3"/>
    </row>
    <row r="79" spans="1:19" x14ac:dyDescent="0.3">
      <c r="K79" s="4"/>
      <c r="L79" s="3"/>
      <c r="M79" s="3"/>
    </row>
    <row r="80" spans="1:19" x14ac:dyDescent="0.3">
      <c r="K80" s="4"/>
      <c r="L80" s="3"/>
      <c r="M80" s="3"/>
    </row>
    <row r="81" spans="11:13" x14ac:dyDescent="0.3">
      <c r="K81" s="4"/>
      <c r="L81" s="3"/>
      <c r="M81" s="3"/>
    </row>
    <row r="82" spans="11:13" x14ac:dyDescent="0.3">
      <c r="K82" s="4"/>
      <c r="L82" s="3"/>
      <c r="M82" s="3"/>
    </row>
    <row r="83" spans="11:13" x14ac:dyDescent="0.3">
      <c r="K83" s="4"/>
      <c r="L83" s="3"/>
      <c r="M83" s="3"/>
    </row>
    <row r="84" spans="11:13" x14ac:dyDescent="0.3">
      <c r="K84" s="4"/>
      <c r="L84" s="3"/>
      <c r="M84" s="3"/>
    </row>
    <row r="85" spans="11:13" x14ac:dyDescent="0.3">
      <c r="K85" s="4"/>
      <c r="L85" s="3"/>
      <c r="M85" s="3"/>
    </row>
    <row r="86" spans="11:13" x14ac:dyDescent="0.3">
      <c r="K86" s="4"/>
      <c r="L86" s="3"/>
      <c r="M86" s="3"/>
    </row>
    <row r="87" spans="11:13" x14ac:dyDescent="0.3">
      <c r="K87" s="4"/>
      <c r="L87" s="3"/>
      <c r="M87" s="3"/>
    </row>
    <row r="88" spans="11:13" x14ac:dyDescent="0.3">
      <c r="K88" s="4"/>
      <c r="L88" s="3"/>
      <c r="M88" s="3"/>
    </row>
    <row r="89" spans="11:13" x14ac:dyDescent="0.3">
      <c r="K89" s="4"/>
      <c r="L89" s="3"/>
      <c r="M89" s="3"/>
    </row>
    <row r="90" spans="11:13" x14ac:dyDescent="0.3">
      <c r="K90" s="4"/>
      <c r="L90" s="3"/>
      <c r="M90" s="3"/>
    </row>
    <row r="91" spans="11:13" x14ac:dyDescent="0.3">
      <c r="K91" s="4"/>
      <c r="L91" s="3"/>
      <c r="M91" s="3"/>
    </row>
    <row r="92" spans="11:13" x14ac:dyDescent="0.3">
      <c r="K92" s="4"/>
      <c r="L92" s="3"/>
      <c r="M92" s="3"/>
    </row>
    <row r="93" spans="11:13" x14ac:dyDescent="0.3">
      <c r="K93" s="4"/>
      <c r="L93" s="3"/>
      <c r="M93" s="3"/>
    </row>
    <row r="94" spans="11:13" x14ac:dyDescent="0.3">
      <c r="K94" s="4"/>
      <c r="L94" s="3"/>
      <c r="M94" s="3"/>
    </row>
    <row r="95" spans="11:13" x14ac:dyDescent="0.3">
      <c r="K95" s="4"/>
      <c r="L95" s="3"/>
      <c r="M95" s="3"/>
    </row>
    <row r="96" spans="11:13" x14ac:dyDescent="0.3">
      <c r="K96" s="4"/>
      <c r="L96" s="3"/>
      <c r="M96" s="3"/>
    </row>
    <row r="97" spans="11:13" x14ac:dyDescent="0.3">
      <c r="K97" s="4"/>
      <c r="L97" s="3"/>
      <c r="M97" s="3"/>
    </row>
    <row r="98" spans="11:13" x14ac:dyDescent="0.3">
      <c r="K98" s="4"/>
      <c r="L98" s="3"/>
      <c r="M98" s="3"/>
    </row>
    <row r="99" spans="11:13" x14ac:dyDescent="0.3">
      <c r="K99" s="4"/>
      <c r="L99" s="3"/>
      <c r="M99" s="3"/>
    </row>
    <row r="100" spans="11:13" x14ac:dyDescent="0.3">
      <c r="K100" s="4"/>
      <c r="L100" s="3"/>
      <c r="M100" s="3"/>
    </row>
    <row r="101" spans="11:13" x14ac:dyDescent="0.3">
      <c r="K101" s="4"/>
      <c r="L101" s="3"/>
      <c r="M10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YS_40kDa_1</vt:lpstr>
      <vt:lpstr>YS_40kDa_2</vt:lpstr>
      <vt:lpstr>YS_40kDa_3</vt:lpstr>
      <vt:lpstr>YS_40kDa_4</vt:lpstr>
      <vt:lpstr>YS_250kDa_1</vt:lpstr>
      <vt:lpstr>YS_250kDa_3</vt:lpstr>
      <vt:lpstr>YS_250kDa_4</vt:lpstr>
      <vt:lpstr>YS_500kDa_1</vt:lpstr>
      <vt:lpstr>YS_500kDa_4</vt:lpstr>
      <vt:lpstr>YS_500kDa_3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2026-01-14T14:31:26Z</dcterms:created>
  <dcterms:modified xsi:type="dcterms:W3CDTF">2026-01-23T20:21:05Z</dcterms:modified>
</cp:coreProperties>
</file>